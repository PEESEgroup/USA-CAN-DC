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omments3.xml" ContentType="application/vnd.openxmlformats-officedocument.spreadsheetml.comments+xml"/>
  <Override PartName="/xl/comments4.xml" ContentType="application/vnd.openxmlformats-officedocument.spreadsheetml.comments+xml"/>
  <Override PartName="/xl/threadedComments/threadedComment1.xml" ContentType="application/vnd.ms-excel.threadedcomments+xml"/>
  <Override PartName="/xl/comments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011" codeName="{EF0A3169-33C6-E2D0-F78B-2A1B10235526}"/>
  <workbookPr codeName="ThisWorkbook"/>
  <mc:AlternateContent xmlns:mc="http://schemas.openxmlformats.org/markup-compatibility/2006">
    <mc:Choice Requires="x15">
      <x15ac:absPath xmlns:x15ac="http://schemas.microsoft.com/office/spreadsheetml/2010/11/ac" url="/Users/amenzel/Desktop/JEDI Beta Windows/"/>
    </mc:Choice>
  </mc:AlternateContent>
  <xr:revisionPtr revIDLastSave="0" documentId="13_ncr:1_{CF12BC25-BBB8-E443-AE8A-9AC5381F3332}" xr6:coauthVersionLast="45" xr6:coauthVersionMax="45" xr10:uidLastSave="{00000000-0000-0000-0000-000000000000}"/>
  <bookViews>
    <workbookView xWindow="200" yWindow="460" windowWidth="25400" windowHeight="14560" tabRatio="477" firstSheet="2" activeTab="2" xr2:uid="{00000000-000D-0000-FFFF-FFFF00000000}"/>
  </bookViews>
  <sheets>
    <sheet name="About JEDI" sheetId="15" r:id="rId1"/>
    <sheet name="FAQ" sheetId="16" r:id="rId2"/>
    <sheet name="START" sheetId="17" r:id="rId3"/>
    <sheet name="STEP 1 - Project Information" sheetId="18" r:id="rId4"/>
    <sheet name="STEP 2 - Cost Information" sheetId="19" r:id="rId5"/>
    <sheet name="STEP 3 - Edit Project Data" sheetId="2" r:id="rId6"/>
    <sheet name="SummaryResults" sheetId="11" r:id="rId7"/>
    <sheet name="User Add-in Location" sheetId="13" r:id="rId8"/>
    <sheet name="DefaultData" sheetId="12" r:id="rId9"/>
    <sheet name="Deflators" sheetId="9" r:id="rId10"/>
    <sheet name="Household Exp" sheetId="10" state="hidden" r:id="rId11"/>
    <sheet name="Calculations" sheetId="6" r:id="rId12"/>
    <sheet name="xlwings.conf" sheetId="22" r:id="rId13"/>
    <sheet name="Multipliers" sheetId="8" state="hidden" r:id="rId14"/>
  </sheets>
  <functionGroups builtInGroupCount="19"/>
  <definedNames>
    <definedName name="constyears">'STEP 3 - Edit Project Data'!$X$9:$X$39</definedName>
    <definedName name="Detailed_Project_Data_Costs">Calculations!$AB$3:$AD$104</definedName>
    <definedName name="Detailed_Wind_Plant_Project_Data_Costs">SummaryResults!$A$45:$D$143</definedName>
    <definedName name="Other_Parameters">'STEP 3 - Edit Project Data'!$A$89</definedName>
    <definedName name="_xlnm.Print_Area" localSheetId="11">Calculations!$AB$3:$AD$94</definedName>
    <definedName name="_xlnm.Print_Area" localSheetId="5">'STEP 3 - Edit Project Data'!$B$15</definedName>
    <definedName name="_xlnm.Print_Area" localSheetId="6">SummaryResults!$BB$1:$BF$43</definedName>
    <definedName name="Print_Results">SummaryResults!$A$1:$D$43</definedName>
    <definedName name="Project_Cost_Data">'STEP 3 - Edit Project Data'!$A$29</definedName>
    <definedName name="Project_Data">'STEP 3 - Edit Project Data'!$A$1</definedName>
    <definedName name="ProjectConstCostData">'STEP 3 - Edit Project Data'!$A$29:$C$64</definedName>
    <definedName name="ProjectData">'STEP 3 - Edit Project Data'!$A$1</definedName>
    <definedName name="ProjectOandMData">'STEP 3 - Edit Project Data'!$A$66:$C$109</definedName>
    <definedName name="Summary_Impacts">SummaryResults!$A$1:$D$43</definedName>
    <definedName name="Summary_Results">SummaryResults!$A$1</definedName>
    <definedName name="Wind_Plant_Annual_OandM_Costs">'STEP 3 - Edit Project Data'!$A$66</definedName>
    <definedName name="Wind_Plant_Annual_Operating_and_Maintenance_Costs">'STEP 3 - Edit Project Data'!$B$71</definedName>
    <definedName name="Year">'STEP 3 - Edit Project Data'!$B$15</definedName>
  </definedNames>
  <calcPr calcId="191029"/>
  <customWorkbookViews>
    <customWorkbookView name="start" guid="{55B80D82-F000-11D6-8735-C8E5A357943D}" maximized="1" windowWidth="796" windowHeight="464"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8" i="12" l="1"/>
  <c r="D18" i="12"/>
  <c r="D123" i="2" l="1"/>
  <c r="B123" i="2"/>
  <c r="D122" i="2"/>
  <c r="B122" i="2"/>
  <c r="D121" i="2"/>
  <c r="B121" i="2"/>
  <c r="D119" i="2"/>
  <c r="B119" i="2"/>
  <c r="D118" i="2"/>
  <c r="B118" i="2"/>
  <c r="D117" i="2"/>
  <c r="B117" i="2"/>
  <c r="D116" i="2"/>
  <c r="B116" i="2"/>
  <c r="E113" i="2"/>
  <c r="B113" i="2"/>
  <c r="B112" i="2"/>
  <c r="B110" i="2"/>
  <c r="E108" i="2"/>
  <c r="B108" i="2"/>
  <c r="E107" i="2"/>
  <c r="B107" i="2"/>
  <c r="B106" i="2"/>
  <c r="B105" i="2"/>
  <c r="B103" i="2"/>
  <c r="B102" i="2"/>
  <c r="B100" i="2"/>
  <c r="B99" i="2"/>
  <c r="E98" i="2"/>
  <c r="B98" i="2"/>
  <c r="E97" i="2"/>
  <c r="B97" i="2"/>
  <c r="B96" i="2"/>
  <c r="B94" i="2"/>
  <c r="B93" i="2"/>
  <c r="B92" i="2"/>
  <c r="E92" i="2"/>
  <c r="E86" i="2"/>
  <c r="E83" i="2"/>
  <c r="E82" i="2"/>
  <c r="E81" i="2"/>
  <c r="E80" i="2"/>
  <c r="E79" i="2"/>
  <c r="E78" i="2"/>
  <c r="E77" i="2"/>
  <c r="E76" i="2"/>
  <c r="B73" i="2"/>
  <c r="E73" i="2"/>
  <c r="B72" i="2"/>
  <c r="E72" i="2"/>
  <c r="B71" i="2"/>
  <c r="E71" i="2"/>
  <c r="E59" i="2"/>
  <c r="E58" i="2"/>
  <c r="E57" i="2"/>
  <c r="E56" i="2"/>
  <c r="E55" i="2"/>
  <c r="E54" i="2"/>
  <c r="E50" i="2"/>
  <c r="E49" i="2"/>
  <c r="E48" i="2"/>
  <c r="E47" i="2"/>
  <c r="E46" i="2"/>
  <c r="E43" i="2"/>
  <c r="E42" i="2"/>
  <c r="E41" i="2"/>
  <c r="E40" i="2"/>
  <c r="E36" i="2"/>
  <c r="E35" i="2"/>
  <c r="E34" i="2"/>
  <c r="E33" i="2"/>
  <c r="B35" i="2"/>
  <c r="B34" i="2"/>
  <c r="B33" i="2"/>
  <c r="D43" i="19" l="1"/>
  <c r="J6" i="19"/>
  <c r="E6" i="19"/>
  <c r="E7" i="19"/>
  <c r="E8" i="19"/>
  <c r="E9" i="19"/>
  <c r="E10" i="19"/>
  <c r="F8" i="19" l="1"/>
  <c r="F6" i="19"/>
  <c r="F9" i="19"/>
  <c r="F10" i="19"/>
  <c r="F7" i="19"/>
  <c r="C288" i="12"/>
  <c r="C289" i="12"/>
  <c r="C290" i="12"/>
  <c r="C291" i="12"/>
  <c r="C292" i="12"/>
  <c r="C293" i="12"/>
  <c r="C294" i="12"/>
  <c r="C295" i="12"/>
  <c r="C296" i="12"/>
  <c r="C297" i="12"/>
  <c r="C270" i="12"/>
  <c r="C271" i="12"/>
  <c r="C272" i="12"/>
  <c r="C273" i="12"/>
  <c r="C274" i="12"/>
  <c r="C275" i="12"/>
  <c r="C276" i="12"/>
  <c r="C277" i="12"/>
  <c r="C278" i="12"/>
  <c r="C279" i="12"/>
  <c r="C280" i="12"/>
  <c r="C281" i="12"/>
  <c r="C282" i="12"/>
  <c r="C283" i="12"/>
  <c r="C284" i="12"/>
  <c r="C285" i="12"/>
  <c r="C286" i="12"/>
  <c r="C287" i="12"/>
  <c r="C249" i="12"/>
  <c r="C250" i="12"/>
  <c r="C251" i="12"/>
  <c r="C252" i="12"/>
  <c r="C253" i="12"/>
  <c r="C254" i="12"/>
  <c r="C255" i="12"/>
  <c r="C256" i="12"/>
  <c r="C257" i="12"/>
  <c r="C258" i="12"/>
  <c r="C259" i="12"/>
  <c r="C260" i="12"/>
  <c r="C261" i="12"/>
  <c r="C262" i="12"/>
  <c r="C263" i="12"/>
  <c r="C264" i="12"/>
  <c r="C265" i="12"/>
  <c r="C266" i="12"/>
  <c r="C267" i="12"/>
  <c r="C268" i="12"/>
  <c r="C269" i="12"/>
  <c r="C248" i="12"/>
  <c r="C7" i="18" l="1"/>
  <c r="I5" i="18" l="1"/>
  <c r="E5" i="19"/>
  <c r="BF19" i="12" l="1"/>
  <c r="BF21" i="12"/>
  <c r="BF20" i="12"/>
  <c r="U234" i="12" l="1"/>
  <c r="S234" i="12"/>
  <c r="U235" i="12"/>
  <c r="S235" i="12"/>
  <c r="BE177" i="12" l="1"/>
  <c r="AY177" i="12"/>
  <c r="AY176" i="12"/>
  <c r="AY175" i="12"/>
  <c r="AX176" i="12"/>
  <c r="AX177" i="12"/>
  <c r="AX175" i="12"/>
  <c r="AV177" i="12"/>
  <c r="AV176" i="12"/>
  <c r="AQ177" i="12"/>
  <c r="AO177" i="12"/>
  <c r="AO176" i="12"/>
  <c r="AA177" i="12"/>
  <c r="AA176" i="12"/>
  <c r="Z175" i="12"/>
  <c r="W176" i="12"/>
  <c r="U177" i="12"/>
  <c r="U175" i="12"/>
  <c r="T176" i="12"/>
  <c r="T177" i="12"/>
  <c r="T175" i="12"/>
  <c r="R177" i="12"/>
  <c r="N175" i="12"/>
  <c r="J177" i="12"/>
  <c r="J176" i="12"/>
  <c r="J175" i="12"/>
  <c r="H176" i="12"/>
  <c r="BF177" i="12"/>
  <c r="BD177" i="12"/>
  <c r="BC177" i="12"/>
  <c r="BB177" i="12"/>
  <c r="BA177" i="12"/>
  <c r="AZ177" i="12"/>
  <c r="AW177" i="12"/>
  <c r="AU177" i="12"/>
  <c r="AT177" i="12"/>
  <c r="AS177" i="12"/>
  <c r="AR177" i="12"/>
  <c r="AP177" i="12"/>
  <c r="AN177" i="12"/>
  <c r="AM177" i="12"/>
  <c r="AL177" i="12"/>
  <c r="AK177" i="12"/>
  <c r="AJ177" i="12"/>
  <c r="AI177" i="12"/>
  <c r="AH177" i="12"/>
  <c r="AG177" i="12"/>
  <c r="AF177" i="12"/>
  <c r="AE177" i="12"/>
  <c r="AD177" i="12"/>
  <c r="AC177" i="12"/>
  <c r="AB177" i="12"/>
  <c r="Z177" i="12"/>
  <c r="Y177" i="12"/>
  <c r="X177" i="12"/>
  <c r="W177" i="12"/>
  <c r="V177" i="12"/>
  <c r="S177" i="12"/>
  <c r="Q177" i="12"/>
  <c r="P177" i="12"/>
  <c r="O177" i="12"/>
  <c r="N177" i="12"/>
  <c r="M177" i="12"/>
  <c r="L177" i="12"/>
  <c r="K177" i="12"/>
  <c r="I177" i="12"/>
  <c r="H177" i="12"/>
  <c r="G177" i="12"/>
  <c r="F177" i="12"/>
  <c r="E177" i="12"/>
  <c r="BF176" i="12"/>
  <c r="BE176" i="12"/>
  <c r="BD176" i="12"/>
  <c r="BC176" i="12"/>
  <c r="BB176" i="12"/>
  <c r="BA176" i="12"/>
  <c r="AZ176" i="12"/>
  <c r="AW176" i="12"/>
  <c r="AU176" i="12"/>
  <c r="AT176" i="12"/>
  <c r="AS176" i="12"/>
  <c r="AR176" i="12"/>
  <c r="AQ176" i="12"/>
  <c r="AP176" i="12"/>
  <c r="AN176" i="12"/>
  <c r="AM176" i="12"/>
  <c r="AL176" i="12"/>
  <c r="AK176" i="12"/>
  <c r="AJ176" i="12"/>
  <c r="AI176" i="12"/>
  <c r="AH176" i="12"/>
  <c r="AG176" i="12"/>
  <c r="AF176" i="12"/>
  <c r="AE176" i="12"/>
  <c r="AD176" i="12"/>
  <c r="AC176" i="12"/>
  <c r="AB176" i="12"/>
  <c r="Z176" i="12"/>
  <c r="Y176" i="12"/>
  <c r="X176" i="12"/>
  <c r="V176" i="12"/>
  <c r="U176" i="12"/>
  <c r="S176" i="12"/>
  <c r="R176" i="12"/>
  <c r="Q176" i="12"/>
  <c r="P176" i="12"/>
  <c r="O176" i="12"/>
  <c r="N176" i="12"/>
  <c r="M176" i="12"/>
  <c r="L176" i="12"/>
  <c r="K176" i="12"/>
  <c r="I176" i="12"/>
  <c r="G176" i="12"/>
  <c r="F176" i="12"/>
  <c r="E176" i="12"/>
  <c r="BF175" i="12"/>
  <c r="BE175" i="12"/>
  <c r="BD175" i="12"/>
  <c r="BC175" i="12"/>
  <c r="BB175" i="12"/>
  <c r="BA175" i="12"/>
  <c r="AZ175" i="12"/>
  <c r="AW175" i="12"/>
  <c r="AV175" i="12"/>
  <c r="AU175" i="12"/>
  <c r="AT175" i="12"/>
  <c r="AS175" i="12"/>
  <c r="AR175" i="12"/>
  <c r="AQ175" i="12"/>
  <c r="AP175" i="12"/>
  <c r="AO175" i="12"/>
  <c r="AN175" i="12"/>
  <c r="AM175" i="12"/>
  <c r="AL175" i="12"/>
  <c r="AK175" i="12"/>
  <c r="AJ175" i="12"/>
  <c r="AI175" i="12"/>
  <c r="AH175" i="12"/>
  <c r="AG175" i="12"/>
  <c r="AF175" i="12"/>
  <c r="AE175" i="12"/>
  <c r="AD175" i="12"/>
  <c r="AC175" i="12"/>
  <c r="AB175" i="12"/>
  <c r="AA175" i="12"/>
  <c r="Y175" i="12"/>
  <c r="X175" i="12"/>
  <c r="W175" i="12"/>
  <c r="V175" i="12"/>
  <c r="S175" i="12"/>
  <c r="R175" i="12"/>
  <c r="Q175" i="12"/>
  <c r="P175" i="12"/>
  <c r="O175" i="12"/>
  <c r="M175" i="12"/>
  <c r="L175" i="12"/>
  <c r="K175" i="12"/>
  <c r="I175" i="12"/>
  <c r="H175" i="12"/>
  <c r="G175" i="12"/>
  <c r="F175" i="12"/>
  <c r="E175" i="12"/>
  <c r="B147" i="19" l="1"/>
  <c r="B140" i="19"/>
  <c r="B141" i="19"/>
  <c r="B142" i="19"/>
  <c r="B143" i="19"/>
  <c r="B144" i="19"/>
  <c r="B145" i="19"/>
  <c r="B146" i="19"/>
  <c r="B139" i="19"/>
  <c r="AK56" i="12" l="1"/>
  <c r="AC56" i="12"/>
  <c r="AC57" i="12"/>
  <c r="B86" i="2" l="1"/>
  <c r="B41" i="2"/>
  <c r="D44" i="12" l="1"/>
  <c r="B59" i="2" s="1"/>
  <c r="B40" i="2"/>
  <c r="D42" i="12"/>
  <c r="B57" i="2" s="1"/>
  <c r="D41" i="12"/>
  <c r="B56" i="2" s="1"/>
  <c r="D38" i="12"/>
  <c r="D40" i="12" s="1"/>
  <c r="B55" i="2" s="1"/>
  <c r="D39" i="12" l="1"/>
  <c r="B54" i="2" s="1"/>
  <c r="B50" i="2"/>
  <c r="D27" i="12"/>
  <c r="B49" i="2" s="1"/>
  <c r="D26" i="12"/>
  <c r="B48" i="2" s="1"/>
  <c r="D25" i="12"/>
  <c r="B47" i="2" s="1"/>
  <c r="D24" i="12"/>
  <c r="B46" i="2" s="1"/>
  <c r="D21" i="12"/>
  <c r="B43" i="2" s="1"/>
  <c r="D20" i="12"/>
  <c r="B42" i="2" s="1"/>
  <c r="B22" i="2" l="1"/>
  <c r="B17" i="2"/>
  <c r="B21" i="2"/>
  <c r="C5" i="18"/>
  <c r="G30" i="18" l="1"/>
  <c r="G29" i="18"/>
  <c r="G28" i="18"/>
  <c r="G27" i="18"/>
  <c r="G26" i="18"/>
  <c r="G23" i="18"/>
  <c r="G22" i="18"/>
  <c r="G21" i="18"/>
  <c r="G20" i="18"/>
  <c r="G19" i="18"/>
  <c r="G16" i="18" l="1"/>
  <c r="G15" i="18"/>
  <c r="G14" i="18"/>
  <c r="G13" i="18"/>
  <c r="G12" i="18"/>
  <c r="G11" i="18"/>
  <c r="G10" i="18"/>
  <c r="G8" i="18"/>
  <c r="G7" i="18"/>
  <c r="G6" i="18"/>
  <c r="G5" i="18"/>
  <c r="C23" i="18"/>
  <c r="C22" i="18" l="1"/>
  <c r="C17" i="18"/>
  <c r="C16" i="18"/>
  <c r="C15" i="18"/>
  <c r="C14" i="18"/>
  <c r="B15" i="2" l="1"/>
  <c r="B13" i="2"/>
  <c r="C11" i="2" l="1"/>
  <c r="C242" i="12"/>
  <c r="C243" i="12" s="1"/>
  <c r="C244" i="12" s="1"/>
  <c r="D175" i="12"/>
  <c r="D176" i="12"/>
  <c r="D177" i="12"/>
  <c r="Q232" i="12" l="1"/>
  <c r="E1" i="6"/>
  <c r="D157" i="12" s="1"/>
  <c r="D96" i="12" s="1"/>
  <c r="G34" i="12"/>
  <c r="G33" i="12"/>
  <c r="G32" i="12"/>
  <c r="V38" i="12"/>
  <c r="V41" i="12"/>
  <c r="V42" i="12"/>
  <c r="V43" i="12"/>
  <c r="V44" i="12"/>
  <c r="V32" i="12"/>
  <c r="V33" i="12"/>
  <c r="V34" i="12"/>
  <c r="V35" i="12"/>
  <c r="V18" i="12"/>
  <c r="V19" i="12"/>
  <c r="V20" i="12"/>
  <c r="V21" i="12"/>
  <c r="C13" i="2"/>
  <c r="D14" i="2" s="1"/>
  <c r="D2" i="11" s="1"/>
  <c r="BE2" i="11" s="1"/>
  <c r="E4" i="13"/>
  <c r="E3" i="13"/>
  <c r="I230" i="8"/>
  <c r="AX230" i="8"/>
  <c r="I231" i="8"/>
  <c r="AU45" i="12"/>
  <c r="V45" i="12"/>
  <c r="AU36" i="12"/>
  <c r="AU22" i="12"/>
  <c r="AF113" i="2"/>
  <c r="D150" i="12"/>
  <c r="AE146" i="12" s="1"/>
  <c r="AC94" i="6"/>
  <c r="C133" i="11" s="1"/>
  <c r="BD133" i="11" s="1"/>
  <c r="AI63" i="2"/>
  <c r="AD89" i="6"/>
  <c r="D128" i="11" s="1"/>
  <c r="BE128" i="11" s="1"/>
  <c r="F91" i="12"/>
  <c r="E87" i="6"/>
  <c r="AD64" i="6" s="1"/>
  <c r="D103" i="11" s="1"/>
  <c r="BE103" i="11" s="1"/>
  <c r="I213" i="6"/>
  <c r="AC79" i="6"/>
  <c r="C118" i="11" s="1"/>
  <c r="BD118" i="11" s="1"/>
  <c r="F84" i="12"/>
  <c r="AC76" i="6"/>
  <c r="C115" i="11" s="1"/>
  <c r="BD115" i="11" s="1"/>
  <c r="AC75" i="6"/>
  <c r="C114" i="11" s="1"/>
  <c r="BD114" i="11" s="1"/>
  <c r="AC74" i="6"/>
  <c r="C113" i="11" s="1"/>
  <c r="BD113" i="11" s="1"/>
  <c r="T12" i="2"/>
  <c r="G70" i="12"/>
  <c r="M13" i="12"/>
  <c r="S70" i="12" s="1"/>
  <c r="G69" i="12"/>
  <c r="G68" i="12"/>
  <c r="G67" i="12"/>
  <c r="G66" i="12"/>
  <c r="G65" i="12"/>
  <c r="G64" i="12"/>
  <c r="G63" i="12"/>
  <c r="G44" i="12"/>
  <c r="G43" i="12"/>
  <c r="G42" i="12"/>
  <c r="G41" i="12"/>
  <c r="G40" i="12"/>
  <c r="G39" i="12"/>
  <c r="G28" i="12"/>
  <c r="K28" i="12" s="1"/>
  <c r="T28" i="12" s="1"/>
  <c r="G27" i="12"/>
  <c r="K27" i="12" s="1"/>
  <c r="T27" i="12" s="1"/>
  <c r="G26" i="12"/>
  <c r="K26" i="12" s="1"/>
  <c r="T26" i="12" s="1"/>
  <c r="G25" i="12"/>
  <c r="K25" i="12" s="1"/>
  <c r="T25" i="12" s="1"/>
  <c r="G24" i="12"/>
  <c r="K24" i="12" s="1"/>
  <c r="T24" i="12" s="1"/>
  <c r="G21" i="12"/>
  <c r="G20" i="12"/>
  <c r="G19" i="12"/>
  <c r="G18" i="12"/>
  <c r="G35" i="12"/>
  <c r="F9" i="12"/>
  <c r="AE16" i="10"/>
  <c r="AD16" i="10"/>
  <c r="AE15" i="10"/>
  <c r="AD15" i="10"/>
  <c r="B20" i="10"/>
  <c r="BF9" i="11"/>
  <c r="BF8" i="11"/>
  <c r="X10" i="2"/>
  <c r="X11" i="2"/>
  <c r="X12" i="2"/>
  <c r="X13" i="2"/>
  <c r="X14" i="2" s="1"/>
  <c r="X15" i="2" s="1"/>
  <c r="X16" i="2" s="1"/>
  <c r="X17" i="2" s="1"/>
  <c r="X18" i="2" s="1"/>
  <c r="X19" i="2" s="1"/>
  <c r="X20" i="2" s="1"/>
  <c r="X21" i="2" s="1"/>
  <c r="X22" i="2" s="1"/>
  <c r="X23" i="2" s="1"/>
  <c r="X24" i="2" s="1"/>
  <c r="X25" i="2" s="1"/>
  <c r="X26" i="2" s="1"/>
  <c r="X27" i="2" s="1"/>
  <c r="X28" i="2" s="1"/>
  <c r="X29" i="2" s="1"/>
  <c r="X30" i="2" s="1"/>
  <c r="X31" i="2" s="1"/>
  <c r="X32" i="2" s="1"/>
  <c r="X33" i="2" s="1"/>
  <c r="X34" i="2" s="1"/>
  <c r="X35" i="2" s="1"/>
  <c r="X36" i="2" s="1"/>
  <c r="X37" i="2" s="1"/>
  <c r="X38" i="2" s="1"/>
  <c r="X39" i="2" s="1"/>
  <c r="AF205" i="8"/>
  <c r="AE205" i="8"/>
  <c r="AF204" i="8"/>
  <c r="AE204" i="8"/>
  <c r="AF203" i="8"/>
  <c r="AE203" i="8"/>
  <c r="AF202" i="8"/>
  <c r="AE202" i="8"/>
  <c r="AF201" i="8"/>
  <c r="AE201" i="8"/>
  <c r="AF200" i="8"/>
  <c r="AE200" i="8"/>
  <c r="AF199" i="8"/>
  <c r="AE199" i="8"/>
  <c r="AF198" i="8"/>
  <c r="AE198" i="8"/>
  <c r="AF197" i="8"/>
  <c r="AE197" i="8"/>
  <c r="AF196" i="8"/>
  <c r="AE196" i="8"/>
  <c r="AF195" i="8"/>
  <c r="AE195" i="8"/>
  <c r="AF194" i="8"/>
  <c r="AE194" i="8"/>
  <c r="AF193" i="8"/>
  <c r="AE193" i="8"/>
  <c r="AF192" i="8"/>
  <c r="AE192" i="8"/>
  <c r="AF188" i="8"/>
  <c r="AE188" i="8"/>
  <c r="AF187" i="8"/>
  <c r="AE187" i="8"/>
  <c r="AF186" i="8"/>
  <c r="AE186" i="8"/>
  <c r="AF185" i="8"/>
  <c r="AE185" i="8"/>
  <c r="AF184" i="8"/>
  <c r="AE184" i="8"/>
  <c r="AF183" i="8"/>
  <c r="AE183" i="8"/>
  <c r="AF182" i="8"/>
  <c r="AE182" i="8"/>
  <c r="AF181" i="8"/>
  <c r="AE181" i="8"/>
  <c r="AF180" i="8"/>
  <c r="AE180" i="8"/>
  <c r="AF179" i="8"/>
  <c r="AE179" i="8"/>
  <c r="AF178" i="8"/>
  <c r="AE178" i="8"/>
  <c r="AF177" i="8"/>
  <c r="AE177" i="8"/>
  <c r="AF176" i="8"/>
  <c r="AE176" i="8"/>
  <c r="AF175" i="8"/>
  <c r="AE175" i="8"/>
  <c r="AF171" i="8"/>
  <c r="AE171" i="8"/>
  <c r="AF170" i="8"/>
  <c r="AE170" i="8"/>
  <c r="AF169" i="8"/>
  <c r="AE169" i="8"/>
  <c r="AF168" i="8"/>
  <c r="AE168" i="8"/>
  <c r="AF167" i="8"/>
  <c r="AE167" i="8"/>
  <c r="AF166" i="8"/>
  <c r="AE166" i="8"/>
  <c r="AF165" i="8"/>
  <c r="AE165" i="8"/>
  <c r="AF164" i="8"/>
  <c r="AE164" i="8"/>
  <c r="AF163" i="8"/>
  <c r="AE163" i="8"/>
  <c r="AF162" i="8"/>
  <c r="AE162" i="8"/>
  <c r="AF161" i="8"/>
  <c r="AE161" i="8"/>
  <c r="AF160" i="8"/>
  <c r="AE160" i="8"/>
  <c r="AF159" i="8"/>
  <c r="AE159" i="8"/>
  <c r="AF158" i="8"/>
  <c r="AE158" i="8"/>
  <c r="BB78" i="11"/>
  <c r="AI121" i="2"/>
  <c r="AI116" i="2"/>
  <c r="AF114" i="2"/>
  <c r="AI113" i="2"/>
  <c r="AF111" i="2"/>
  <c r="AI108" i="2"/>
  <c r="AI107" i="2"/>
  <c r="AF100" i="2"/>
  <c r="AF99" i="2"/>
  <c r="AI97" i="2"/>
  <c r="AF97" i="2"/>
  <c r="AF98" i="2" s="1"/>
  <c r="AF94" i="2"/>
  <c r="AF93" i="2"/>
  <c r="AF92" i="2"/>
  <c r="AF96" i="2" s="1"/>
  <c r="AF86" i="2"/>
  <c r="G59" i="12"/>
  <c r="G38" i="12"/>
  <c r="E4" i="9"/>
  <c r="M40" i="6" s="1"/>
  <c r="AX231" i="8"/>
  <c r="N195" i="6"/>
  <c r="N194" i="6"/>
  <c r="N193" i="6"/>
  <c r="N192" i="6"/>
  <c r="N191" i="6"/>
  <c r="N190" i="6"/>
  <c r="N189" i="6"/>
  <c r="N188" i="6"/>
  <c r="N187" i="6"/>
  <c r="N186" i="6"/>
  <c r="N185" i="6"/>
  <c r="N184" i="6"/>
  <c r="N183" i="6"/>
  <c r="O183" i="6"/>
  <c r="N182" i="6"/>
  <c r="N181" i="6"/>
  <c r="N180" i="6"/>
  <c r="N179" i="6"/>
  <c r="N178" i="6"/>
  <c r="N177" i="6"/>
  <c r="N176" i="6"/>
  <c r="J195" i="6"/>
  <c r="I195" i="6"/>
  <c r="J194" i="6"/>
  <c r="I194" i="6"/>
  <c r="J193" i="6"/>
  <c r="I193" i="6"/>
  <c r="J192" i="6"/>
  <c r="I192" i="6"/>
  <c r="J191" i="6"/>
  <c r="I191" i="6"/>
  <c r="J190" i="6"/>
  <c r="I190" i="6"/>
  <c r="J189" i="6"/>
  <c r="I189" i="6"/>
  <c r="J188" i="6"/>
  <c r="I188" i="6"/>
  <c r="J187" i="6"/>
  <c r="I187" i="6"/>
  <c r="J186" i="6"/>
  <c r="I186" i="6"/>
  <c r="J185" i="6"/>
  <c r="I185" i="6"/>
  <c r="J184" i="6"/>
  <c r="I184" i="6"/>
  <c r="J183" i="6"/>
  <c r="I183" i="6"/>
  <c r="J182" i="6"/>
  <c r="I182" i="6"/>
  <c r="J181" i="6"/>
  <c r="I181" i="6"/>
  <c r="J180" i="6"/>
  <c r="I180" i="6"/>
  <c r="J179" i="6"/>
  <c r="I179" i="6"/>
  <c r="J178" i="6"/>
  <c r="I178" i="6"/>
  <c r="J177" i="6"/>
  <c r="I177" i="6"/>
  <c r="J176" i="6"/>
  <c r="I176" i="6"/>
  <c r="E195" i="6"/>
  <c r="E194" i="6"/>
  <c r="E193" i="6"/>
  <c r="E192" i="6"/>
  <c r="E191" i="6"/>
  <c r="E190" i="6"/>
  <c r="E189" i="6"/>
  <c r="E188" i="6"/>
  <c r="E187" i="6"/>
  <c r="D187" i="6"/>
  <c r="E186" i="6"/>
  <c r="E185" i="6"/>
  <c r="E184" i="6"/>
  <c r="E183" i="6"/>
  <c r="D183" i="6"/>
  <c r="E182" i="6"/>
  <c r="E181" i="6"/>
  <c r="E180" i="6"/>
  <c r="E179" i="6"/>
  <c r="E178" i="6"/>
  <c r="E177" i="6"/>
  <c r="E176" i="6"/>
  <c r="D195" i="6"/>
  <c r="D194" i="6"/>
  <c r="D193" i="6"/>
  <c r="D192" i="6"/>
  <c r="D191" i="6"/>
  <c r="D190" i="6"/>
  <c r="D189" i="6"/>
  <c r="D188" i="6"/>
  <c r="D186" i="6"/>
  <c r="D185" i="6"/>
  <c r="D184" i="6"/>
  <c r="D182" i="6"/>
  <c r="D181" i="6"/>
  <c r="D180" i="6"/>
  <c r="D179" i="6"/>
  <c r="D178" i="6"/>
  <c r="D177" i="6"/>
  <c r="D176" i="6"/>
  <c r="AC27" i="6"/>
  <c r="AD27" i="6"/>
  <c r="D39" i="6"/>
  <c r="G59" i="6" s="1"/>
  <c r="D43" i="6"/>
  <c r="F43" i="6"/>
  <c r="D44" i="6"/>
  <c r="F44" i="6" s="1"/>
  <c r="AD47" i="6"/>
  <c r="D51" i="6"/>
  <c r="F51" i="6" s="1"/>
  <c r="D70" i="6"/>
  <c r="AC47" i="6" s="1"/>
  <c r="AC81" i="6"/>
  <c r="C120" i="11" s="1"/>
  <c r="BD120" i="11" s="1"/>
  <c r="E90" i="6"/>
  <c r="AD67" i="6" s="1"/>
  <c r="D106" i="11" s="1"/>
  <c r="BE106" i="11" s="1"/>
  <c r="P90" i="6"/>
  <c r="J90" i="6" s="1"/>
  <c r="AD94" i="6"/>
  <c r="D133" i="11" s="1"/>
  <c r="BE133" i="11" s="1"/>
  <c r="P95" i="6"/>
  <c r="F115" i="6"/>
  <c r="F116" i="6"/>
  <c r="H116" i="6"/>
  <c r="L157" i="6"/>
  <c r="P157" i="6"/>
  <c r="W158" i="6"/>
  <c r="O176" i="6"/>
  <c r="O177" i="6"/>
  <c r="O178" i="6"/>
  <c r="O179" i="6"/>
  <c r="O180" i="6"/>
  <c r="O181" i="6"/>
  <c r="O182" i="6"/>
  <c r="O184" i="6"/>
  <c r="O185" i="6"/>
  <c r="O186" i="6"/>
  <c r="O187" i="6"/>
  <c r="O188" i="6"/>
  <c r="O189" i="6"/>
  <c r="O190" i="6"/>
  <c r="O191" i="6"/>
  <c r="O192" i="6"/>
  <c r="O193" i="6"/>
  <c r="O194" i="6"/>
  <c r="O195" i="6"/>
  <c r="AO4" i="12"/>
  <c r="X5" i="12"/>
  <c r="Y5" i="12" s="1"/>
  <c r="Z5" i="12" s="1"/>
  <c r="AB5" i="12"/>
  <c r="AC5" i="12"/>
  <c r="AD5" i="12" s="1"/>
  <c r="AE5" i="12" s="1"/>
  <c r="AF5" i="12" s="1"/>
  <c r="AL8" i="12"/>
  <c r="AP9" i="12"/>
  <c r="N18" i="12"/>
  <c r="P18" i="12"/>
  <c r="Q18" i="12"/>
  <c r="T18" i="12"/>
  <c r="N19" i="12"/>
  <c r="Q19" i="12"/>
  <c r="T19" i="12"/>
  <c r="N20" i="12"/>
  <c r="Q20" i="12"/>
  <c r="T20" i="12"/>
  <c r="N21" i="12"/>
  <c r="Q21" i="12"/>
  <c r="T21" i="12"/>
  <c r="N24" i="12"/>
  <c r="Q24" i="12"/>
  <c r="N25" i="12"/>
  <c r="Q25" i="12"/>
  <c r="N26" i="12"/>
  <c r="Q26" i="12"/>
  <c r="N27" i="12"/>
  <c r="Q27" i="12"/>
  <c r="N28" i="12"/>
  <c r="Q28" i="12"/>
  <c r="N32" i="12"/>
  <c r="Q32" i="12"/>
  <c r="T32" i="12"/>
  <c r="N33" i="12"/>
  <c r="Q33" i="12"/>
  <c r="T33" i="12"/>
  <c r="N34" i="12"/>
  <c r="Q34" i="12"/>
  <c r="T34" i="12"/>
  <c r="N35" i="12"/>
  <c r="P35" i="12"/>
  <c r="R35" i="12" s="1"/>
  <c r="Q35" i="12"/>
  <c r="T35" i="12"/>
  <c r="N38" i="12"/>
  <c r="P38" i="12"/>
  <c r="R38" i="12" s="1"/>
  <c r="Q38" i="12"/>
  <c r="T38" i="12"/>
  <c r="N41" i="12"/>
  <c r="Q41" i="12"/>
  <c r="T41" i="12"/>
  <c r="N42" i="12"/>
  <c r="Q42" i="12"/>
  <c r="T42" i="12"/>
  <c r="N43" i="12"/>
  <c r="Q43" i="12"/>
  <c r="T43" i="12"/>
  <c r="N44" i="12"/>
  <c r="Q44" i="12"/>
  <c r="T44" i="12"/>
  <c r="N47" i="12"/>
  <c r="Q47" i="12"/>
  <c r="T47" i="12"/>
  <c r="W50" i="12"/>
  <c r="AG52" i="12"/>
  <c r="AC54" i="12"/>
  <c r="AD54" i="12"/>
  <c r="AE54" i="12"/>
  <c r="AF54" i="12"/>
  <c r="N55" i="12"/>
  <c r="Q55" i="12"/>
  <c r="T55" i="12"/>
  <c r="N56" i="12"/>
  <c r="Q56" i="12"/>
  <c r="T56" i="12"/>
  <c r="AD56" i="12"/>
  <c r="AE56" i="12"/>
  <c r="AD60" i="12" s="1"/>
  <c r="AF56" i="12"/>
  <c r="AE60" i="12" s="1"/>
  <c r="AG56" i="12"/>
  <c r="AF60" i="12" s="1"/>
  <c r="AH56" i="12"/>
  <c r="AH60" i="12"/>
  <c r="AI56" i="12"/>
  <c r="N57" i="12"/>
  <c r="Q57" i="12"/>
  <c r="T57" i="12"/>
  <c r="AD57" i="12"/>
  <c r="AE57" i="12"/>
  <c r="AE61" i="12" s="1"/>
  <c r="AF57" i="12"/>
  <c r="AK57" i="12"/>
  <c r="N58" i="12"/>
  <c r="Q58" i="12"/>
  <c r="S58" i="12"/>
  <c r="U58" i="12" s="1"/>
  <c r="T58" i="12"/>
  <c r="AC58" i="12"/>
  <c r="AD58" i="12"/>
  <c r="AE58" i="12"/>
  <c r="AE62" i="12" s="1"/>
  <c r="AF58" i="12"/>
  <c r="AG58" i="12"/>
  <c r="AH58" i="12"/>
  <c r="AI58" i="12"/>
  <c r="AK58" i="12"/>
  <c r="AF62" i="12"/>
  <c r="M63" i="12"/>
  <c r="O63" i="12" s="1"/>
  <c r="N63" i="12"/>
  <c r="Q63" i="12"/>
  <c r="T63" i="12"/>
  <c r="N64" i="12"/>
  <c r="Q64" i="12"/>
  <c r="T64" i="12"/>
  <c r="N65" i="12"/>
  <c r="Q65" i="12"/>
  <c r="T65" i="12"/>
  <c r="N66" i="12"/>
  <c r="Q66" i="12"/>
  <c r="T66" i="12"/>
  <c r="N67" i="12"/>
  <c r="Q67" i="12"/>
  <c r="T67" i="12"/>
  <c r="N68" i="12"/>
  <c r="Q68" i="12"/>
  <c r="T68" i="12"/>
  <c r="N69" i="12"/>
  <c r="Q69" i="12"/>
  <c r="T69" i="12"/>
  <c r="N70" i="12"/>
  <c r="Q70" i="12"/>
  <c r="T70" i="12"/>
  <c r="X71" i="12"/>
  <c r="W63" i="12"/>
  <c r="G72" i="12"/>
  <c r="T85" i="2" s="1"/>
  <c r="D89" i="12"/>
  <c r="D91" i="12"/>
  <c r="M108" i="12"/>
  <c r="G112" i="12" s="1"/>
  <c r="G110" i="12"/>
  <c r="U115" i="12"/>
  <c r="W115" i="12"/>
  <c r="W116" i="12" s="1"/>
  <c r="W117" i="12" s="1"/>
  <c r="V117" i="12" s="1"/>
  <c r="T117" i="12" s="1"/>
  <c r="X117" i="12" s="1"/>
  <c r="U116" i="12"/>
  <c r="U117" i="12"/>
  <c r="R121" i="12"/>
  <c r="K122" i="12"/>
  <c r="R122" i="12" s="1"/>
  <c r="R123" i="12"/>
  <c r="L124" i="12"/>
  <c r="R124" i="12"/>
  <c r="R125" i="12"/>
  <c r="K126" i="12"/>
  <c r="L126" i="12"/>
  <c r="R126" i="12" s="1"/>
  <c r="L127" i="12"/>
  <c r="R127" i="12" s="1"/>
  <c r="R128" i="12"/>
  <c r="R129" i="12"/>
  <c r="L130" i="12"/>
  <c r="R130" i="12" s="1"/>
  <c r="R131" i="12"/>
  <c r="R132" i="12"/>
  <c r="R133" i="12"/>
  <c r="R134" i="12"/>
  <c r="D143" i="12"/>
  <c r="D144" i="12"/>
  <c r="I4" i="9"/>
  <c r="E5" i="9"/>
  <c r="AD4" i="10"/>
  <c r="AD18" i="10"/>
  <c r="AE4" i="10"/>
  <c r="AD5" i="10"/>
  <c r="AE5" i="10"/>
  <c r="AD6" i="10"/>
  <c r="AE6" i="10"/>
  <c r="AD7" i="10"/>
  <c r="AE7" i="10"/>
  <c r="AD8" i="10"/>
  <c r="AE8" i="10"/>
  <c r="AD9" i="10"/>
  <c r="AE9" i="10"/>
  <c r="AD10" i="10"/>
  <c r="AE10" i="10"/>
  <c r="AD11" i="10"/>
  <c r="AE11" i="10"/>
  <c r="AD12" i="10"/>
  <c r="AE12" i="10"/>
  <c r="AD13" i="10"/>
  <c r="AE13" i="10"/>
  <c r="AD14" i="10"/>
  <c r="AE14" i="10"/>
  <c r="AD17" i="10"/>
  <c r="AE17" i="10"/>
  <c r="C18" i="10"/>
  <c r="D18" i="10"/>
  <c r="E18" i="10"/>
  <c r="F18" i="10"/>
  <c r="G18" i="10"/>
  <c r="H18" i="10"/>
  <c r="I18" i="10"/>
  <c r="J18" i="10"/>
  <c r="K18" i="10"/>
  <c r="L18" i="10"/>
  <c r="M18" i="10"/>
  <c r="N18" i="10"/>
  <c r="O18" i="10"/>
  <c r="P18" i="10"/>
  <c r="Q18" i="10"/>
  <c r="R18" i="10"/>
  <c r="S18" i="10"/>
  <c r="T18" i="10"/>
  <c r="U18" i="10"/>
  <c r="V18" i="10"/>
  <c r="W18" i="10"/>
  <c r="X18" i="10"/>
  <c r="Y18" i="10"/>
  <c r="Z18" i="10"/>
  <c r="AA18" i="10"/>
  <c r="AB18" i="10"/>
  <c r="AC18" i="10"/>
  <c r="AF18" i="10"/>
  <c r="AG18" i="10"/>
  <c r="AH18" i="10"/>
  <c r="AI18" i="10"/>
  <c r="AJ18" i="10"/>
  <c r="AK18" i="10"/>
  <c r="AL18" i="10"/>
  <c r="AM18" i="10"/>
  <c r="AN18" i="10"/>
  <c r="AO18" i="10"/>
  <c r="AP18" i="10"/>
  <c r="AQ18" i="10"/>
  <c r="AR18" i="10"/>
  <c r="AS18" i="10"/>
  <c r="AT18" i="10"/>
  <c r="AU18" i="10"/>
  <c r="AV18" i="10"/>
  <c r="AX18" i="10"/>
  <c r="AY18" i="10"/>
  <c r="AZ18" i="10"/>
  <c r="BA18" i="10"/>
  <c r="BB18" i="10"/>
  <c r="BC18" i="10"/>
  <c r="BD18" i="10"/>
  <c r="AE5" i="8"/>
  <c r="AF5" i="8"/>
  <c r="AE6" i="8"/>
  <c r="AF6" i="8"/>
  <c r="AE7" i="8"/>
  <c r="AF7" i="8"/>
  <c r="AE8" i="8"/>
  <c r="AF8" i="8"/>
  <c r="AE9" i="8"/>
  <c r="AF9" i="8"/>
  <c r="AE10" i="8"/>
  <c r="AF10" i="8"/>
  <c r="AE11" i="8"/>
  <c r="AF11" i="8"/>
  <c r="AE12" i="8"/>
  <c r="AF12" i="8"/>
  <c r="AE13" i="8"/>
  <c r="AF13" i="8"/>
  <c r="AE14" i="8"/>
  <c r="AF14" i="8"/>
  <c r="AE15" i="8"/>
  <c r="AF15" i="8"/>
  <c r="AE16" i="8"/>
  <c r="AF16" i="8"/>
  <c r="AE17" i="8"/>
  <c r="AF17" i="8"/>
  <c r="AE18" i="8"/>
  <c r="AF18" i="8"/>
  <c r="AE22" i="8"/>
  <c r="AF22" i="8"/>
  <c r="AE23" i="8"/>
  <c r="AF23" i="8"/>
  <c r="AE24" i="8"/>
  <c r="AF24" i="8"/>
  <c r="AE25" i="8"/>
  <c r="AF25" i="8"/>
  <c r="AE26" i="8"/>
  <c r="AF26" i="8"/>
  <c r="AE27" i="8"/>
  <c r="AF27" i="8"/>
  <c r="AE28" i="8"/>
  <c r="AF28" i="8"/>
  <c r="AE29" i="8"/>
  <c r="AF29" i="8"/>
  <c r="AE30" i="8"/>
  <c r="AF30" i="8"/>
  <c r="AE31" i="8"/>
  <c r="AF31" i="8"/>
  <c r="AE32" i="8"/>
  <c r="AF32" i="8"/>
  <c r="AE33" i="8"/>
  <c r="AF33" i="8"/>
  <c r="AE34" i="8"/>
  <c r="AF34" i="8"/>
  <c r="AE35" i="8"/>
  <c r="AF35" i="8"/>
  <c r="AE39" i="8"/>
  <c r="AF39" i="8"/>
  <c r="AE40" i="8"/>
  <c r="AF40" i="8"/>
  <c r="AE41" i="8"/>
  <c r="AF41" i="8"/>
  <c r="AE42" i="8"/>
  <c r="AF42" i="8"/>
  <c r="AE43" i="8"/>
  <c r="AF43" i="8"/>
  <c r="AE44" i="8"/>
  <c r="AF44" i="8"/>
  <c r="AE45" i="8"/>
  <c r="AF45" i="8"/>
  <c r="AE46" i="8"/>
  <c r="AF46" i="8"/>
  <c r="AE47" i="8"/>
  <c r="AF47" i="8"/>
  <c r="AE48" i="8"/>
  <c r="AF48" i="8"/>
  <c r="AE49" i="8"/>
  <c r="AF49" i="8"/>
  <c r="AE50" i="8"/>
  <c r="AF50" i="8"/>
  <c r="AE51" i="8"/>
  <c r="AF51" i="8"/>
  <c r="AE52" i="8"/>
  <c r="AF52" i="8"/>
  <c r="AE56" i="8"/>
  <c r="AF56" i="8"/>
  <c r="AE57" i="8"/>
  <c r="AF57" i="8"/>
  <c r="AE58" i="8"/>
  <c r="AE230" i="8" s="1"/>
  <c r="AE231" i="8" s="1"/>
  <c r="AF58" i="8"/>
  <c r="AF70" i="8" s="1"/>
  <c r="AF230" i="8"/>
  <c r="AF231" i="8" s="1"/>
  <c r="AE59" i="8"/>
  <c r="AF59" i="8"/>
  <c r="AE60" i="8"/>
  <c r="AF60" i="8"/>
  <c r="AE61" i="8"/>
  <c r="AF61" i="8"/>
  <c r="AE62" i="8"/>
  <c r="AF62" i="8"/>
  <c r="AE63" i="8"/>
  <c r="AF63" i="8"/>
  <c r="AE64" i="8"/>
  <c r="AF64" i="8"/>
  <c r="AE65" i="8"/>
  <c r="AF65" i="8"/>
  <c r="AE66" i="8"/>
  <c r="AF66" i="8"/>
  <c r="AE67" i="8"/>
  <c r="AF67" i="8"/>
  <c r="AE68" i="8"/>
  <c r="AF68" i="8"/>
  <c r="AE69" i="8"/>
  <c r="AF69" i="8"/>
  <c r="AE70" i="8"/>
  <c r="AE73" i="8"/>
  <c r="AF73" i="8"/>
  <c r="AE74" i="8"/>
  <c r="AF74" i="8"/>
  <c r="AE75" i="8"/>
  <c r="AF75" i="8"/>
  <c r="AE76" i="8"/>
  <c r="AF76" i="8"/>
  <c r="AE77" i="8"/>
  <c r="AF77" i="8"/>
  <c r="AE78" i="8"/>
  <c r="AF78" i="8"/>
  <c r="AE79" i="8"/>
  <c r="AF79" i="8"/>
  <c r="AE80" i="8"/>
  <c r="AF80" i="8"/>
  <c r="AE81" i="8"/>
  <c r="AF81" i="8"/>
  <c r="AE82" i="8"/>
  <c r="AF82" i="8"/>
  <c r="AE83" i="8"/>
  <c r="AF83" i="8"/>
  <c r="AE84" i="8"/>
  <c r="AF84" i="8"/>
  <c r="AE85" i="8"/>
  <c r="AF85" i="8"/>
  <c r="AE86" i="8"/>
  <c r="AF86" i="8"/>
  <c r="AE90" i="8"/>
  <c r="AF90" i="8"/>
  <c r="AE91" i="8"/>
  <c r="AF91" i="8"/>
  <c r="AE92" i="8"/>
  <c r="AF92" i="8"/>
  <c r="AE93" i="8"/>
  <c r="AF93" i="8"/>
  <c r="AE94" i="8"/>
  <c r="AF94" i="8"/>
  <c r="AE95" i="8"/>
  <c r="AF95" i="8"/>
  <c r="AE96" i="8"/>
  <c r="AF96" i="8"/>
  <c r="AE97" i="8"/>
  <c r="AF97" i="8"/>
  <c r="AE98" i="8"/>
  <c r="AF98" i="8"/>
  <c r="AE99" i="8"/>
  <c r="AF99" i="8"/>
  <c r="AE100" i="8"/>
  <c r="AF100" i="8"/>
  <c r="AE101" i="8"/>
  <c r="AF101" i="8"/>
  <c r="AE102" i="8"/>
  <c r="AF102" i="8"/>
  <c r="AE103" i="8"/>
  <c r="AF103" i="8"/>
  <c r="AE107" i="8"/>
  <c r="AF107" i="8"/>
  <c r="AE108" i="8"/>
  <c r="AF108" i="8"/>
  <c r="AE109" i="8"/>
  <c r="AF109" i="8"/>
  <c r="AE110" i="8"/>
  <c r="AF110" i="8"/>
  <c r="AE111" i="8"/>
  <c r="AF111" i="8"/>
  <c r="AE112" i="8"/>
  <c r="AF112" i="8"/>
  <c r="AE113" i="8"/>
  <c r="AF113" i="8"/>
  <c r="AE114" i="8"/>
  <c r="AF114" i="8"/>
  <c r="AE115" i="8"/>
  <c r="AF115" i="8"/>
  <c r="AE116" i="8"/>
  <c r="AF116" i="8"/>
  <c r="AE117" i="8"/>
  <c r="AF117" i="8"/>
  <c r="AE118" i="8"/>
  <c r="AF118" i="8"/>
  <c r="AE119" i="8"/>
  <c r="AF119" i="8"/>
  <c r="AE120" i="8"/>
  <c r="AF120" i="8"/>
  <c r="AE124" i="8"/>
  <c r="AF124" i="8"/>
  <c r="AE125" i="8"/>
  <c r="AF125" i="8"/>
  <c r="AE126" i="8"/>
  <c r="AF126" i="8"/>
  <c r="AE127" i="8"/>
  <c r="AF127" i="8"/>
  <c r="AE128" i="8"/>
  <c r="AF128" i="8"/>
  <c r="AE129" i="8"/>
  <c r="AF129" i="8"/>
  <c r="AE130" i="8"/>
  <c r="AF130" i="8"/>
  <c r="AE131" i="8"/>
  <c r="AF131" i="8"/>
  <c r="AE132" i="8"/>
  <c r="AF132" i="8"/>
  <c r="AE133" i="8"/>
  <c r="AF133" i="8"/>
  <c r="AE134" i="8"/>
  <c r="AF134" i="8"/>
  <c r="AE135" i="8"/>
  <c r="AF135" i="8"/>
  <c r="AE136" i="8"/>
  <c r="AF136" i="8"/>
  <c r="AE137" i="8"/>
  <c r="AF137" i="8"/>
  <c r="AE141" i="8"/>
  <c r="AF141" i="8"/>
  <c r="AE142" i="8"/>
  <c r="AF142" i="8"/>
  <c r="AE143" i="8"/>
  <c r="AF143" i="8"/>
  <c r="AE144" i="8"/>
  <c r="AF144" i="8"/>
  <c r="AE145" i="8"/>
  <c r="AF145" i="8"/>
  <c r="AE146" i="8"/>
  <c r="AF146" i="8"/>
  <c r="AE147" i="8"/>
  <c r="AF147" i="8"/>
  <c r="AE148" i="8"/>
  <c r="AF148" i="8"/>
  <c r="AE149" i="8"/>
  <c r="AF149" i="8"/>
  <c r="AE150" i="8"/>
  <c r="AF150" i="8"/>
  <c r="AE151" i="8"/>
  <c r="AF151" i="8"/>
  <c r="AE152" i="8"/>
  <c r="AF152" i="8"/>
  <c r="AE153" i="8"/>
  <c r="AF153" i="8"/>
  <c r="AE154" i="8"/>
  <c r="AF154" i="8"/>
  <c r="C207" i="8"/>
  <c r="D230" i="8"/>
  <c r="D231" i="8"/>
  <c r="E230" i="8"/>
  <c r="E231" i="8"/>
  <c r="F230" i="8"/>
  <c r="F231" i="8"/>
  <c r="G230" i="8"/>
  <c r="G231" i="8"/>
  <c r="H230" i="8"/>
  <c r="H231" i="8"/>
  <c r="J230" i="8"/>
  <c r="J231" i="8"/>
  <c r="R7" i="12" s="1"/>
  <c r="K230" i="8"/>
  <c r="K231" i="8"/>
  <c r="L230" i="8"/>
  <c r="L231" i="8"/>
  <c r="M230" i="8"/>
  <c r="M231" i="8"/>
  <c r="N230" i="8"/>
  <c r="N231" i="8"/>
  <c r="O230" i="8"/>
  <c r="O231" i="8"/>
  <c r="P230" i="8"/>
  <c r="P231" i="8"/>
  <c r="Q230" i="8"/>
  <c r="Q231" i="8"/>
  <c r="R230" i="8"/>
  <c r="R231" i="8"/>
  <c r="S230" i="8"/>
  <c r="S231" i="8"/>
  <c r="T230" i="8"/>
  <c r="T231" i="8"/>
  <c r="U230" i="8"/>
  <c r="U231" i="8"/>
  <c r="V230" i="8"/>
  <c r="V231" i="8"/>
  <c r="W230" i="8"/>
  <c r="W231" i="8"/>
  <c r="X230" i="8"/>
  <c r="X231" i="8"/>
  <c r="Y230" i="8"/>
  <c r="Y231" i="8"/>
  <c r="Z230" i="8"/>
  <c r="Z231" i="8"/>
  <c r="AA230" i="8"/>
  <c r="AA231" i="8"/>
  <c r="AB230" i="8"/>
  <c r="AB231" i="8"/>
  <c r="AC230" i="8"/>
  <c r="AC231" i="8"/>
  <c r="AD230" i="8"/>
  <c r="AD231" i="8"/>
  <c r="AG230" i="8"/>
  <c r="AG231" i="8"/>
  <c r="AH230" i="8"/>
  <c r="AH231" i="8"/>
  <c r="AI230" i="8"/>
  <c r="AI231" i="8"/>
  <c r="AJ230" i="8"/>
  <c r="AJ231" i="8"/>
  <c r="AK230" i="8"/>
  <c r="AK231" i="8"/>
  <c r="AL230" i="8"/>
  <c r="AL231" i="8"/>
  <c r="AM230" i="8"/>
  <c r="AM231" i="8"/>
  <c r="AN230" i="8"/>
  <c r="AN231" i="8"/>
  <c r="AO230" i="8"/>
  <c r="AO231" i="8"/>
  <c r="AP230" i="8"/>
  <c r="AP231" i="8"/>
  <c r="AQ230" i="8"/>
  <c r="AQ231" i="8"/>
  <c r="AR230" i="8"/>
  <c r="AR231" i="8"/>
  <c r="AS230" i="8"/>
  <c r="AS231" i="8"/>
  <c r="AT230" i="8"/>
  <c r="AT231" i="8"/>
  <c r="AU230" i="8"/>
  <c r="AU231" i="8"/>
  <c r="AV230" i="8"/>
  <c r="AV231" i="8"/>
  <c r="AW230" i="8"/>
  <c r="AW231" i="8"/>
  <c r="AY230" i="8"/>
  <c r="AY231" i="8"/>
  <c r="AZ230" i="8"/>
  <c r="AZ231" i="8"/>
  <c r="BA230" i="8"/>
  <c r="BA231" i="8"/>
  <c r="BB230" i="8"/>
  <c r="BB231" i="8"/>
  <c r="BC230" i="8"/>
  <c r="BC231" i="8"/>
  <c r="BD230" i="8"/>
  <c r="BD231" i="8"/>
  <c r="BE230" i="8"/>
  <c r="BE231" i="8"/>
  <c r="C12" i="2"/>
  <c r="C15" i="2"/>
  <c r="A21" i="11" s="1"/>
  <c r="C16" i="2"/>
  <c r="C17" i="2"/>
  <c r="C18" i="2"/>
  <c r="C19" i="2"/>
  <c r="C22" i="2"/>
  <c r="T86" i="2"/>
  <c r="E84" i="6" s="1"/>
  <c r="AC78" i="6"/>
  <c r="C117" i="11" s="1"/>
  <c r="BD117" i="11" s="1"/>
  <c r="AC80" i="6"/>
  <c r="C119" i="11" s="1"/>
  <c r="BD119" i="11" s="1"/>
  <c r="O685" i="2"/>
  <c r="O686" i="2"/>
  <c r="C2" i="11"/>
  <c r="BD2" i="11" s="1"/>
  <c r="C3" i="11"/>
  <c r="BD3" i="11" s="1"/>
  <c r="C5" i="11"/>
  <c r="BD5" i="11" s="1"/>
  <c r="C10" i="11"/>
  <c r="BD10" i="11" s="1"/>
  <c r="BB38" i="11" s="1"/>
  <c r="D111" i="11"/>
  <c r="E8" i="13"/>
  <c r="F8" i="13"/>
  <c r="E23" i="13"/>
  <c r="F23" i="13"/>
  <c r="I214" i="6"/>
  <c r="J219" i="6"/>
  <c r="O224" i="6"/>
  <c r="I230" i="6"/>
  <c r="E212" i="6"/>
  <c r="E213" i="6"/>
  <c r="E214" i="6"/>
  <c r="E215" i="6"/>
  <c r="E216" i="6"/>
  <c r="E217" i="6"/>
  <c r="E218" i="6"/>
  <c r="E219" i="6"/>
  <c r="E220" i="6"/>
  <c r="E221" i="6"/>
  <c r="E222" i="6"/>
  <c r="E223" i="6"/>
  <c r="E224" i="6"/>
  <c r="E225" i="6"/>
  <c r="E226" i="6"/>
  <c r="E227" i="6"/>
  <c r="E228" i="6"/>
  <c r="E229" i="6"/>
  <c r="E230" i="6"/>
  <c r="E231" i="6"/>
  <c r="E18" i="6"/>
  <c r="W70" i="12"/>
  <c r="W69" i="12"/>
  <c r="W68" i="12"/>
  <c r="W67" i="12"/>
  <c r="W66" i="12"/>
  <c r="W65" i="12"/>
  <c r="W64" i="12"/>
  <c r="N231" i="6"/>
  <c r="N216" i="6"/>
  <c r="D231" i="6"/>
  <c r="D230" i="6"/>
  <c r="D229" i="6"/>
  <c r="D228" i="6"/>
  <c r="D227" i="6"/>
  <c r="D226" i="6"/>
  <c r="D225" i="6"/>
  <c r="D224" i="6"/>
  <c r="D223" i="6"/>
  <c r="D222" i="6"/>
  <c r="D221" i="6"/>
  <c r="D220" i="6"/>
  <c r="D219" i="6"/>
  <c r="D218" i="6"/>
  <c r="D217" i="6"/>
  <c r="D216" i="6"/>
  <c r="D215" i="6"/>
  <c r="D214" i="6"/>
  <c r="D213" i="6"/>
  <c r="D212" i="6"/>
  <c r="P19" i="12"/>
  <c r="R19" i="12" s="1"/>
  <c r="P28" i="12"/>
  <c r="R28" i="12" s="1"/>
  <c r="M35" i="12"/>
  <c r="O35" i="12"/>
  <c r="M42" i="12"/>
  <c r="O42" i="12" s="1"/>
  <c r="P55" i="12"/>
  <c r="R55" i="12" s="1"/>
  <c r="AC86" i="6"/>
  <c r="AD90" i="6"/>
  <c r="D129" i="11" s="1"/>
  <c r="BE129" i="11" s="1"/>
  <c r="AD79" i="6"/>
  <c r="D118" i="11" s="1"/>
  <c r="BE118" i="11" s="1"/>
  <c r="E63" i="2"/>
  <c r="E36" i="6" s="1"/>
  <c r="AD36" i="6" s="1"/>
  <c r="D78" i="11" s="1"/>
  <c r="BE78" i="11" s="1"/>
  <c r="D84" i="6"/>
  <c r="AC61" i="6" s="1"/>
  <c r="C100" i="11" s="1"/>
  <c r="BD100" i="11" s="1"/>
  <c r="E85" i="2"/>
  <c r="E83" i="6" s="1"/>
  <c r="AD60" i="6" s="1"/>
  <c r="D99" i="11" s="1"/>
  <c r="BE99" i="11" s="1"/>
  <c r="AI85" i="2"/>
  <c r="AC61" i="12"/>
  <c r="AH62" i="12"/>
  <c r="AD62" i="12"/>
  <c r="R18" i="12"/>
  <c r="P67" i="12"/>
  <c r="R67" i="12" s="1"/>
  <c r="P41" i="12"/>
  <c r="R41" i="12" s="1"/>
  <c r="N220" i="6"/>
  <c r="O228" i="6"/>
  <c r="J223" i="6"/>
  <c r="I218" i="6"/>
  <c r="O212" i="6"/>
  <c r="U70" i="12"/>
  <c r="M65" i="12"/>
  <c r="O65" i="12" s="1"/>
  <c r="P42" i="12"/>
  <c r="M27" i="12"/>
  <c r="P20" i="12"/>
  <c r="R20" i="12" s="1"/>
  <c r="S34" i="12"/>
  <c r="U34" i="12" s="1"/>
  <c r="P63" i="12"/>
  <c r="R63" i="12" s="1"/>
  <c r="M47" i="12"/>
  <c r="P27" i="12"/>
  <c r="R27" i="12" s="1"/>
  <c r="M38" i="12"/>
  <c r="O38" i="12" s="1"/>
  <c r="P26" i="12"/>
  <c r="R26" i="12" s="1"/>
  <c r="P21" i="12"/>
  <c r="R21" i="12" s="1"/>
  <c r="M67" i="12"/>
  <c r="P44" i="12"/>
  <c r="R44" i="12" s="1"/>
  <c r="P65" i="12"/>
  <c r="R65" i="12" s="1"/>
  <c r="P69" i="12"/>
  <c r="R69" i="12" s="1"/>
  <c r="M57" i="12"/>
  <c r="O57" i="12"/>
  <c r="P34" i="12"/>
  <c r="R34" i="12" s="1"/>
  <c r="P24" i="12"/>
  <c r="R24" i="12" s="1"/>
  <c r="M18" i="12"/>
  <c r="O18" i="12" s="1"/>
  <c r="M44" i="12"/>
  <c r="O44" i="12" s="1"/>
  <c r="M33" i="12"/>
  <c r="O33" i="12" s="1"/>
  <c r="N224" i="6"/>
  <c r="J227" i="6"/>
  <c r="I222" i="6"/>
  <c r="O216" i="6"/>
  <c r="P58" i="12"/>
  <c r="R58" i="12" s="1"/>
  <c r="M64" i="12"/>
  <c r="O64" i="12" s="1"/>
  <c r="M66" i="12"/>
  <c r="O66" i="12" s="1"/>
  <c r="M68" i="12"/>
  <c r="O68" i="12" s="1"/>
  <c r="M70" i="12"/>
  <c r="O70" i="12" s="1"/>
  <c r="AI86" i="2"/>
  <c r="P56" i="12"/>
  <c r="R56" i="12" s="1"/>
  <c r="P43" i="12"/>
  <c r="R43" i="12" s="1"/>
  <c r="P32" i="12"/>
  <c r="R32" i="12" s="1"/>
  <c r="P25" i="12"/>
  <c r="R25" i="12" s="1"/>
  <c r="M20" i="12"/>
  <c r="O20" i="12" s="1"/>
  <c r="N212" i="6"/>
  <c r="N228" i="6"/>
  <c r="J231" i="6"/>
  <c r="I226" i="6"/>
  <c r="O220" i="6"/>
  <c r="J215" i="6"/>
  <c r="M69" i="12"/>
  <c r="O69" i="12"/>
  <c r="P57" i="12"/>
  <c r="R57" i="12" s="1"/>
  <c r="P33" i="12"/>
  <c r="R33" i="12" s="1"/>
  <c r="N213" i="6"/>
  <c r="N217" i="6"/>
  <c r="N221" i="6"/>
  <c r="N225" i="6"/>
  <c r="N229" i="6"/>
  <c r="I231" i="6"/>
  <c r="O229" i="6"/>
  <c r="J228" i="6"/>
  <c r="I227" i="6"/>
  <c r="O225" i="6"/>
  <c r="J224" i="6"/>
  <c r="I223" i="6"/>
  <c r="O221" i="6"/>
  <c r="J220" i="6"/>
  <c r="I219" i="6"/>
  <c r="O217" i="6"/>
  <c r="J216" i="6"/>
  <c r="I215" i="6"/>
  <c r="O213" i="6"/>
  <c r="J212" i="6"/>
  <c r="S38" i="12"/>
  <c r="U38" i="12" s="1"/>
  <c r="M43" i="12"/>
  <c r="O43" i="12" s="1"/>
  <c r="M41" i="12"/>
  <c r="O41" i="12" s="1"/>
  <c r="M34" i="12"/>
  <c r="M32" i="12"/>
  <c r="O32" i="12" s="1"/>
  <c r="M28" i="12"/>
  <c r="M24" i="12"/>
  <c r="O24" i="12" s="1"/>
  <c r="M21" i="12"/>
  <c r="M19" i="12"/>
  <c r="O19" i="12" s="1"/>
  <c r="E89" i="6"/>
  <c r="AD66" i="6" s="1"/>
  <c r="D105" i="11" s="1"/>
  <c r="BE105" i="11" s="1"/>
  <c r="AC82" i="6"/>
  <c r="C121" i="11" s="1"/>
  <c r="BD121" i="11" s="1"/>
  <c r="S20" i="12"/>
  <c r="U20" i="12" s="1"/>
  <c r="S27" i="12"/>
  <c r="S56" i="12"/>
  <c r="U56" i="12" s="1"/>
  <c r="S68" i="12"/>
  <c r="U68" i="12" s="1"/>
  <c r="N214" i="6"/>
  <c r="N218" i="6"/>
  <c r="N222" i="6"/>
  <c r="N226" i="6"/>
  <c r="O230" i="6"/>
  <c r="J229" i="6"/>
  <c r="I228" i="6"/>
  <c r="O226" i="6"/>
  <c r="J225" i="6"/>
  <c r="I224" i="6"/>
  <c r="O222" i="6"/>
  <c r="J221" i="6"/>
  <c r="I220" i="6"/>
  <c r="O218" i="6"/>
  <c r="J217" i="6"/>
  <c r="I216" i="6"/>
  <c r="O214" i="6"/>
  <c r="P214" i="6" s="1"/>
  <c r="J213" i="6"/>
  <c r="I212" i="6"/>
  <c r="M56" i="12"/>
  <c r="O56" i="12" s="1"/>
  <c r="M55" i="12"/>
  <c r="O55" i="12" s="1"/>
  <c r="M25" i="12"/>
  <c r="O25" i="12"/>
  <c r="S44" i="12"/>
  <c r="U44" i="12" s="1"/>
  <c r="S66" i="12"/>
  <c r="U66" i="12" s="1"/>
  <c r="N215" i="6"/>
  <c r="N219" i="6"/>
  <c r="N223" i="6"/>
  <c r="N227" i="6"/>
  <c r="N230" i="6"/>
  <c r="O231" i="6"/>
  <c r="J230" i="6"/>
  <c r="I229" i="6"/>
  <c r="O227" i="6"/>
  <c r="J226" i="6"/>
  <c r="I225" i="6"/>
  <c r="O223" i="6"/>
  <c r="J222" i="6"/>
  <c r="I221" i="6"/>
  <c r="O219" i="6"/>
  <c r="J218" i="6"/>
  <c r="I217" i="6"/>
  <c r="O215" i="6"/>
  <c r="J214" i="6"/>
  <c r="P70" i="12"/>
  <c r="R70" i="12" s="1"/>
  <c r="P68" i="12"/>
  <c r="R68" i="12"/>
  <c r="O67" i="12"/>
  <c r="P66" i="12"/>
  <c r="R66" i="12" s="1"/>
  <c r="P64" i="12"/>
  <c r="R64" i="12"/>
  <c r="M58" i="12"/>
  <c r="O58" i="12" s="1"/>
  <c r="P47" i="12"/>
  <c r="R47" i="12" s="1"/>
  <c r="O27" i="12"/>
  <c r="M26" i="12"/>
  <c r="S47" i="12"/>
  <c r="U47" i="12" s="1"/>
  <c r="S42" i="12"/>
  <c r="U42" i="12" s="1"/>
  <c r="S64" i="12"/>
  <c r="S35" i="12"/>
  <c r="U35" i="12" s="1"/>
  <c r="S24" i="12"/>
  <c r="S26" i="12"/>
  <c r="S57" i="12"/>
  <c r="U57" i="12" s="1"/>
  <c r="S32" i="12"/>
  <c r="U32" i="12" s="1"/>
  <c r="S19" i="12"/>
  <c r="U19" i="12" s="1"/>
  <c r="S21" i="12"/>
  <c r="U21" i="12" s="1"/>
  <c r="S28" i="12"/>
  <c r="S41" i="12"/>
  <c r="U41" i="12" s="1"/>
  <c r="S43" i="12"/>
  <c r="U43" i="12" s="1"/>
  <c r="S55" i="12"/>
  <c r="U55" i="12" s="1"/>
  <c r="S63" i="12"/>
  <c r="S65" i="12"/>
  <c r="U65" i="12" s="1"/>
  <c r="S67" i="12"/>
  <c r="U67" i="12" s="1"/>
  <c r="S69" i="12"/>
  <c r="U69" i="12" s="1"/>
  <c r="O34" i="12"/>
  <c r="O28" i="12"/>
  <c r="S33" i="12"/>
  <c r="U33" i="12" s="1"/>
  <c r="S18" i="12"/>
  <c r="U18" i="12" s="1"/>
  <c r="S25" i="12"/>
  <c r="U27" i="12"/>
  <c r="R3" i="12"/>
  <c r="X44" i="12" s="1"/>
  <c r="Y44" i="12" s="1"/>
  <c r="AG5" i="12"/>
  <c r="AH5" i="12"/>
  <c r="AI5" i="12" s="1"/>
  <c r="AJ5" i="12" s="1"/>
  <c r="AK5" i="12" s="1"/>
  <c r="AL5" i="12" s="1"/>
  <c r="AM5" i="12" s="1"/>
  <c r="AN5" i="12" s="1"/>
  <c r="AO5" i="12" s="1"/>
  <c r="AP5" i="12" s="1"/>
  <c r="AQ5" i="12" s="1"/>
  <c r="AR5" i="12" s="1"/>
  <c r="AS5" i="12" s="1"/>
  <c r="AC60" i="12"/>
  <c r="R42" i="12"/>
  <c r="V116" i="12"/>
  <c r="T116" i="12" s="1"/>
  <c r="X116" i="12" s="1"/>
  <c r="AH116" i="2"/>
  <c r="AC62" i="12"/>
  <c r="AG60" i="12"/>
  <c r="AH52" i="12"/>
  <c r="AH54" i="12" s="1"/>
  <c r="AH118" i="2"/>
  <c r="G111" i="12"/>
  <c r="G114" i="12" s="1"/>
  <c r="G113" i="12"/>
  <c r="AG62" i="12"/>
  <c r="O26" i="12"/>
  <c r="U64" i="12"/>
  <c r="U63" i="12"/>
  <c r="V36" i="12"/>
  <c r="AU47" i="12"/>
  <c r="AV45" i="12" s="1"/>
  <c r="V22" i="12"/>
  <c r="AV22" i="12"/>
  <c r="AH119" i="2"/>
  <c r="AV19" i="12"/>
  <c r="AV42" i="12"/>
  <c r="AV35" i="12"/>
  <c r="AV34" i="12"/>
  <c r="AV21" i="12"/>
  <c r="AV20" i="12"/>
  <c r="AV38" i="12"/>
  <c r="AH117" i="2"/>
  <c r="AI52" i="12"/>
  <c r="AH57" i="12"/>
  <c r="AE97" i="6"/>
  <c r="D136" i="11" s="1"/>
  <c r="BE136" i="11" s="1"/>
  <c r="Q110" i="12"/>
  <c r="AE99" i="6"/>
  <c r="D138" i="11" s="1"/>
  <c r="BE138" i="11" s="1"/>
  <c r="Q112" i="12"/>
  <c r="AI57" i="12"/>
  <c r="AI54" i="12"/>
  <c r="Q111" i="12"/>
  <c r="AE98" i="6"/>
  <c r="D137" i="11" s="1"/>
  <c r="BE137" i="11" s="1"/>
  <c r="AE100" i="6"/>
  <c r="D139" i="11" s="1"/>
  <c r="BE139" i="11" s="1"/>
  <c r="Q113" i="12"/>
  <c r="AH61" i="12"/>
  <c r="P222" i="6" l="1"/>
  <c r="P218" i="6"/>
  <c r="F185" i="6"/>
  <c r="AF146" i="12"/>
  <c r="BF146" i="12" s="1"/>
  <c r="Q114" i="12"/>
  <c r="E116" i="2" s="1"/>
  <c r="P115" i="6"/>
  <c r="P138" i="6" s="1"/>
  <c r="K160" i="6" s="1"/>
  <c r="D149" i="12"/>
  <c r="D101" i="12" s="1"/>
  <c r="G42" i="6"/>
  <c r="T77" i="2"/>
  <c r="P182" i="6"/>
  <c r="P226" i="6"/>
  <c r="P180" i="6"/>
  <c r="P176" i="6"/>
  <c r="K178" i="6"/>
  <c r="M225" i="8"/>
  <c r="P194" i="6"/>
  <c r="P190" i="6"/>
  <c r="P186" i="6"/>
  <c r="A38" i="11"/>
  <c r="X30" i="12"/>
  <c r="X27" i="12"/>
  <c r="T53" i="2"/>
  <c r="U26" i="12"/>
  <c r="T43" i="2"/>
  <c r="T36" i="2"/>
  <c r="T35" i="2"/>
  <c r="T57" i="2"/>
  <c r="U24" i="12"/>
  <c r="J224" i="8"/>
  <c r="I219" i="8"/>
  <c r="AI98" i="2"/>
  <c r="P215" i="8"/>
  <c r="T42" i="2"/>
  <c r="N223" i="8"/>
  <c r="E116" i="12"/>
  <c r="AI92" i="2"/>
  <c r="L226" i="8"/>
  <c r="Q215" i="8"/>
  <c r="U221" i="8"/>
  <c r="L223" i="8"/>
  <c r="E216" i="8"/>
  <c r="T41" i="2"/>
  <c r="T82" i="2"/>
  <c r="K185" i="6"/>
  <c r="O113" i="12"/>
  <c r="P113" i="12" s="1"/>
  <c r="N113" i="12" s="1"/>
  <c r="R113" i="12" s="1"/>
  <c r="F113" i="12"/>
  <c r="D113" i="12" s="1"/>
  <c r="K113" i="12" s="1"/>
  <c r="AF119" i="2"/>
  <c r="AF103" i="2"/>
  <c r="AC85" i="6"/>
  <c r="C124" i="11" s="1"/>
  <c r="BD124" i="11" s="1"/>
  <c r="R217" i="8"/>
  <c r="P218" i="8"/>
  <c r="J217" i="8"/>
  <c r="H220" i="8"/>
  <c r="H226" i="8"/>
  <c r="E221" i="8"/>
  <c r="D216" i="8"/>
  <c r="N224" i="8"/>
  <c r="E117" i="12"/>
  <c r="U25" i="12"/>
  <c r="H214" i="8"/>
  <c r="Q222" i="8"/>
  <c r="R222" i="8"/>
  <c r="L216" i="8"/>
  <c r="I220" i="8"/>
  <c r="E224" i="8"/>
  <c r="D219" i="8"/>
  <c r="U213" i="8"/>
  <c r="P195" i="6"/>
  <c r="P191" i="6"/>
  <c r="P187" i="6"/>
  <c r="F178" i="6"/>
  <c r="F188" i="6"/>
  <c r="F192" i="6"/>
  <c r="I223" i="8"/>
  <c r="F111" i="12"/>
  <c r="D111" i="12" s="1"/>
  <c r="K111" i="12" s="1"/>
  <c r="Y27" i="12"/>
  <c r="J220" i="8"/>
  <c r="P225" i="8"/>
  <c r="Q225" i="8"/>
  <c r="L224" i="8"/>
  <c r="N213" i="8"/>
  <c r="D224" i="8"/>
  <c r="U218" i="8"/>
  <c r="E213" i="8"/>
  <c r="H221" i="8"/>
  <c r="K180" i="6"/>
  <c r="D140" i="12"/>
  <c r="D141" i="12" s="1"/>
  <c r="D99" i="12" s="1"/>
  <c r="N218" i="8"/>
  <c r="L221" i="8"/>
  <c r="M224" i="8"/>
  <c r="I214" i="8"/>
  <c r="F213" i="8"/>
  <c r="F214" i="8"/>
  <c r="F215" i="8"/>
  <c r="F216" i="8"/>
  <c r="F217" i="8"/>
  <c r="F218" i="8"/>
  <c r="F219" i="8"/>
  <c r="F220" i="8"/>
  <c r="F221" i="8"/>
  <c r="F222" i="8"/>
  <c r="F223" i="8"/>
  <c r="F224" i="8"/>
  <c r="F225" i="8"/>
  <c r="F226" i="8"/>
  <c r="C45" i="11"/>
  <c r="BD45" i="11" s="1"/>
  <c r="I226" i="8"/>
  <c r="I218" i="8"/>
  <c r="H224" i="8"/>
  <c r="H216" i="8"/>
  <c r="M221" i="8"/>
  <c r="M213" i="8"/>
  <c r="L218" i="8"/>
  <c r="J223" i="8"/>
  <c r="J215" i="8"/>
  <c r="N221" i="8"/>
  <c r="R226" i="8"/>
  <c r="P224" i="8"/>
  <c r="Q221" i="8"/>
  <c r="R218" i="8"/>
  <c r="P216" i="8"/>
  <c r="Q213" i="8"/>
  <c r="Q224" i="8"/>
  <c r="R221" i="8"/>
  <c r="P219" i="8"/>
  <c r="Q216" i="8"/>
  <c r="R213" i="8"/>
  <c r="M222" i="8"/>
  <c r="I225" i="8"/>
  <c r="M220" i="8"/>
  <c r="N214" i="8"/>
  <c r="D158" i="12"/>
  <c r="D95" i="12" s="1"/>
  <c r="J226" i="8"/>
  <c r="M218" i="8"/>
  <c r="H215" i="8"/>
  <c r="D214" i="8"/>
  <c r="E215" i="8"/>
  <c r="U216" i="8"/>
  <c r="D218" i="8"/>
  <c r="E219" i="8"/>
  <c r="U220" i="8"/>
  <c r="D222" i="8"/>
  <c r="E223" i="8"/>
  <c r="U224" i="8"/>
  <c r="D226" i="8"/>
  <c r="U226" i="8"/>
  <c r="I224" i="8"/>
  <c r="I215" i="8"/>
  <c r="H218" i="8"/>
  <c r="M219" i="8"/>
  <c r="L222" i="8"/>
  <c r="J225" i="8"/>
  <c r="J213" i="8"/>
  <c r="N217" i="8"/>
  <c r="R224" i="8"/>
  <c r="R220" i="8"/>
  <c r="Q217" i="8"/>
  <c r="P214" i="8"/>
  <c r="R223" i="8"/>
  <c r="Q220" i="8"/>
  <c r="P217" i="8"/>
  <c r="P213" i="8"/>
  <c r="H217" i="8"/>
  <c r="I217" i="8"/>
  <c r="L217" i="8"/>
  <c r="N216" i="8"/>
  <c r="J216" i="8"/>
  <c r="J214" i="8"/>
  <c r="L215" i="8"/>
  <c r="M226" i="8"/>
  <c r="I221" i="8"/>
  <c r="D213" i="8"/>
  <c r="E214" i="8"/>
  <c r="U215" i="8"/>
  <c r="D217" i="8"/>
  <c r="E218" i="8"/>
  <c r="U219" i="8"/>
  <c r="D221" i="8"/>
  <c r="E222" i="8"/>
  <c r="U223" i="8"/>
  <c r="D225" i="8"/>
  <c r="E226" i="8"/>
  <c r="I222" i="8"/>
  <c r="I213" i="8"/>
  <c r="H213" i="8"/>
  <c r="M217" i="8"/>
  <c r="L220" i="8"/>
  <c r="J221" i="8"/>
  <c r="N225" i="8"/>
  <c r="N215" i="8"/>
  <c r="Q223" i="8"/>
  <c r="P220" i="8"/>
  <c r="R216" i="8"/>
  <c r="Q226" i="8"/>
  <c r="P223" i="8"/>
  <c r="S223" i="8" s="1"/>
  <c r="R219" i="8"/>
  <c r="R215" i="8"/>
  <c r="L213" i="8"/>
  <c r="M214" i="8"/>
  <c r="H223" i="8"/>
  <c r="N226" i="8"/>
  <c r="N222" i="8"/>
  <c r="N220" i="8"/>
  <c r="AC100" i="6"/>
  <c r="L219" i="8"/>
  <c r="Q218" i="8"/>
  <c r="R225" i="8"/>
  <c r="Q219" i="8"/>
  <c r="P226" i="8"/>
  <c r="J219" i="8"/>
  <c r="M215" i="8"/>
  <c r="H222" i="8"/>
  <c r="U225" i="8"/>
  <c r="D223" i="8"/>
  <c r="E220" i="8"/>
  <c r="U217" i="8"/>
  <c r="D215" i="8"/>
  <c r="H219" i="8"/>
  <c r="K219" i="8" s="1"/>
  <c r="H97" i="6"/>
  <c r="H122" i="6" s="1"/>
  <c r="O95" i="6"/>
  <c r="Q40" i="6"/>
  <c r="U40" i="6" s="1"/>
  <c r="T72" i="2"/>
  <c r="T83" i="2"/>
  <c r="AI83" i="2" s="1"/>
  <c r="T78" i="2"/>
  <c r="T81" i="2"/>
  <c r="T48" i="2"/>
  <c r="T71" i="2"/>
  <c r="T34" i="2"/>
  <c r="T49" i="2"/>
  <c r="T80" i="2"/>
  <c r="T54" i="2"/>
  <c r="T55" i="2"/>
  <c r="T76" i="2"/>
  <c r="T46" i="2"/>
  <c r="T59" i="2"/>
  <c r="T47" i="2"/>
  <c r="T33" i="2"/>
  <c r="T50" i="2"/>
  <c r="T79" i="2"/>
  <c r="T73" i="2"/>
  <c r="T40" i="2"/>
  <c r="T56" i="2"/>
  <c r="T63" i="2"/>
  <c r="T58" i="2"/>
  <c r="J222" i="8"/>
  <c r="J218" i="8"/>
  <c r="L225" i="8"/>
  <c r="H225" i="8"/>
  <c r="Q214" i="8"/>
  <c r="P221" i="8"/>
  <c r="R214" i="8"/>
  <c r="P222" i="8"/>
  <c r="N219" i="8"/>
  <c r="L214" i="8"/>
  <c r="M223" i="8"/>
  <c r="I216" i="8"/>
  <c r="E225" i="8"/>
  <c r="U222" i="8"/>
  <c r="D220" i="8"/>
  <c r="E217" i="8"/>
  <c r="U214" i="8"/>
  <c r="M216" i="8"/>
  <c r="K222" i="6"/>
  <c r="F4" i="9"/>
  <c r="D54" i="9"/>
  <c r="F8" i="9" s="1"/>
  <c r="G60" i="6" s="1"/>
  <c r="AD74" i="6"/>
  <c r="D113" i="11" s="1"/>
  <c r="BE113" i="11" s="1"/>
  <c r="E86" i="6"/>
  <c r="AD63" i="6" s="1"/>
  <c r="D102" i="11" s="1"/>
  <c r="BE102" i="11" s="1"/>
  <c r="E88" i="6"/>
  <c r="AD65" i="6" s="1"/>
  <c r="D104" i="11" s="1"/>
  <c r="BE104" i="11" s="1"/>
  <c r="AD80" i="6"/>
  <c r="D119" i="11" s="1"/>
  <c r="BE119" i="11" s="1"/>
  <c r="D53" i="9"/>
  <c r="F7" i="9" s="1"/>
  <c r="G39" i="6" s="1"/>
  <c r="G43" i="6" s="1"/>
  <c r="K228" i="6"/>
  <c r="C2" i="9"/>
  <c r="F39" i="6"/>
  <c r="F40" i="6" s="1"/>
  <c r="E115" i="12"/>
  <c r="U28" i="12"/>
  <c r="K176" i="6"/>
  <c r="K184" i="6"/>
  <c r="K186" i="6"/>
  <c r="K188" i="6"/>
  <c r="K190" i="6"/>
  <c r="K192" i="6"/>
  <c r="K227" i="6"/>
  <c r="K223" i="6"/>
  <c r="K226" i="6"/>
  <c r="P213" i="6"/>
  <c r="X19" i="12"/>
  <c r="Y19" i="12" s="1"/>
  <c r="X43" i="12"/>
  <c r="Y43" i="12" s="1"/>
  <c r="X38" i="12"/>
  <c r="Y38" i="12" s="1"/>
  <c r="K194" i="6"/>
  <c r="F180" i="6"/>
  <c r="F179" i="6"/>
  <c r="F186" i="6"/>
  <c r="F193" i="6"/>
  <c r="P192" i="6"/>
  <c r="K212" i="6"/>
  <c r="F215" i="6"/>
  <c r="K230" i="6"/>
  <c r="P227" i="6"/>
  <c r="P219" i="6"/>
  <c r="P217" i="6"/>
  <c r="P178" i="6"/>
  <c r="X21" i="12"/>
  <c r="Y21" i="12" s="1"/>
  <c r="X24" i="12"/>
  <c r="Y24" i="12" s="1"/>
  <c r="X42" i="12"/>
  <c r="Y42" i="12" s="1"/>
  <c r="P188" i="6"/>
  <c r="P184" i="6"/>
  <c r="F183" i="6"/>
  <c r="X35" i="12"/>
  <c r="Y35" i="12" s="1"/>
  <c r="X34" i="12"/>
  <c r="Y34" i="12" s="1"/>
  <c r="X36" i="12"/>
  <c r="Y36" i="12" s="1"/>
  <c r="P193" i="6"/>
  <c r="P189" i="6"/>
  <c r="F189" i="6"/>
  <c r="F184" i="6"/>
  <c r="F195" i="6"/>
  <c r="K187" i="6"/>
  <c r="K193" i="6"/>
  <c r="P215" i="6"/>
  <c r="K221" i="6"/>
  <c r="K218" i="6"/>
  <c r="K217" i="6"/>
  <c r="F228" i="6"/>
  <c r="F220" i="6"/>
  <c r="K220" i="6"/>
  <c r="F218" i="6"/>
  <c r="K231" i="6"/>
  <c r="X20" i="12"/>
  <c r="Y20" i="12" s="1"/>
  <c r="X33" i="12"/>
  <c r="Y33" i="12" s="1"/>
  <c r="X47" i="12"/>
  <c r="Y47" i="12" s="1"/>
  <c r="X32" i="12"/>
  <c r="Y32" i="12" s="1"/>
  <c r="X41" i="12"/>
  <c r="Y41" i="12" s="1"/>
  <c r="X26" i="12"/>
  <c r="Y26" i="12" s="1"/>
  <c r="X25" i="12"/>
  <c r="Y25" i="12" s="1"/>
  <c r="K214" i="6"/>
  <c r="F212" i="6"/>
  <c r="F216" i="6"/>
  <c r="P183" i="6"/>
  <c r="X18" i="12"/>
  <c r="Y18" i="12" s="1"/>
  <c r="X29" i="12"/>
  <c r="X45" i="12"/>
  <c r="X22" i="12"/>
  <c r="Y22" i="12" s="1"/>
  <c r="X28" i="12"/>
  <c r="Y28" i="12" s="1"/>
  <c r="K219" i="6"/>
  <c r="P229" i="6"/>
  <c r="F213" i="6"/>
  <c r="F217" i="6"/>
  <c r="F221" i="6"/>
  <c r="F225" i="6"/>
  <c r="F229" i="6"/>
  <c r="P228" i="6"/>
  <c r="K179" i="6"/>
  <c r="K181" i="6"/>
  <c r="K183" i="6"/>
  <c r="P177" i="6"/>
  <c r="P181" i="6"/>
  <c r="K215" i="6"/>
  <c r="F224" i="6"/>
  <c r="F176" i="6"/>
  <c r="F190" i="6"/>
  <c r="F182" i="6"/>
  <c r="K189" i="6"/>
  <c r="K191" i="6"/>
  <c r="K195" i="6"/>
  <c r="K225" i="6"/>
  <c r="P230" i="6"/>
  <c r="K224" i="6"/>
  <c r="P221" i="6"/>
  <c r="P231" i="6"/>
  <c r="F230" i="6"/>
  <c r="F226" i="6"/>
  <c r="F222" i="6"/>
  <c r="F214" i="6"/>
  <c r="F177" i="6"/>
  <c r="F181" i="6"/>
  <c r="K213" i="6"/>
  <c r="F11" i="19"/>
  <c r="C140" i="19" s="1"/>
  <c r="K216" i="6"/>
  <c r="P212" i="6"/>
  <c r="F191" i="6"/>
  <c r="P223" i="6"/>
  <c r="P185" i="6"/>
  <c r="K229" i="6"/>
  <c r="P225" i="6"/>
  <c r="F231" i="6"/>
  <c r="F227" i="6"/>
  <c r="F223" i="6"/>
  <c r="F219" i="6"/>
  <c r="F194" i="6"/>
  <c r="K177" i="6"/>
  <c r="K182" i="6"/>
  <c r="AV44" i="12"/>
  <c r="AV41" i="12"/>
  <c r="AV43" i="12"/>
  <c r="AD61" i="6"/>
  <c r="D100" i="11" s="1"/>
  <c r="BE100" i="11" s="1"/>
  <c r="G84" i="6"/>
  <c r="AV32" i="12"/>
  <c r="AV18" i="12"/>
  <c r="AV47" i="12" s="1"/>
  <c r="AV33" i="12"/>
  <c r="AV36" i="12"/>
  <c r="P224" i="6"/>
  <c r="O21" i="12"/>
  <c r="P216" i="6"/>
  <c r="W71" i="12"/>
  <c r="V115" i="12"/>
  <c r="T115" i="12" s="1"/>
  <c r="X115" i="12" s="1"/>
  <c r="AG54" i="12"/>
  <c r="AG57" i="12"/>
  <c r="AF61" i="12" s="1"/>
  <c r="O47" i="12"/>
  <c r="P220" i="6"/>
  <c r="AE18" i="10"/>
  <c r="P179" i="6"/>
  <c r="F187" i="6"/>
  <c r="AD61" i="12"/>
  <c r="G115" i="12"/>
  <c r="D13" i="2" l="1"/>
  <c r="AI41" i="2"/>
  <c r="E8" i="6"/>
  <c r="AD8" i="6" s="1"/>
  <c r="D57" i="11" s="1"/>
  <c r="BE57" i="11" s="1"/>
  <c r="E24" i="6"/>
  <c r="AD24" i="6" s="1"/>
  <c r="D52" i="11" s="1"/>
  <c r="BE52" i="11" s="1"/>
  <c r="AI36" i="2"/>
  <c r="S218" i="8"/>
  <c r="AF123" i="2"/>
  <c r="O117" i="12"/>
  <c r="AI82" i="2"/>
  <c r="E80" i="6"/>
  <c r="AD57" i="6" s="1"/>
  <c r="D96" i="11" s="1"/>
  <c r="BE96" i="11" s="1"/>
  <c r="AI43" i="2"/>
  <c r="E10" i="6"/>
  <c r="AD10" i="6" s="1"/>
  <c r="D59" i="11" s="1"/>
  <c r="BE59" i="11" s="1"/>
  <c r="E81" i="6"/>
  <c r="AD58" i="6" s="1"/>
  <c r="D97" i="11" s="1"/>
  <c r="BE97" i="11" s="1"/>
  <c r="AF106" i="2"/>
  <c r="AC103" i="6"/>
  <c r="E31" i="6"/>
  <c r="AD31" i="6" s="1"/>
  <c r="D73" i="11" s="1"/>
  <c r="BE73" i="11" s="1"/>
  <c r="E23" i="6"/>
  <c r="AD23" i="6" s="1"/>
  <c r="D51" i="11" s="1"/>
  <c r="BE51" i="11" s="1"/>
  <c r="AF117" i="2"/>
  <c r="AI42" i="2"/>
  <c r="E9" i="6"/>
  <c r="AD9" i="6" s="1"/>
  <c r="D58" i="11" s="1"/>
  <c r="BE58" i="11" s="1"/>
  <c r="AI77" i="2"/>
  <c r="E75" i="6"/>
  <c r="AD52" i="6" s="1"/>
  <c r="D91" i="11" s="1"/>
  <c r="BE91" i="11" s="1"/>
  <c r="T115" i="6"/>
  <c r="X115" i="6" s="1"/>
  <c r="S217" i="8"/>
  <c r="K220" i="8"/>
  <c r="O216" i="8"/>
  <c r="K223" i="8"/>
  <c r="AF122" i="2"/>
  <c r="S222" i="8"/>
  <c r="AI35" i="2"/>
  <c r="O223" i="8"/>
  <c r="AC90" i="6"/>
  <c r="C129" i="11" s="1"/>
  <c r="BD129" i="11" s="1"/>
  <c r="AF108" i="2"/>
  <c r="S225" i="8"/>
  <c r="S215" i="8"/>
  <c r="S221" i="8"/>
  <c r="AI57" i="2"/>
  <c r="G213" i="8"/>
  <c r="K214" i="8"/>
  <c r="G219" i="8"/>
  <c r="R103" i="2"/>
  <c r="S224" i="8"/>
  <c r="S226" i="8"/>
  <c r="G220" i="8"/>
  <c r="G224" i="8"/>
  <c r="G216" i="8"/>
  <c r="O225" i="8"/>
  <c r="G51" i="6"/>
  <c r="S51" i="6" s="1"/>
  <c r="G226" i="8"/>
  <c r="O224" i="8"/>
  <c r="O226" i="8"/>
  <c r="S214" i="8"/>
  <c r="K221" i="8"/>
  <c r="G214" i="8"/>
  <c r="K218" i="8"/>
  <c r="O219" i="8"/>
  <c r="G222" i="8"/>
  <c r="K226" i="8"/>
  <c r="AF116" i="2"/>
  <c r="F110" i="12"/>
  <c r="D110" i="12" s="1"/>
  <c r="K110" i="12" s="1"/>
  <c r="E114" i="12"/>
  <c r="E7" i="6"/>
  <c r="AD7" i="6" s="1"/>
  <c r="D56" i="11" s="1"/>
  <c r="BE56" i="11" s="1"/>
  <c r="AI40" i="2"/>
  <c r="AI50" i="2"/>
  <c r="E17" i="6"/>
  <c r="AD17" i="6" s="1"/>
  <c r="D66" i="11" s="1"/>
  <c r="BE66" i="11" s="1"/>
  <c r="AI46" i="2"/>
  <c r="E13" i="6"/>
  <c r="AD13" i="6" s="1"/>
  <c r="D62" i="11" s="1"/>
  <c r="BE62" i="11" s="1"/>
  <c r="E78" i="6"/>
  <c r="AD55" i="6" s="1"/>
  <c r="D94" i="11" s="1"/>
  <c r="BE94" i="11" s="1"/>
  <c r="AI80" i="2"/>
  <c r="AI48" i="2"/>
  <c r="E15" i="6"/>
  <c r="AD15" i="6" s="1"/>
  <c r="D64" i="11" s="1"/>
  <c r="BE64" i="11" s="1"/>
  <c r="E67" i="6"/>
  <c r="AD44" i="6" s="1"/>
  <c r="D86" i="11" s="1"/>
  <c r="BE86" i="11" s="1"/>
  <c r="AI72" i="2"/>
  <c r="C139" i="11"/>
  <c r="BD139" i="11" s="1"/>
  <c r="AD100" i="6"/>
  <c r="S220" i="8"/>
  <c r="AF102" i="2"/>
  <c r="G44" i="6"/>
  <c r="J44" i="6" s="1"/>
  <c r="Y45" i="12"/>
  <c r="E30" i="6"/>
  <c r="AD30" i="6" s="1"/>
  <c r="D72" i="11" s="1"/>
  <c r="BE72" i="11" s="1"/>
  <c r="AI56" i="2"/>
  <c r="AI33" i="2"/>
  <c r="E21" i="6"/>
  <c r="AD21" i="6" s="1"/>
  <c r="D49" i="11" s="1"/>
  <c r="BE49" i="11" s="1"/>
  <c r="AI76" i="2"/>
  <c r="E74" i="6"/>
  <c r="AD51" i="6" s="1"/>
  <c r="D90" i="11" s="1"/>
  <c r="BE90" i="11" s="1"/>
  <c r="E16" i="6"/>
  <c r="AD16" i="6" s="1"/>
  <c r="D65" i="11" s="1"/>
  <c r="BE65" i="11" s="1"/>
  <c r="AI49" i="2"/>
  <c r="E79" i="6"/>
  <c r="AD56" i="6" s="1"/>
  <c r="D95" i="11" s="1"/>
  <c r="BE95" i="11" s="1"/>
  <c r="AI81" i="2"/>
  <c r="O220" i="8"/>
  <c r="K217" i="8"/>
  <c r="O222" i="8"/>
  <c r="G223" i="8"/>
  <c r="G218" i="8"/>
  <c r="K215" i="8"/>
  <c r="O214" i="8"/>
  <c r="O221" i="8"/>
  <c r="E118" i="12"/>
  <c r="AF121" i="2"/>
  <c r="G225" i="8"/>
  <c r="K222" i="8"/>
  <c r="E68" i="6"/>
  <c r="AD45" i="6" s="1"/>
  <c r="D87" i="11" s="1"/>
  <c r="BE87" i="11" s="1"/>
  <c r="AI73" i="2"/>
  <c r="E14" i="6"/>
  <c r="AD14" i="6" s="1"/>
  <c r="D63" i="11" s="1"/>
  <c r="BE63" i="11" s="1"/>
  <c r="AI47" i="2"/>
  <c r="AI55" i="2"/>
  <c r="E29" i="6"/>
  <c r="AD29" i="6" s="1"/>
  <c r="D71" i="11" s="1"/>
  <c r="BE71" i="11" s="1"/>
  <c r="E22" i="6"/>
  <c r="AD22" i="6" s="1"/>
  <c r="D50" i="11" s="1"/>
  <c r="BE50" i="11" s="1"/>
  <c r="AI34" i="2"/>
  <c r="E76" i="6"/>
  <c r="AD53" i="6" s="1"/>
  <c r="D92" i="11" s="1"/>
  <c r="BE92" i="11" s="1"/>
  <c r="AI78" i="2"/>
  <c r="O213" i="8"/>
  <c r="G221" i="8"/>
  <c r="S213" i="8"/>
  <c r="K216" i="8"/>
  <c r="F112" i="12"/>
  <c r="D112" i="12" s="1"/>
  <c r="K112" i="12" s="1"/>
  <c r="AF118" i="2"/>
  <c r="G217" i="8"/>
  <c r="K225" i="8"/>
  <c r="E32" i="6"/>
  <c r="AD32" i="6" s="1"/>
  <c r="D74" i="11" s="1"/>
  <c r="BE74" i="11" s="1"/>
  <c r="AI58" i="2"/>
  <c r="AI79" i="2"/>
  <c r="E77" i="6"/>
  <c r="AD54" i="6" s="1"/>
  <c r="D93" i="11" s="1"/>
  <c r="BE93" i="11" s="1"/>
  <c r="E33" i="6"/>
  <c r="AD33" i="6" s="1"/>
  <c r="D75" i="11" s="1"/>
  <c r="BE75" i="11" s="1"/>
  <c r="AI59" i="2"/>
  <c r="E28" i="6"/>
  <c r="AD28" i="6" s="1"/>
  <c r="D70" i="11" s="1"/>
  <c r="BE70" i="11" s="1"/>
  <c r="AI54" i="2"/>
  <c r="E66" i="6"/>
  <c r="AD43" i="6" s="1"/>
  <c r="D85" i="11" s="1"/>
  <c r="BE85" i="11" s="1"/>
  <c r="AI71" i="2"/>
  <c r="S216" i="8"/>
  <c r="K213" i="8"/>
  <c r="O215" i="8"/>
  <c r="O217" i="8"/>
  <c r="G215" i="8"/>
  <c r="S219" i="8"/>
  <c r="O218" i="8"/>
  <c r="K224" i="8"/>
  <c r="X46" i="12"/>
  <c r="Y29" i="12"/>
  <c r="Y30" i="12" s="1"/>
  <c r="F21" i="19"/>
  <c r="F25" i="19"/>
  <c r="F33" i="19"/>
  <c r="F12" i="19"/>
  <c r="F16" i="19"/>
  <c r="F28" i="19"/>
  <c r="F40" i="19"/>
  <c r="F13" i="19"/>
  <c r="F37" i="19"/>
  <c r="F20" i="19"/>
  <c r="F24" i="19"/>
  <c r="F32" i="19"/>
  <c r="F42" i="19"/>
  <c r="F29" i="19"/>
  <c r="C143" i="19" s="1"/>
  <c r="F23" i="19"/>
  <c r="F18" i="19"/>
  <c r="F27" i="19"/>
  <c r="F31" i="19"/>
  <c r="F34" i="19"/>
  <c r="C144" i="19" s="1"/>
  <c r="F26" i="19"/>
  <c r="F35" i="19"/>
  <c r="C145" i="19" s="1"/>
  <c r="F17" i="19"/>
  <c r="C141" i="19" s="1"/>
  <c r="F41" i="19"/>
  <c r="F14" i="19"/>
  <c r="F38" i="19"/>
  <c r="F15" i="19"/>
  <c r="F39" i="19"/>
  <c r="F30" i="19"/>
  <c r="F19" i="19"/>
  <c r="F5" i="19"/>
  <c r="C139" i="19" s="1"/>
  <c r="F22" i="19"/>
  <c r="C142" i="19" s="1"/>
  <c r="F36" i="19"/>
  <c r="C146" i="19" s="1"/>
  <c r="G116" i="12"/>
  <c r="AH121" i="2"/>
  <c r="F115" i="12"/>
  <c r="D115" i="12" s="1"/>
  <c r="K115" i="12" s="1"/>
  <c r="N43" i="6"/>
  <c r="Q43" i="6"/>
  <c r="I43" i="6"/>
  <c r="M43" i="6"/>
  <c r="S43" i="6"/>
  <c r="J43" i="6"/>
  <c r="U43" i="6"/>
  <c r="R43" i="6"/>
  <c r="W43" i="6"/>
  <c r="K43" i="6"/>
  <c r="V43" i="6"/>
  <c r="O43" i="6"/>
  <c r="AG61" i="12"/>
  <c r="W44" i="6" l="1"/>
  <c r="AG106" i="2"/>
  <c r="U51" i="6"/>
  <c r="AC104" i="6"/>
  <c r="AD104" i="6" s="1"/>
  <c r="O116" i="12"/>
  <c r="AD103" i="6"/>
  <c r="C142" i="11"/>
  <c r="BD142" i="11" s="1"/>
  <c r="C106" i="2"/>
  <c r="AC88" i="6"/>
  <c r="C127" i="11" s="1"/>
  <c r="BD127" i="11" s="1"/>
  <c r="Y46" i="12"/>
  <c r="Z43" i="12" s="1"/>
  <c r="N51" i="6"/>
  <c r="V51" i="6"/>
  <c r="R51" i="6"/>
  <c r="K51" i="6"/>
  <c r="O51" i="6"/>
  <c r="J51" i="6"/>
  <c r="I51" i="6"/>
  <c r="Q51" i="6"/>
  <c r="W51" i="6"/>
  <c r="M51" i="6"/>
  <c r="AC98" i="6"/>
  <c r="O111" i="12"/>
  <c r="P111" i="12" s="1"/>
  <c r="N111" i="12" s="1"/>
  <c r="R111" i="12" s="1"/>
  <c r="N44" i="6"/>
  <c r="S44" i="6"/>
  <c r="O115" i="12"/>
  <c r="O118" i="12" s="1"/>
  <c r="D125" i="2" s="1"/>
  <c r="AC102" i="6"/>
  <c r="M44" i="6"/>
  <c r="V44" i="6"/>
  <c r="Q44" i="6"/>
  <c r="O112" i="12"/>
  <c r="P112" i="12" s="1"/>
  <c r="N112" i="12" s="1"/>
  <c r="R112" i="12" s="1"/>
  <c r="AC99" i="6"/>
  <c r="R44" i="6"/>
  <c r="I44" i="6"/>
  <c r="K44" i="6"/>
  <c r="AC84" i="6"/>
  <c r="C123" i="11" s="1"/>
  <c r="BD123" i="11" s="1"/>
  <c r="R102" i="2"/>
  <c r="C103" i="2" s="1"/>
  <c r="O110" i="12"/>
  <c r="AC97" i="6"/>
  <c r="O44" i="6"/>
  <c r="U44" i="6"/>
  <c r="F43" i="19"/>
  <c r="C147" i="19" s="1"/>
  <c r="X43" i="6"/>
  <c r="P43" i="6"/>
  <c r="F116" i="12"/>
  <c r="D116" i="12" s="1"/>
  <c r="AH122" i="2"/>
  <c r="G117" i="12"/>
  <c r="L43" i="6"/>
  <c r="T43" i="6"/>
  <c r="Q115" i="12"/>
  <c r="AE102" i="6"/>
  <c r="D141" i="11" s="1"/>
  <c r="BE141" i="11" s="1"/>
  <c r="R8" i="12" l="1"/>
  <c r="Z24" i="12"/>
  <c r="Z30" i="12"/>
  <c r="Z27" i="12"/>
  <c r="K116" i="12"/>
  <c r="T234" i="12"/>
  <c r="T235" i="12" s="1"/>
  <c r="C143" i="11"/>
  <c r="BD143" i="11" s="1"/>
  <c r="Z42" i="12"/>
  <c r="Z22" i="12"/>
  <c r="Z28" i="12"/>
  <c r="Z47" i="12"/>
  <c r="Z25" i="12"/>
  <c r="Z21" i="12"/>
  <c r="Z26" i="12"/>
  <c r="Z20" i="12"/>
  <c r="Z34" i="12"/>
  <c r="Z29" i="12"/>
  <c r="Z38" i="12"/>
  <c r="Z33" i="12"/>
  <c r="Z35" i="12"/>
  <c r="Z36" i="12"/>
  <c r="Z18" i="12"/>
  <c r="Z45" i="12"/>
  <c r="Z41" i="12"/>
  <c r="Z32" i="12"/>
  <c r="Z44" i="12"/>
  <c r="Z19" i="12"/>
  <c r="B124" i="2"/>
  <c r="L51" i="6"/>
  <c r="X51" i="6"/>
  <c r="T51" i="6"/>
  <c r="P51" i="6"/>
  <c r="C137" i="11"/>
  <c r="BD137" i="11" s="1"/>
  <c r="AD98" i="6"/>
  <c r="T44" i="6"/>
  <c r="X44" i="6"/>
  <c r="L44" i="6"/>
  <c r="P44" i="6"/>
  <c r="P110" i="12"/>
  <c r="N110" i="12" s="1"/>
  <c r="R110" i="12" s="1"/>
  <c r="O114" i="12"/>
  <c r="B114" i="2" s="1"/>
  <c r="AD102" i="6"/>
  <c r="C141" i="11"/>
  <c r="BD141" i="11" s="1"/>
  <c r="AD97" i="6"/>
  <c r="C136" i="11"/>
  <c r="BD136" i="11" s="1"/>
  <c r="AD99" i="6"/>
  <c r="C138" i="11"/>
  <c r="BD138" i="11" s="1"/>
  <c r="P115" i="12"/>
  <c r="N115" i="12" s="1"/>
  <c r="R115" i="12" s="1"/>
  <c r="AH123" i="2"/>
  <c r="F117" i="12"/>
  <c r="D117" i="12" s="1"/>
  <c r="K117" i="12" s="1"/>
  <c r="G118" i="12"/>
  <c r="Q116" i="12"/>
  <c r="P116" i="12" s="1"/>
  <c r="N116" i="12" s="1"/>
  <c r="R116" i="12" s="1"/>
  <c r="AE103" i="6"/>
  <c r="D142" i="11" s="1"/>
  <c r="BE142" i="11" s="1"/>
  <c r="AA28" i="12" l="1"/>
  <c r="AA24" i="12"/>
  <c r="AA25" i="12"/>
  <c r="AA27" i="12"/>
  <c r="AG27" i="12" s="1"/>
  <c r="AA26" i="12"/>
  <c r="Q117" i="12"/>
  <c r="P117" i="12" s="1"/>
  <c r="N117" i="12" s="1"/>
  <c r="R117" i="12" s="1"/>
  <c r="AE104" i="6"/>
  <c r="D143" i="11" s="1"/>
  <c r="BE143" i="11" s="1"/>
  <c r="AH27" i="12" l="1"/>
  <c r="AA29" i="12"/>
  <c r="AJ27" i="12"/>
  <c r="AJ24" i="12" s="1"/>
  <c r="AJ30" i="12" s="1"/>
  <c r="AF27" i="12"/>
  <c r="AF26" i="12" s="1"/>
  <c r="AF32" i="12" s="1"/>
  <c r="AD27" i="12"/>
  <c r="AD25" i="12" s="1"/>
  <c r="AD31" i="12" s="1"/>
  <c r="AI27" i="12"/>
  <c r="AI25" i="12" s="1"/>
  <c r="AI31" i="12" s="1"/>
  <c r="AK27" i="12"/>
  <c r="AK25" i="12" s="1"/>
  <c r="AK31" i="12" s="1"/>
  <c r="AC27" i="12"/>
  <c r="AC33" i="12" s="1"/>
  <c r="AE27" i="12"/>
  <c r="AE25" i="12" s="1"/>
  <c r="AE31" i="12" s="1"/>
  <c r="Q118" i="12"/>
  <c r="E121" i="2" s="1"/>
  <c r="AJ26" i="12"/>
  <c r="AJ32" i="12" s="1"/>
  <c r="AH24" i="12"/>
  <c r="AH30" i="12" s="1"/>
  <c r="AH25" i="12"/>
  <c r="AH31" i="12" s="1"/>
  <c r="AH26" i="12"/>
  <c r="AH32" i="12" s="1"/>
  <c r="AH33" i="12"/>
  <c r="AD26" i="12"/>
  <c r="AD32" i="12" s="1"/>
  <c r="AD24" i="12"/>
  <c r="AD30" i="12" s="1"/>
  <c r="AD33" i="12"/>
  <c r="AE26" i="12"/>
  <c r="AE32" i="12" s="1"/>
  <c r="AE33" i="12"/>
  <c r="AE24" i="12"/>
  <c r="AE30" i="12" s="1"/>
  <c r="AG25" i="12"/>
  <c r="AG31" i="12" s="1"/>
  <c r="AG33" i="12"/>
  <c r="AG24" i="12"/>
  <c r="AG30" i="12" s="1"/>
  <c r="AG26" i="12"/>
  <c r="AG32" i="12" s="1"/>
  <c r="AI24" i="12" l="1"/>
  <c r="AI30" i="12" s="1"/>
  <c r="AI33" i="12"/>
  <c r="AF25" i="12"/>
  <c r="AF31" i="12" s="1"/>
  <c r="AK33" i="12"/>
  <c r="AC26" i="12"/>
  <c r="AC32" i="12" s="1"/>
  <c r="AC25" i="12"/>
  <c r="AC31" i="12" s="1"/>
  <c r="AF24" i="12"/>
  <c r="AF30" i="12" s="1"/>
  <c r="AF36" i="12" s="1"/>
  <c r="AC24" i="12"/>
  <c r="AC30" i="12" s="1"/>
  <c r="AC36" i="12" s="1"/>
  <c r="AF33" i="12"/>
  <c r="AI26" i="12"/>
  <c r="AI32" i="12" s="1"/>
  <c r="AJ33" i="12"/>
  <c r="AK26" i="12"/>
  <c r="AK32" i="12" s="1"/>
  <c r="AJ25" i="12"/>
  <c r="AJ31" i="12" s="1"/>
  <c r="AK24" i="12"/>
  <c r="AK30" i="12" s="1"/>
  <c r="AJ36" i="12" s="1"/>
  <c r="AD36" i="12"/>
  <c r="AH36" i="12"/>
  <c r="AG36" i="12"/>
  <c r="AI36" i="12"/>
  <c r="AE36" i="12" l="1"/>
  <c r="AO31" i="12"/>
  <c r="AP25" i="12" s="1"/>
  <c r="AQ25" i="12" s="1"/>
  <c r="I111" i="12"/>
  <c r="D14" i="6"/>
  <c r="D15" i="6"/>
  <c r="AO32" i="12"/>
  <c r="AP26" i="12" s="1"/>
  <c r="AQ26" i="12" s="1"/>
  <c r="I112" i="12"/>
  <c r="I113" i="12"/>
  <c r="D16" i="6"/>
  <c r="AO33" i="12"/>
  <c r="AP27" i="12" s="1"/>
  <c r="AQ27" i="12" s="1"/>
  <c r="G15" i="6" l="1"/>
  <c r="AC15" i="6"/>
  <c r="C64" i="11" s="1"/>
  <c r="BD64" i="11" s="1"/>
  <c r="G16" i="6"/>
  <c r="AC16" i="6"/>
  <c r="C65" i="11" s="1"/>
  <c r="BD65" i="11" s="1"/>
  <c r="I110" i="12"/>
  <c r="AO30" i="12"/>
  <c r="D13" i="6"/>
  <c r="G14" i="6"/>
  <c r="AC14" i="6"/>
  <c r="C63" i="11" s="1"/>
  <c r="BD63" i="11" s="1"/>
  <c r="G13" i="6" l="1"/>
  <c r="AC13" i="6"/>
  <c r="C62" i="11" s="1"/>
  <c r="BD62" i="11" s="1"/>
  <c r="AP24" i="12"/>
  <c r="AO34" i="12"/>
  <c r="AP28" i="12" l="1"/>
  <c r="AQ24" i="12"/>
  <c r="AQ28" i="12" s="1"/>
  <c r="H18" i="6"/>
  <c r="H45" i="6" s="1"/>
  <c r="E29" i="19" l="1"/>
  <c r="E22" i="19"/>
  <c r="E36" i="19"/>
  <c r="E18" i="19"/>
  <c r="E11" i="19"/>
  <c r="E17" i="19"/>
  <c r="E40" i="19"/>
  <c r="E35" i="19"/>
  <c r="E26" i="19"/>
  <c r="E15" i="19"/>
  <c r="E39" i="19"/>
  <c r="E30" i="19"/>
  <c r="E25" i="19"/>
  <c r="E20" i="19"/>
  <c r="E14" i="19"/>
  <c r="E31" i="19"/>
  <c r="E21" i="19"/>
  <c r="E34" i="19"/>
  <c r="E42" i="19"/>
  <c r="E38" i="19"/>
  <c r="E33" i="19"/>
  <c r="E28" i="19"/>
  <c r="E24" i="19"/>
  <c r="E19" i="19"/>
  <c r="E13" i="19"/>
  <c r="E41" i="19"/>
  <c r="E37" i="19"/>
  <c r="E32" i="19"/>
  <c r="E27" i="19"/>
  <c r="E23" i="19"/>
  <c r="E16" i="19"/>
  <c r="E12" i="19"/>
  <c r="B16" i="2"/>
  <c r="E43" i="19" l="1"/>
  <c r="D228" i="12"/>
  <c r="X231" i="12"/>
  <c r="E5" i="12"/>
  <c r="C48" i="2"/>
  <c r="C46" i="2"/>
  <c r="C47" i="2"/>
  <c r="C4" i="11"/>
  <c r="BD4" i="11" s="1"/>
  <c r="C49" i="2"/>
  <c r="C86" i="2"/>
  <c r="E235" i="12" l="1"/>
  <c r="E232" i="12"/>
  <c r="E236" i="12"/>
  <c r="E234" i="12"/>
  <c r="E233" i="12"/>
  <c r="R261" i="12"/>
  <c r="N263" i="12"/>
  <c r="M261" i="12"/>
  <c r="P263" i="12"/>
  <c r="Q263" i="12"/>
  <c r="P262" i="12"/>
  <c r="S263" i="12"/>
  <c r="M263" i="12"/>
  <c r="S261" i="12"/>
  <c r="O263" i="12"/>
  <c r="N262" i="12"/>
  <c r="O262" i="12"/>
  <c r="N261" i="12"/>
  <c r="R263" i="12"/>
  <c r="Q262" i="12"/>
  <c r="M262" i="12"/>
  <c r="P261" i="12"/>
  <c r="S262" i="12"/>
  <c r="O261" i="12"/>
  <c r="R262" i="12"/>
  <c r="Q261" i="12"/>
  <c r="AM21" i="12"/>
  <c r="AM34" i="12" s="1"/>
  <c r="BG19" i="12"/>
  <c r="D32" i="12" s="1"/>
  <c r="BG20" i="12"/>
  <c r="D33" i="12" s="1"/>
  <c r="BG21" i="12"/>
  <c r="D34" i="12" s="1"/>
  <c r="E59" i="12"/>
  <c r="AJ55" i="12"/>
  <c r="AJ61" i="12" s="1"/>
  <c r="I3" i="12"/>
  <c r="K3" i="12"/>
  <c r="H233" i="12" l="1"/>
  <c r="H241" i="12" s="1"/>
  <c r="N233" i="12" s="1"/>
  <c r="E241" i="12"/>
  <c r="K233" i="12" s="1"/>
  <c r="H234" i="12"/>
  <c r="H242" i="12" s="1"/>
  <c r="N234" i="12" s="1"/>
  <c r="E242" i="12"/>
  <c r="K234" i="12" s="1"/>
  <c r="G236" i="12"/>
  <c r="G244" i="12" s="1"/>
  <c r="M236" i="12" s="1"/>
  <c r="E244" i="12"/>
  <c r="K236" i="12" s="1"/>
  <c r="H232" i="12"/>
  <c r="H240" i="12" s="1"/>
  <c r="N232" i="12" s="1"/>
  <c r="E240" i="12"/>
  <c r="K232" i="12" s="1"/>
  <c r="F235" i="12"/>
  <c r="F243" i="12" s="1"/>
  <c r="L235" i="12" s="1"/>
  <c r="E243" i="12"/>
  <c r="K235" i="12" s="1"/>
  <c r="R232" i="12"/>
  <c r="AL36" i="12"/>
  <c r="AJ57" i="12" s="1"/>
  <c r="AM29" i="12"/>
  <c r="AM36" i="12"/>
  <c r="H235" i="12"/>
  <c r="H243" i="12" s="1"/>
  <c r="N235" i="12" s="1"/>
  <c r="F233" i="12"/>
  <c r="F241" i="12" s="1"/>
  <c r="L233" i="12" s="1"/>
  <c r="G232" i="12"/>
  <c r="G240" i="12" s="1"/>
  <c r="M232" i="12" s="1"/>
  <c r="F236" i="12"/>
  <c r="F244" i="12" s="1"/>
  <c r="L236" i="12" s="1"/>
  <c r="F232" i="12"/>
  <c r="F240" i="12" s="1"/>
  <c r="L232" i="12" s="1"/>
  <c r="H236" i="12"/>
  <c r="H244" i="12" s="1"/>
  <c r="N236" i="12" s="1"/>
  <c r="U232" i="12" s="1"/>
  <c r="U236" i="12" s="1"/>
  <c r="U241" i="12" s="1"/>
  <c r="G235" i="12"/>
  <c r="G243" i="12" s="1"/>
  <c r="M235" i="12" s="1"/>
  <c r="F234" i="12"/>
  <c r="F242" i="12" s="1"/>
  <c r="L234" i="12" s="1"/>
  <c r="S232" i="12" s="1"/>
  <c r="S236" i="12" s="1"/>
  <c r="U263" i="12"/>
  <c r="G234" i="12"/>
  <c r="G242" i="12" s="1"/>
  <c r="M234" i="12" s="1"/>
  <c r="T232" i="12" s="1"/>
  <c r="T236" i="12" s="1"/>
  <c r="U240" i="12" s="1"/>
  <c r="U261" i="12"/>
  <c r="U262" i="12"/>
  <c r="G233" i="12"/>
  <c r="G241" i="12" s="1"/>
  <c r="M233" i="12" s="1"/>
  <c r="AJ62" i="12"/>
  <c r="AJ60" i="12"/>
  <c r="V50" i="12"/>
  <c r="R236" i="12" l="1"/>
  <c r="X232" i="12" s="1"/>
  <c r="X237" i="12" s="1"/>
  <c r="B76" i="2" s="1"/>
  <c r="AJ56" i="12"/>
  <c r="U239" i="12"/>
  <c r="AM31" i="12"/>
  <c r="AN31" i="12" s="1"/>
  <c r="AJ58" i="12"/>
  <c r="AM32" i="12"/>
  <c r="AN32" i="12" s="1"/>
  <c r="AM30" i="12"/>
  <c r="I4" i="12" s="1"/>
  <c r="AM33" i="12"/>
  <c r="AN33" i="12" s="1"/>
  <c r="E24" i="12"/>
  <c r="AF46" i="2"/>
  <c r="AN24" i="12"/>
  <c r="H110" i="12"/>
  <c r="AO24" i="12"/>
  <c r="I5" i="12" l="1"/>
  <c r="AN30" i="12"/>
  <c r="I6" i="12"/>
  <c r="I7" i="12"/>
  <c r="AN26" i="12"/>
  <c r="AO26" i="12"/>
  <c r="AF48" i="2"/>
  <c r="H112" i="12"/>
  <c r="E26" i="12"/>
  <c r="E27" i="12"/>
  <c r="AN27" i="12"/>
  <c r="AO27" i="12"/>
  <c r="H113" i="12"/>
  <c r="AF49" i="2"/>
  <c r="AN25" i="12"/>
  <c r="H111" i="12"/>
  <c r="AO25" i="12"/>
  <c r="E25" i="12"/>
  <c r="AF47" i="2"/>
  <c r="I8" i="12" l="1"/>
  <c r="AN28" i="12"/>
  <c r="AO28" i="12"/>
  <c r="C10" i="18" l="1"/>
  <c r="I4" i="18" s="1"/>
  <c r="B18" i="2"/>
  <c r="AP57" i="12" l="1"/>
  <c r="K5" i="12" s="1"/>
  <c r="D5" i="12"/>
  <c r="B19" i="2" s="1"/>
  <c r="AP56" i="12"/>
  <c r="K4" i="12" s="1"/>
  <c r="C6" i="11"/>
  <c r="BD6" i="11" s="1"/>
  <c r="D166" i="12"/>
  <c r="D103" i="12" s="1"/>
  <c r="AP58" i="12"/>
  <c r="K6" i="12" s="1"/>
  <c r="D78" i="12" l="1"/>
  <c r="D104" i="12"/>
  <c r="L90" i="6" s="1"/>
  <c r="AC92" i="6"/>
  <c r="C131" i="11" s="1"/>
  <c r="BD131" i="11" s="1"/>
  <c r="AF110" i="2"/>
  <c r="AF112" i="2" s="1"/>
  <c r="Y115" i="12"/>
  <c r="K7" i="12"/>
  <c r="D55" i="12"/>
  <c r="S115" i="12"/>
  <c r="B111" i="2"/>
  <c r="C7" i="11"/>
  <c r="BD7" i="11" s="1"/>
  <c r="Y117" i="12"/>
  <c r="D57" i="12"/>
  <c r="S117" i="12"/>
  <c r="D56" i="12"/>
  <c r="Y116" i="12"/>
  <c r="S116" i="12"/>
  <c r="AC93" i="6" l="1"/>
  <c r="C132" i="11" s="1"/>
  <c r="BD132" i="11" s="1"/>
  <c r="E55" i="12"/>
  <c r="D58" i="12"/>
  <c r="AF71" i="2"/>
  <c r="H115" i="12"/>
  <c r="AF73" i="2"/>
  <c r="H117" i="12"/>
  <c r="E57" i="12"/>
  <c r="H116" i="12"/>
  <c r="E56" i="12"/>
  <c r="AF72" i="2"/>
  <c r="D90" i="6"/>
  <c r="Y118" i="12"/>
  <c r="H118" i="12" l="1"/>
  <c r="AF74" i="2"/>
  <c r="G90" i="6"/>
  <c r="AC67" i="6"/>
  <c r="C106" i="11" s="1"/>
  <c r="BD106" i="11" s="1"/>
  <c r="D60" i="12"/>
  <c r="Y119" i="12"/>
  <c r="Z119" i="12" s="1"/>
  <c r="D67" i="6"/>
  <c r="C72" i="2"/>
  <c r="C73" i="2"/>
  <c r="D68" i="6"/>
  <c r="D66" i="6"/>
  <c r="F71" i="2"/>
  <c r="B74" i="2"/>
  <c r="C71" i="2"/>
  <c r="F72" i="2"/>
  <c r="E58" i="12"/>
  <c r="E60" i="12" s="1"/>
  <c r="C74" i="2" l="1"/>
  <c r="F66" i="6"/>
  <c r="G66" i="6" s="1"/>
  <c r="I115" i="12"/>
  <c r="I66" i="6"/>
  <c r="AC43" i="6"/>
  <c r="C85" i="11" s="1"/>
  <c r="BD85" i="11" s="1"/>
  <c r="J66" i="6"/>
  <c r="H66" i="6"/>
  <c r="D68" i="12"/>
  <c r="D66" i="12"/>
  <c r="D67" i="12"/>
  <c r="D64" i="12"/>
  <c r="D63" i="12"/>
  <c r="D70" i="12"/>
  <c r="D69" i="12"/>
  <c r="D65" i="12"/>
  <c r="D69" i="6"/>
  <c r="AC45" i="6"/>
  <c r="C87" i="11" s="1"/>
  <c r="BD87" i="11" s="1"/>
  <c r="I68" i="6"/>
  <c r="H68" i="6"/>
  <c r="I117" i="12"/>
  <c r="D118" i="6" s="1"/>
  <c r="J68" i="6"/>
  <c r="F68" i="6"/>
  <c r="H67" i="6"/>
  <c r="I116" i="12"/>
  <c r="D117" i="6" s="1"/>
  <c r="I67" i="6"/>
  <c r="AC44" i="6"/>
  <c r="C86" i="11" s="1"/>
  <c r="BD86" i="11" s="1"/>
  <c r="J67" i="6"/>
  <c r="F67" i="6"/>
  <c r="G67" i="6" s="1"/>
  <c r="O90" i="6"/>
  <c r="H90" i="6" s="1"/>
  <c r="C20" i="11"/>
  <c r="BD20" i="11" s="1"/>
  <c r="AO8" i="12"/>
  <c r="AT59" i="12" s="1"/>
  <c r="AO9" i="12"/>
  <c r="J69" i="6" l="1"/>
  <c r="E109" i="6"/>
  <c r="E108" i="6"/>
  <c r="E101" i="6"/>
  <c r="E103" i="6"/>
  <c r="E107" i="6"/>
  <c r="E102" i="6"/>
  <c r="E104" i="6"/>
  <c r="E99" i="6"/>
  <c r="E111" i="6"/>
  <c r="E100" i="6"/>
  <c r="E106" i="6"/>
  <c r="E98" i="6"/>
  <c r="E110" i="6"/>
  <c r="E105" i="6"/>
  <c r="AT56" i="12"/>
  <c r="AT57" i="12"/>
  <c r="AT60" i="12" s="1"/>
  <c r="E63" i="12"/>
  <c r="AF76" i="2"/>
  <c r="D71" i="12"/>
  <c r="AC63" i="12"/>
  <c r="H69" i="6"/>
  <c r="E65" i="12"/>
  <c r="AC65" i="12"/>
  <c r="AF78" i="2"/>
  <c r="AC64" i="12"/>
  <c r="AF77" i="2"/>
  <c r="E64" i="12"/>
  <c r="AC46" i="6"/>
  <c r="C88" i="11" s="1"/>
  <c r="BD88" i="11" s="1"/>
  <c r="D71" i="6"/>
  <c r="AC48" i="6" s="1"/>
  <c r="AC68" i="12"/>
  <c r="E68" i="12"/>
  <c r="AF81" i="2"/>
  <c r="G68" i="6"/>
  <c r="G69" i="6" s="1"/>
  <c r="F69" i="6"/>
  <c r="I69" i="6"/>
  <c r="AC69" i="12"/>
  <c r="E69" i="12"/>
  <c r="AF82" i="2"/>
  <c r="AC67" i="12"/>
  <c r="E67" i="12"/>
  <c r="AF80" i="2"/>
  <c r="D116" i="6"/>
  <c r="D119" i="6" s="1"/>
  <c r="I118" i="12"/>
  <c r="D72" i="12"/>
  <c r="B85" i="2" s="1"/>
  <c r="E70" i="12"/>
  <c r="AC70" i="12"/>
  <c r="AF83" i="2"/>
  <c r="E66" i="12"/>
  <c r="AF79" i="2"/>
  <c r="AC66" i="12"/>
  <c r="AF84" i="2" l="1"/>
  <c r="D74" i="6"/>
  <c r="C76" i="2"/>
  <c r="E112" i="6"/>
  <c r="AC72" i="12"/>
  <c r="AF85" i="2"/>
  <c r="D74" i="12"/>
  <c r="D20" i="2"/>
  <c r="A67" i="2" s="1"/>
  <c r="D21" i="2"/>
  <c r="A68" i="2" s="1"/>
  <c r="E71" i="12"/>
  <c r="K69" i="6"/>
  <c r="G114" i="6" s="1"/>
  <c r="D80" i="12"/>
  <c r="F80" i="12" s="1"/>
  <c r="F70" i="12" s="1"/>
  <c r="AC71" i="12"/>
  <c r="AF87" i="2" l="1"/>
  <c r="F63" i="12"/>
  <c r="F69" i="12"/>
  <c r="F66" i="12"/>
  <c r="F65" i="12"/>
  <c r="G116" i="6"/>
  <c r="G115" i="6"/>
  <c r="D83" i="6"/>
  <c r="C85" i="2"/>
  <c r="AC51" i="6"/>
  <c r="C90" i="11" s="1"/>
  <c r="BD90" i="11" s="1"/>
  <c r="G74" i="6"/>
  <c r="F59" i="12"/>
  <c r="F56" i="12"/>
  <c r="F55" i="12"/>
  <c r="F57" i="12"/>
  <c r="F67" i="12"/>
  <c r="F64" i="12"/>
  <c r="F68" i="12"/>
  <c r="G117" i="6" l="1"/>
  <c r="F131" i="6" s="1"/>
  <c r="H131" i="6" s="1"/>
  <c r="F71" i="12"/>
  <c r="F58" i="12"/>
  <c r="F60" i="12" s="1"/>
  <c r="AC60" i="6"/>
  <c r="G83" i="6"/>
  <c r="F125" i="6" l="1"/>
  <c r="H125" i="6" s="1"/>
  <c r="Q125" i="6" s="1"/>
  <c r="F127" i="6"/>
  <c r="H127" i="6" s="1"/>
  <c r="M127" i="6" s="1"/>
  <c r="F136" i="6"/>
  <c r="H136" i="6" s="1"/>
  <c r="Z136" i="6" s="1"/>
  <c r="F134" i="6"/>
  <c r="H134" i="6" s="1"/>
  <c r="U134" i="6" s="1"/>
  <c r="F124" i="6"/>
  <c r="H124" i="6" s="1"/>
  <c r="Z124" i="6" s="1"/>
  <c r="F133" i="6"/>
  <c r="H133" i="6" s="1"/>
  <c r="V133" i="6" s="1"/>
  <c r="F123" i="6"/>
  <c r="H123" i="6" s="1"/>
  <c r="F129" i="6"/>
  <c r="H129" i="6" s="1"/>
  <c r="T129" i="6" s="1"/>
  <c r="F128" i="6"/>
  <c r="H128" i="6" s="1"/>
  <c r="N128" i="6" s="1"/>
  <c r="F126" i="6"/>
  <c r="H126" i="6" s="1"/>
  <c r="V126" i="6" s="1"/>
  <c r="F132" i="6"/>
  <c r="H132" i="6" s="1"/>
  <c r="R132" i="6" s="1"/>
  <c r="F130" i="6"/>
  <c r="H130" i="6" s="1"/>
  <c r="U130" i="6" s="1"/>
  <c r="F135" i="6"/>
  <c r="H135" i="6" s="1"/>
  <c r="Z135" i="6" s="1"/>
  <c r="C99" i="11"/>
  <c r="BD99" i="11" s="1"/>
  <c r="M131" i="6"/>
  <c r="R131" i="6"/>
  <c r="N131" i="6"/>
  <c r="V131" i="6"/>
  <c r="T131" i="6"/>
  <c r="Z131" i="6"/>
  <c r="Q131" i="6"/>
  <c r="Y131" i="6"/>
  <c r="U131" i="6"/>
  <c r="V125" i="6" l="1"/>
  <c r="M125" i="6"/>
  <c r="T125" i="6"/>
  <c r="R125" i="6"/>
  <c r="S125" i="6" s="1"/>
  <c r="Y125" i="6"/>
  <c r="Z125" i="6"/>
  <c r="U125" i="6"/>
  <c r="N125" i="6"/>
  <c r="U127" i="6"/>
  <c r="R127" i="6"/>
  <c r="V134" i="6"/>
  <c r="W134" i="6" s="1"/>
  <c r="Y127" i="6"/>
  <c r="N127" i="6"/>
  <c r="O127" i="6" s="1"/>
  <c r="Z127" i="6"/>
  <c r="T127" i="6"/>
  <c r="Q127" i="6"/>
  <c r="V127" i="6"/>
  <c r="T132" i="6"/>
  <c r="U136" i="6"/>
  <c r="Q136" i="6"/>
  <c r="U124" i="6"/>
  <c r="M136" i="6"/>
  <c r="U132" i="6"/>
  <c r="T136" i="6"/>
  <c r="R136" i="6"/>
  <c r="N136" i="6"/>
  <c r="V136" i="6"/>
  <c r="N132" i="6"/>
  <c r="Y136" i="6"/>
  <c r="AA136" i="6" s="1"/>
  <c r="T134" i="6"/>
  <c r="Y128" i="6"/>
  <c r="V130" i="6"/>
  <c r="W130" i="6" s="1"/>
  <c r="R129" i="6"/>
  <c r="Z128" i="6"/>
  <c r="V124" i="6"/>
  <c r="R128" i="6"/>
  <c r="R124" i="6"/>
  <c r="U128" i="6"/>
  <c r="N124" i="6"/>
  <c r="Z129" i="6"/>
  <c r="Q126" i="6"/>
  <c r="Q128" i="6"/>
  <c r="V128" i="6"/>
  <c r="Q133" i="6"/>
  <c r="T124" i="6"/>
  <c r="U126" i="6"/>
  <c r="W126" i="6" s="1"/>
  <c r="M128" i="6"/>
  <c r="O128" i="6" s="1"/>
  <c r="Y124" i="6"/>
  <c r="AA124" i="6" s="1"/>
  <c r="Q124" i="6"/>
  <c r="Y126" i="6"/>
  <c r="Z133" i="6"/>
  <c r="R126" i="6"/>
  <c r="Y133" i="6"/>
  <c r="N126" i="6"/>
  <c r="M133" i="6"/>
  <c r="Q132" i="6"/>
  <c r="S132" i="6" s="1"/>
  <c r="Z132" i="6"/>
  <c r="T133" i="6"/>
  <c r="V132" i="6"/>
  <c r="Y132" i="6"/>
  <c r="M126" i="6"/>
  <c r="Z126" i="6"/>
  <c r="U133" i="6"/>
  <c r="W133" i="6" s="1"/>
  <c r="N133" i="6"/>
  <c r="U135" i="6"/>
  <c r="M132" i="6"/>
  <c r="T126" i="6"/>
  <c r="T128" i="6"/>
  <c r="R133" i="6"/>
  <c r="M124" i="6"/>
  <c r="V135" i="6"/>
  <c r="Y129" i="6"/>
  <c r="AA129" i="6" s="1"/>
  <c r="M129" i="6"/>
  <c r="Z134" i="6"/>
  <c r="M134" i="6"/>
  <c r="Z130" i="6"/>
  <c r="Q129" i="6"/>
  <c r="U129" i="6"/>
  <c r="N129" i="6"/>
  <c r="Y134" i="6"/>
  <c r="N134" i="6"/>
  <c r="V129" i="6"/>
  <c r="R134" i="6"/>
  <c r="Q134" i="6"/>
  <c r="R130" i="6"/>
  <c r="N130" i="6"/>
  <c r="F137" i="6"/>
  <c r="T135" i="6"/>
  <c r="T130" i="6"/>
  <c r="M130" i="6"/>
  <c r="Q130" i="6"/>
  <c r="M135" i="6"/>
  <c r="Y130" i="6"/>
  <c r="N135" i="6"/>
  <c r="R135" i="6"/>
  <c r="Q135" i="6"/>
  <c r="Y135" i="6"/>
  <c r="AA135" i="6" s="1"/>
  <c r="N123" i="6"/>
  <c r="V123" i="6"/>
  <c r="T123" i="6"/>
  <c r="M123" i="6"/>
  <c r="Q123" i="6"/>
  <c r="Y123" i="6"/>
  <c r="R123" i="6"/>
  <c r="Z123" i="6"/>
  <c r="U123" i="6"/>
  <c r="H137" i="6"/>
  <c r="P137" i="6" s="1"/>
  <c r="W131" i="6"/>
  <c r="O131" i="6"/>
  <c r="AA131" i="6"/>
  <c r="S131" i="6"/>
  <c r="AA126" i="6" l="1"/>
  <c r="O125" i="6"/>
  <c r="W125" i="6"/>
  <c r="W132" i="6"/>
  <c r="S129" i="6"/>
  <c r="W136" i="6"/>
  <c r="W129" i="6"/>
  <c r="O136" i="6"/>
  <c r="W127" i="6"/>
  <c r="AA125" i="6"/>
  <c r="S127" i="6"/>
  <c r="AA127" i="6"/>
  <c r="S136" i="6"/>
  <c r="W124" i="6"/>
  <c r="O132" i="6"/>
  <c r="S128" i="6"/>
  <c r="W128" i="6"/>
  <c r="AA128" i="6"/>
  <c r="S124" i="6"/>
  <c r="O133" i="6"/>
  <c r="S126" i="6"/>
  <c r="O124" i="6"/>
  <c r="O126" i="6"/>
  <c r="S133" i="6"/>
  <c r="AA130" i="6"/>
  <c r="S130" i="6"/>
  <c r="AA132" i="6"/>
  <c r="AA133" i="6"/>
  <c r="U137" i="6"/>
  <c r="U139" i="6" s="1"/>
  <c r="O129" i="6"/>
  <c r="O134" i="6"/>
  <c r="W135" i="6"/>
  <c r="O130" i="6"/>
  <c r="S135" i="6"/>
  <c r="O135" i="6"/>
  <c r="AA134" i="6"/>
  <c r="S134" i="6"/>
  <c r="M137" i="6"/>
  <c r="T137" i="6"/>
  <c r="T139" i="6" s="1"/>
  <c r="AJ50" i="6" s="1"/>
  <c r="D34" i="11" s="1"/>
  <c r="Y137" i="6"/>
  <c r="Y139" i="6" s="1"/>
  <c r="Q137" i="6"/>
  <c r="Q139" i="6" s="1"/>
  <c r="R137" i="6"/>
  <c r="S123" i="6"/>
  <c r="Z137" i="6"/>
  <c r="AA123" i="6"/>
  <c r="P139" i="6"/>
  <c r="AI50" i="6" s="1"/>
  <c r="X137" i="6"/>
  <c r="P158" i="6"/>
  <c r="S158" i="6" s="1"/>
  <c r="V137" i="6"/>
  <c r="W123" i="6"/>
  <c r="N137" i="6"/>
  <c r="O123" i="6"/>
  <c r="BE34" i="11" l="1"/>
  <c r="AW21" i="11"/>
  <c r="C34" i="11"/>
  <c r="V139" i="6"/>
  <c r="W137" i="6"/>
  <c r="W139" i="6" s="1"/>
  <c r="Z139" i="6"/>
  <c r="AA137" i="6"/>
  <c r="AA139" i="6" s="1"/>
  <c r="X139" i="6"/>
  <c r="AK50" i="6" s="1"/>
  <c r="X158" i="6"/>
  <c r="AA158" i="6" s="1"/>
  <c r="R139" i="6"/>
  <c r="S137" i="6"/>
  <c r="S139" i="6" s="1"/>
  <c r="BD34" i="11" l="1"/>
  <c r="AV21" i="11"/>
  <c r="E34" i="11"/>
  <c r="AX21" i="11" s="1"/>
  <c r="BF34" i="11" l="1"/>
  <c r="AF50" i="2" l="1"/>
  <c r="AF51" i="2" s="1"/>
  <c r="D29" i="12"/>
  <c r="E28" i="12"/>
  <c r="E29" i="12" s="1"/>
  <c r="D17" i="6" l="1"/>
  <c r="C50" i="2"/>
  <c r="C51" i="2" s="1"/>
  <c r="B51" i="2"/>
  <c r="AF42" i="2" l="1"/>
  <c r="AF57" i="2"/>
  <c r="G17" i="6"/>
  <c r="D18" i="6"/>
  <c r="AC17" i="6"/>
  <c r="C66" i="11" s="1"/>
  <c r="BD66" i="11" s="1"/>
  <c r="AF41" i="2"/>
  <c r="F46" i="2"/>
  <c r="F47" i="2"/>
  <c r="B45" i="2"/>
  <c r="AF56" i="2"/>
  <c r="AF43" i="2"/>
  <c r="AF40" i="2"/>
  <c r="D22" i="12"/>
  <c r="D30" i="12" s="1"/>
  <c r="AF59" i="2"/>
  <c r="AF44" i="2" l="1"/>
  <c r="D33" i="6"/>
  <c r="C59" i="2"/>
  <c r="AC18" i="6"/>
  <c r="C67" i="11" s="1"/>
  <c r="BD67" i="11" s="1"/>
  <c r="C57" i="2"/>
  <c r="D31" i="6"/>
  <c r="C40" i="2"/>
  <c r="B44" i="2"/>
  <c r="D7" i="6"/>
  <c r="AF54" i="2"/>
  <c r="C41" i="2"/>
  <c r="D8" i="6"/>
  <c r="E152" i="6"/>
  <c r="D54" i="6" s="1"/>
  <c r="F54" i="6" s="1"/>
  <c r="G54" i="6" s="1"/>
  <c r="E150" i="6"/>
  <c r="D52" i="6" s="1"/>
  <c r="F52" i="6" s="1"/>
  <c r="G52" i="6" s="1"/>
  <c r="G18" i="6"/>
  <c r="D10" i="6"/>
  <c r="C43" i="2"/>
  <c r="C56" i="2"/>
  <c r="D30" i="6"/>
  <c r="D9" i="6"/>
  <c r="C42" i="2"/>
  <c r="C44" i="2" l="1"/>
  <c r="AC10" i="6"/>
  <c r="C59" i="11" s="1"/>
  <c r="BD59" i="11" s="1"/>
  <c r="G10" i="6"/>
  <c r="O54" i="6"/>
  <c r="K54" i="6"/>
  <c r="W54" i="6"/>
  <c r="Q54" i="6"/>
  <c r="N54" i="6"/>
  <c r="M54" i="6"/>
  <c r="U54" i="6"/>
  <c r="J54" i="6"/>
  <c r="S54" i="6"/>
  <c r="I54" i="6"/>
  <c r="V54" i="6"/>
  <c r="R54" i="6"/>
  <c r="G9" i="6"/>
  <c r="AC9" i="6"/>
  <c r="C58" i="11" s="1"/>
  <c r="BD58" i="11" s="1"/>
  <c r="AF55" i="2"/>
  <c r="G8" i="6"/>
  <c r="E147" i="6" s="1"/>
  <c r="D49" i="6" s="1"/>
  <c r="F49" i="6" s="1"/>
  <c r="G49" i="6" s="1"/>
  <c r="AC8" i="6"/>
  <c r="C57" i="11" s="1"/>
  <c r="BD57" i="11" s="1"/>
  <c r="C54" i="2"/>
  <c r="D28" i="6"/>
  <c r="AC31" i="6"/>
  <c r="C73" i="11" s="1"/>
  <c r="BD73" i="11" s="1"/>
  <c r="G31" i="6"/>
  <c r="D11" i="6"/>
  <c r="G7" i="6"/>
  <c r="AC7" i="6"/>
  <c r="C56" i="11" s="1"/>
  <c r="BD56" i="11" s="1"/>
  <c r="G30" i="6"/>
  <c r="AC30" i="6"/>
  <c r="C72" i="11" s="1"/>
  <c r="BD72" i="11" s="1"/>
  <c r="W52" i="6"/>
  <c r="V52" i="6"/>
  <c r="N52" i="6"/>
  <c r="Q52" i="6"/>
  <c r="M52" i="6"/>
  <c r="O52" i="6"/>
  <c r="J52" i="6"/>
  <c r="K52" i="6"/>
  <c r="S52" i="6"/>
  <c r="R52" i="6"/>
  <c r="I52" i="6"/>
  <c r="U52" i="6"/>
  <c r="G33" i="6"/>
  <c r="AC33" i="6"/>
  <c r="C75" i="11" s="1"/>
  <c r="BD75" i="11" s="1"/>
  <c r="T52" i="6" l="1"/>
  <c r="X52" i="6"/>
  <c r="T54" i="6"/>
  <c r="U49" i="6"/>
  <c r="R49" i="6"/>
  <c r="V49" i="6"/>
  <c r="O49" i="6"/>
  <c r="S49" i="6"/>
  <c r="M49" i="6"/>
  <c r="N49" i="6"/>
  <c r="I49" i="6"/>
  <c r="W49" i="6"/>
  <c r="J49" i="6"/>
  <c r="Q49" i="6"/>
  <c r="K49" i="6"/>
  <c r="P54" i="6"/>
  <c r="P52" i="6"/>
  <c r="G11" i="6"/>
  <c r="G19" i="6" s="1"/>
  <c r="X54" i="6"/>
  <c r="L52" i="6"/>
  <c r="AC11" i="6"/>
  <c r="C60" i="11" s="1"/>
  <c r="BD60" i="11" s="1"/>
  <c r="D19" i="6"/>
  <c r="AC19" i="6" s="1"/>
  <c r="AC28" i="6"/>
  <c r="C70" i="11" s="1"/>
  <c r="BD70" i="11" s="1"/>
  <c r="G28" i="6"/>
  <c r="I28" i="6" s="1"/>
  <c r="D29" i="6"/>
  <c r="C55" i="2"/>
  <c r="L54" i="6"/>
  <c r="L49" i="6" l="1"/>
  <c r="P49" i="6"/>
  <c r="G29" i="6"/>
  <c r="AC29" i="6"/>
  <c r="C71" i="11" s="1"/>
  <c r="BD71" i="11" s="1"/>
  <c r="X49" i="6"/>
  <c r="T49" i="6"/>
  <c r="J29" i="6" l="1"/>
  <c r="E153" i="6" s="1"/>
  <c r="D55" i="6" s="1"/>
  <c r="F55" i="6" s="1"/>
  <c r="G55" i="6" s="1"/>
  <c r="H29" i="6"/>
  <c r="Q55" i="6" l="1"/>
  <c r="Q33" i="6" s="1"/>
  <c r="AJ43" i="6" s="1"/>
  <c r="R55" i="6"/>
  <c r="V55" i="6"/>
  <c r="W55" i="6"/>
  <c r="K55" i="6"/>
  <c r="J55" i="6"/>
  <c r="N55" i="6"/>
  <c r="I55" i="6"/>
  <c r="I33" i="6" s="1"/>
  <c r="U55" i="6"/>
  <c r="U33" i="6" s="1"/>
  <c r="AK43" i="6" s="1"/>
  <c r="S55" i="6"/>
  <c r="O55" i="6"/>
  <c r="M55" i="6"/>
  <c r="M33" i="6" s="1"/>
  <c r="AI43" i="6" s="1"/>
  <c r="C27" i="11" s="1"/>
  <c r="BD27" i="11" s="1"/>
  <c r="H46" i="6"/>
  <c r="E143" i="6"/>
  <c r="P55" i="6" l="1"/>
  <c r="D45" i="6"/>
  <c r="L55" i="6"/>
  <c r="U45" i="6"/>
  <c r="M45" i="6"/>
  <c r="Q45" i="6"/>
  <c r="H43" i="6"/>
  <c r="H42" i="6" s="1"/>
  <c r="I45" i="6"/>
  <c r="AH43" i="6"/>
  <c r="B27" i="11" s="1"/>
  <c r="BC27" i="11" s="1"/>
  <c r="I31" i="6"/>
  <c r="X55" i="6"/>
  <c r="T55" i="6"/>
  <c r="J33" i="6" l="1"/>
  <c r="AH42" i="6"/>
  <c r="AK42" i="6"/>
  <c r="AK41" i="6" s="1"/>
  <c r="E28" i="11" s="1"/>
  <c r="AX16" i="11" s="1"/>
  <c r="AJ42" i="6"/>
  <c r="AJ41" i="6" s="1"/>
  <c r="D28" i="11" s="1"/>
  <c r="AI42" i="6"/>
  <c r="I40" i="6"/>
  <c r="N33" i="6"/>
  <c r="F45" i="6"/>
  <c r="BE28" i="11" l="1"/>
  <c r="AW16" i="11"/>
  <c r="BF28" i="11"/>
  <c r="G45" i="6"/>
  <c r="AI41" i="6"/>
  <c r="C28" i="11" s="1"/>
  <c r="C26" i="11"/>
  <c r="BD26" i="11" s="1"/>
  <c r="B26" i="11"/>
  <c r="BC26" i="11" s="1"/>
  <c r="AH41" i="6"/>
  <c r="B28" i="11" s="1"/>
  <c r="AU16" i="11" s="1"/>
  <c r="BD28" i="11" l="1"/>
  <c r="AV16" i="11"/>
  <c r="BC28" i="11"/>
  <c r="O45" i="6"/>
  <c r="K45" i="6"/>
  <c r="S45" i="6"/>
  <c r="W45" i="6"/>
  <c r="H47" i="6"/>
  <c r="V45" i="6" s="1"/>
  <c r="R45" i="6" l="1"/>
  <c r="J45" i="6"/>
  <c r="N45" i="6"/>
  <c r="X45" i="6"/>
  <c r="L45" i="6" l="1"/>
  <c r="T45" i="6"/>
  <c r="P45" i="6"/>
  <c r="X241" i="12" l="1"/>
  <c r="B80" i="2" s="1"/>
  <c r="D78" i="6" s="1"/>
  <c r="X240" i="12"/>
  <c r="B79" i="2" s="1"/>
  <c r="X244" i="12"/>
  <c r="B83" i="2" s="1"/>
  <c r="D81" i="6" s="1"/>
  <c r="X243" i="12"/>
  <c r="B82" i="2" s="1"/>
  <c r="X239" i="12"/>
  <c r="B78" i="2" s="1"/>
  <c r="D76" i="6" s="1"/>
  <c r="X242" i="12"/>
  <c r="B81" i="2" s="1"/>
  <c r="X238" i="12"/>
  <c r="B77" i="2" s="1"/>
  <c r="D80" i="6" l="1"/>
  <c r="AC57" i="6" s="1"/>
  <c r="C96" i="11" s="1"/>
  <c r="BD96" i="11" s="1"/>
  <c r="C82" i="2"/>
  <c r="G78" i="6"/>
  <c r="AC55" i="6"/>
  <c r="C94" i="11" s="1"/>
  <c r="BD94" i="11" s="1"/>
  <c r="C81" i="2"/>
  <c r="D79" i="6"/>
  <c r="G81" i="6"/>
  <c r="D147" i="6" s="1"/>
  <c r="AC58" i="6"/>
  <c r="C97" i="11" s="1"/>
  <c r="BD97" i="11" s="1"/>
  <c r="G76" i="6"/>
  <c r="AC53" i="6"/>
  <c r="C92" i="11" s="1"/>
  <c r="BD92" i="11" s="1"/>
  <c r="C79" i="2"/>
  <c r="D77" i="6"/>
  <c r="AC54" i="6" s="1"/>
  <c r="C93" i="11" s="1"/>
  <c r="BD93" i="11" s="1"/>
  <c r="B84" i="2"/>
  <c r="B87" i="2" s="1"/>
  <c r="D71" i="2" s="1"/>
  <c r="C78" i="2"/>
  <c r="C80" i="2"/>
  <c r="D75" i="6"/>
  <c r="AC52" i="6" s="1"/>
  <c r="C91" i="11" s="1"/>
  <c r="BD91" i="11" s="1"/>
  <c r="C77" i="2"/>
  <c r="C83" i="2"/>
  <c r="G80" i="6" l="1"/>
  <c r="D80" i="2"/>
  <c r="D81" i="2"/>
  <c r="D79" i="2"/>
  <c r="D77" i="2"/>
  <c r="D82" i="6"/>
  <c r="AC59" i="6" s="1"/>
  <c r="D83" i="2"/>
  <c r="D73" i="2"/>
  <c r="D76" i="2"/>
  <c r="D85" i="2"/>
  <c r="D78" i="2"/>
  <c r="D144" i="6"/>
  <c r="C84" i="2"/>
  <c r="D72" i="2"/>
  <c r="G77" i="6"/>
  <c r="D148" i="6" s="1"/>
  <c r="G75" i="6"/>
  <c r="D86" i="2"/>
  <c r="D82" i="2"/>
  <c r="G79" i="6"/>
  <c r="AC56" i="6"/>
  <c r="C95" i="11" s="1"/>
  <c r="BD95" i="11" s="1"/>
  <c r="D150" i="6" l="1"/>
  <c r="E82" i="6"/>
  <c r="D92" i="6"/>
  <c r="C14" i="11" s="1"/>
  <c r="D84" i="2"/>
  <c r="D74" i="2"/>
  <c r="D152" i="6"/>
  <c r="G82" i="6"/>
  <c r="G92" i="6" s="1"/>
  <c r="C15" i="11" s="1"/>
  <c r="BD15" i="11" s="1"/>
  <c r="AB9" i="11"/>
  <c r="D9" i="11" s="1"/>
  <c r="BE9" i="11" s="1"/>
  <c r="C87" i="2"/>
  <c r="C98" i="11"/>
  <c r="BD98" i="11" s="1"/>
  <c r="AC62" i="6"/>
  <c r="C101" i="11" s="1"/>
  <c r="BD101" i="11" s="1"/>
  <c r="D87" i="2" l="1"/>
  <c r="D93" i="6"/>
  <c r="C9" i="11" s="1"/>
  <c r="BD9" i="11" s="1"/>
  <c r="BD14" i="11"/>
  <c r="D9" i="12"/>
  <c r="E9" i="12" s="1"/>
  <c r="AF33" i="2" l="1"/>
  <c r="F32" i="12"/>
  <c r="F27" i="12"/>
  <c r="F20" i="12"/>
  <c r="E20" i="12" s="1"/>
  <c r="F38" i="12"/>
  <c r="E38" i="12" s="1"/>
  <c r="F44" i="12"/>
  <c r="E44" i="12" s="1"/>
  <c r="F19" i="12"/>
  <c r="E19" i="12" s="1"/>
  <c r="F24" i="12"/>
  <c r="F25" i="12"/>
  <c r="F18" i="12"/>
  <c r="D35" i="12"/>
  <c r="B36" i="2" s="1"/>
  <c r="AN34" i="12"/>
  <c r="F21" i="12"/>
  <c r="E21" i="12" s="1"/>
  <c r="F40" i="12"/>
  <c r="E40" i="12" s="1"/>
  <c r="F28" i="12"/>
  <c r="D43" i="12"/>
  <c r="F41" i="12"/>
  <c r="E41" i="12" s="1"/>
  <c r="F39" i="12"/>
  <c r="F42" i="12"/>
  <c r="E42" i="12" s="1"/>
  <c r="F26" i="12"/>
  <c r="AF34" i="2" l="1"/>
  <c r="F33" i="12"/>
  <c r="E33" i="12" s="1"/>
  <c r="D47" i="12"/>
  <c r="C33" i="2"/>
  <c r="D21" i="6"/>
  <c r="F29" i="12"/>
  <c r="E18" i="12"/>
  <c r="E22" i="12" s="1"/>
  <c r="E30" i="12" s="1"/>
  <c r="F22" i="12"/>
  <c r="E32" i="12"/>
  <c r="D45" i="12"/>
  <c r="AF58" i="2"/>
  <c r="AF60" i="2" s="1"/>
  <c r="AF61" i="2" s="1"/>
  <c r="F43" i="12"/>
  <c r="E43" i="12" s="1"/>
  <c r="B58" i="2"/>
  <c r="E39" i="12"/>
  <c r="AF35" i="2"/>
  <c r="F34" i="12"/>
  <c r="E34" i="12" s="1"/>
  <c r="F35" i="12"/>
  <c r="E35" i="12" s="1"/>
  <c r="AF36" i="2"/>
  <c r="D36" i="12"/>
  <c r="B37" i="2" l="1"/>
  <c r="AF37" i="2"/>
  <c r="AF62" i="2" s="1"/>
  <c r="F45" i="12"/>
  <c r="F36" i="12"/>
  <c r="E45" i="12"/>
  <c r="AC21" i="6"/>
  <c r="C49" i="11" s="1"/>
  <c r="BD49" i="11" s="1"/>
  <c r="G21" i="6"/>
  <c r="E146" i="6" s="1"/>
  <c r="D48" i="6" s="1"/>
  <c r="F48" i="6" s="1"/>
  <c r="G48" i="6" s="1"/>
  <c r="AF63" i="2"/>
  <c r="E47" i="12"/>
  <c r="B63" i="2"/>
  <c r="C34" i="2"/>
  <c r="D22" i="6"/>
  <c r="C35" i="2"/>
  <c r="D23" i="6"/>
  <c r="D46" i="12"/>
  <c r="C36" i="2"/>
  <c r="D24" i="6"/>
  <c r="B60" i="2"/>
  <c r="B61" i="2" s="1"/>
  <c r="C58" i="2"/>
  <c r="C60" i="2" s="1"/>
  <c r="C61" i="2" s="1"/>
  <c r="D32" i="6"/>
  <c r="E36" i="12"/>
  <c r="J5" i="19" s="1"/>
  <c r="F30" i="12"/>
  <c r="J9" i="19" l="1"/>
  <c r="B62" i="2"/>
  <c r="C62" i="2" s="1"/>
  <c r="AB8" i="11" s="1"/>
  <c r="D8" i="11" s="1"/>
  <c r="BE8" i="11" s="1"/>
  <c r="C37" i="2"/>
  <c r="E46" i="12"/>
  <c r="E48" i="12" s="1"/>
  <c r="F46" i="12"/>
  <c r="O172" i="6"/>
  <c r="O174" i="6"/>
  <c r="O170" i="6"/>
  <c r="O168" i="6"/>
  <c r="O175" i="6"/>
  <c r="O167" i="6"/>
  <c r="O171" i="6"/>
  <c r="O173" i="6"/>
  <c r="O169" i="6"/>
  <c r="AC22" i="6"/>
  <c r="C50" i="11" s="1"/>
  <c r="BD50" i="11" s="1"/>
  <c r="G22" i="6"/>
  <c r="E144" i="6" s="1"/>
  <c r="C63" i="2"/>
  <c r="D36" i="6"/>
  <c r="D25" i="6"/>
  <c r="AC25" i="6" s="1"/>
  <c r="C53" i="11" s="1"/>
  <c r="BD53" i="11" s="1"/>
  <c r="G24" i="6"/>
  <c r="E148" i="6" s="1"/>
  <c r="D50" i="6" s="1"/>
  <c r="F50" i="6" s="1"/>
  <c r="G50" i="6" s="1"/>
  <c r="AC24" i="6"/>
  <c r="C52" i="11" s="1"/>
  <c r="BD52" i="11" s="1"/>
  <c r="AF64" i="2"/>
  <c r="D34" i="6"/>
  <c r="G32" i="6"/>
  <c r="AC32" i="6"/>
  <c r="C74" i="11" s="1"/>
  <c r="BD74" i="11" s="1"/>
  <c r="AC23" i="6"/>
  <c r="C51" i="11" s="1"/>
  <c r="BD51" i="11" s="1"/>
  <c r="G23" i="6"/>
  <c r="D48" i="12"/>
  <c r="D98" i="12" s="1"/>
  <c r="D100" i="12" s="1"/>
  <c r="M48" i="6"/>
  <c r="I48" i="6"/>
  <c r="N48" i="6"/>
  <c r="U48" i="6"/>
  <c r="K48" i="6"/>
  <c r="O48" i="6"/>
  <c r="V48" i="6"/>
  <c r="J48" i="6"/>
  <c r="Q48" i="6"/>
  <c r="S48" i="6"/>
  <c r="W48" i="6"/>
  <c r="R48" i="6"/>
  <c r="AE40" i="11" l="1"/>
  <c r="W15" i="12"/>
  <c r="B64" i="2"/>
  <c r="L48" i="6"/>
  <c r="E151" i="6"/>
  <c r="D53" i="6" s="1"/>
  <c r="F53" i="6" s="1"/>
  <c r="G53" i="6" s="1"/>
  <c r="H114" i="6"/>
  <c r="X48" i="6"/>
  <c r="E145" i="6"/>
  <c r="D47" i="6" s="1"/>
  <c r="F47" i="6" s="1"/>
  <c r="G47" i="6" s="1"/>
  <c r="G25" i="6"/>
  <c r="D35" i="6"/>
  <c r="AC35" i="6" s="1"/>
  <c r="AC34" i="6"/>
  <c r="C76" i="11" s="1"/>
  <c r="G34" i="6"/>
  <c r="G36" i="6"/>
  <c r="E154" i="6" s="1"/>
  <c r="D56" i="6" s="1"/>
  <c r="F56" i="6" s="1"/>
  <c r="G56" i="6" s="1"/>
  <c r="AC36" i="6"/>
  <c r="C78" i="11" s="1"/>
  <c r="BD78" i="11" s="1"/>
  <c r="D169" i="6"/>
  <c r="I175" i="6"/>
  <c r="N168" i="6"/>
  <c r="P168" i="6" s="1"/>
  <c r="N175" i="6"/>
  <c r="P175" i="6" s="1"/>
  <c r="D168" i="6"/>
  <c r="D170" i="6"/>
  <c r="I168" i="6"/>
  <c r="D166" i="6"/>
  <c r="J168" i="6"/>
  <c r="E172" i="6"/>
  <c r="J172" i="6"/>
  <c r="E175" i="6"/>
  <c r="E167" i="6"/>
  <c r="J171" i="6"/>
  <c r="J169" i="6"/>
  <c r="E171" i="6"/>
  <c r="I172" i="6"/>
  <c r="D174" i="6"/>
  <c r="I173" i="6"/>
  <c r="J170" i="6"/>
  <c r="N171" i="6"/>
  <c r="P171" i="6" s="1"/>
  <c r="D175" i="6"/>
  <c r="N173" i="6"/>
  <c r="P173" i="6" s="1"/>
  <c r="N170" i="6"/>
  <c r="P170" i="6" s="1"/>
  <c r="J167" i="6"/>
  <c r="N167" i="6"/>
  <c r="P167" i="6" s="1"/>
  <c r="D172" i="6"/>
  <c r="D171" i="6"/>
  <c r="E168" i="6"/>
  <c r="E174" i="6"/>
  <c r="J174" i="6"/>
  <c r="E170" i="6"/>
  <c r="N174" i="6"/>
  <c r="P174" i="6" s="1"/>
  <c r="I167" i="6"/>
  <c r="I174" i="6"/>
  <c r="J175" i="6"/>
  <c r="E173" i="6"/>
  <c r="E169" i="6"/>
  <c r="J166" i="6"/>
  <c r="D167" i="6"/>
  <c r="I171" i="6"/>
  <c r="D173" i="6"/>
  <c r="I166" i="6"/>
  <c r="N166" i="6"/>
  <c r="N172" i="6"/>
  <c r="P172" i="6" s="1"/>
  <c r="I170" i="6"/>
  <c r="N169" i="6"/>
  <c r="P169" i="6" s="1"/>
  <c r="J173" i="6"/>
  <c r="I169" i="6"/>
  <c r="E166" i="6"/>
  <c r="O166" i="6"/>
  <c r="D46" i="6"/>
  <c r="T48" i="6"/>
  <c r="P48" i="6"/>
  <c r="U50" i="6"/>
  <c r="I50" i="6"/>
  <c r="K50" i="6"/>
  <c r="N50" i="6"/>
  <c r="M50" i="6"/>
  <c r="S50" i="6"/>
  <c r="Q50" i="6"/>
  <c r="J50" i="6"/>
  <c r="W50" i="6"/>
  <c r="R50" i="6"/>
  <c r="V50" i="6"/>
  <c r="O50" i="6"/>
  <c r="D63" i="2" l="1"/>
  <c r="AF105" i="2"/>
  <c r="F168" i="6"/>
  <c r="F174" i="6"/>
  <c r="O207" i="6"/>
  <c r="N205" i="6"/>
  <c r="E205" i="6"/>
  <c r="J205" i="6"/>
  <c r="D58" i="2"/>
  <c r="O203" i="6"/>
  <c r="D42" i="2"/>
  <c r="D202" i="6"/>
  <c r="D56" i="2"/>
  <c r="D208" i="6"/>
  <c r="I209" i="6"/>
  <c r="O209" i="6"/>
  <c r="E210" i="6"/>
  <c r="N206" i="6"/>
  <c r="D205" i="6"/>
  <c r="E204" i="6"/>
  <c r="N210" i="6"/>
  <c r="D204" i="6"/>
  <c r="D50" i="2"/>
  <c r="D43" i="2"/>
  <c r="D36" i="2"/>
  <c r="O202" i="6"/>
  <c r="J209" i="6"/>
  <c r="J210" i="6"/>
  <c r="J206" i="6"/>
  <c r="E209" i="6"/>
  <c r="O211" i="6"/>
  <c r="D47" i="2"/>
  <c r="N207" i="6"/>
  <c r="N208" i="6"/>
  <c r="I205" i="6"/>
  <c r="I202" i="6"/>
  <c r="O206" i="6"/>
  <c r="J208" i="6"/>
  <c r="N204" i="6"/>
  <c r="O204" i="6"/>
  <c r="O208" i="6"/>
  <c r="J204" i="6"/>
  <c r="E203" i="6"/>
  <c r="E211" i="6"/>
  <c r="I204" i="6"/>
  <c r="D211" i="6"/>
  <c r="D40" i="2"/>
  <c r="I210" i="6"/>
  <c r="E206" i="6"/>
  <c r="I206" i="6"/>
  <c r="D57" i="2"/>
  <c r="D207" i="6"/>
  <c r="C64" i="2"/>
  <c r="D55" i="2"/>
  <c r="I207" i="6"/>
  <c r="J202" i="6"/>
  <c r="D54" i="2"/>
  <c r="E202" i="6"/>
  <c r="N209" i="6"/>
  <c r="D206" i="6"/>
  <c r="D49" i="2"/>
  <c r="I208" i="6"/>
  <c r="I203" i="6"/>
  <c r="D34" i="2"/>
  <c r="D35" i="2"/>
  <c r="D33" i="2"/>
  <c r="J203" i="6"/>
  <c r="J211" i="6"/>
  <c r="O210" i="6"/>
  <c r="I211" i="6"/>
  <c r="O205" i="6"/>
  <c r="N211" i="6"/>
  <c r="D46" i="2"/>
  <c r="E208" i="6"/>
  <c r="E207" i="6"/>
  <c r="D59" i="2"/>
  <c r="J207" i="6"/>
  <c r="N202" i="6"/>
  <c r="D210" i="6"/>
  <c r="D203" i="6"/>
  <c r="D209" i="6"/>
  <c r="N203" i="6"/>
  <c r="P203" i="6" s="1"/>
  <c r="D41" i="2"/>
  <c r="D48" i="2"/>
  <c r="F169" i="6"/>
  <c r="I196" i="6"/>
  <c r="I197" i="6" s="1"/>
  <c r="K169" i="6"/>
  <c r="K172" i="6"/>
  <c r="K171" i="6"/>
  <c r="K174" i="6"/>
  <c r="P50" i="6"/>
  <c r="L50" i="6"/>
  <c r="P166" i="6"/>
  <c r="O196" i="6"/>
  <c r="R56" i="6"/>
  <c r="J56" i="6"/>
  <c r="K56" i="6"/>
  <c r="O56" i="6"/>
  <c r="V56" i="6"/>
  <c r="S56" i="6"/>
  <c r="N56" i="6"/>
  <c r="W56" i="6"/>
  <c r="T50" i="6"/>
  <c r="F166" i="6"/>
  <c r="E196" i="6"/>
  <c r="F172" i="6"/>
  <c r="R53" i="6"/>
  <c r="V53" i="6"/>
  <c r="N53" i="6"/>
  <c r="I53" i="6"/>
  <c r="U53" i="6"/>
  <c r="S53" i="6"/>
  <c r="J53" i="6"/>
  <c r="O53" i="6"/>
  <c r="K53" i="6"/>
  <c r="W53" i="6"/>
  <c r="M53" i="6"/>
  <c r="Q53" i="6"/>
  <c r="X50" i="6"/>
  <c r="F46" i="6"/>
  <c r="D57" i="6"/>
  <c r="F173" i="6"/>
  <c r="K167" i="6"/>
  <c r="F167" i="6"/>
  <c r="K168" i="6"/>
  <c r="D37" i="6"/>
  <c r="C77" i="11"/>
  <c r="BD77" i="11" s="1"/>
  <c r="BD76" i="11"/>
  <c r="K166" i="6"/>
  <c r="J196" i="6"/>
  <c r="E155" i="6"/>
  <c r="G35" i="6"/>
  <c r="G37" i="6"/>
  <c r="N47" i="6"/>
  <c r="I47" i="6"/>
  <c r="R47" i="6"/>
  <c r="U47" i="6"/>
  <c r="V47" i="6"/>
  <c r="O47" i="6"/>
  <c r="W47" i="6"/>
  <c r="M47" i="6"/>
  <c r="K47" i="6"/>
  <c r="S47" i="6"/>
  <c r="J47" i="6"/>
  <c r="Q47" i="6"/>
  <c r="K173" i="6"/>
  <c r="N196" i="6"/>
  <c r="N197" i="6" s="1"/>
  <c r="K175" i="6"/>
  <c r="F170" i="6"/>
  <c r="K170" i="6"/>
  <c r="F171" i="6"/>
  <c r="F175" i="6"/>
  <c r="D196" i="6"/>
  <c r="D197" i="6" s="1"/>
  <c r="P210" i="6" l="1"/>
  <c r="K202" i="6"/>
  <c r="AF107" i="2"/>
  <c r="AC87" i="6"/>
  <c r="C126" i="11" s="1"/>
  <c r="BD126" i="11" s="1"/>
  <c r="F208" i="6"/>
  <c r="P207" i="6"/>
  <c r="F210" i="6"/>
  <c r="F205" i="6"/>
  <c r="K209" i="6"/>
  <c r="K203" i="6"/>
  <c r="K205" i="6"/>
  <c r="K208" i="6"/>
  <c r="P205" i="6"/>
  <c r="F204" i="6"/>
  <c r="F202" i="6"/>
  <c r="P202" i="6"/>
  <c r="P209" i="6"/>
  <c r="F209" i="6"/>
  <c r="P206" i="6"/>
  <c r="D60" i="2"/>
  <c r="D44" i="2"/>
  <c r="D51" i="2"/>
  <c r="D37" i="2"/>
  <c r="P208" i="6"/>
  <c r="P211" i="6"/>
  <c r="K211" i="6"/>
  <c r="F207" i="6"/>
  <c r="F211" i="6"/>
  <c r="P204" i="6"/>
  <c r="K210" i="6"/>
  <c r="D232" i="6"/>
  <c r="D233" i="6" s="1"/>
  <c r="H86" i="6" s="1"/>
  <c r="K207" i="6"/>
  <c r="E232" i="6"/>
  <c r="E233" i="6" s="1"/>
  <c r="I232" i="6"/>
  <c r="I233" i="6" s="1"/>
  <c r="H87" i="6" s="1"/>
  <c r="F108" i="6" s="1"/>
  <c r="K206" i="6"/>
  <c r="N232" i="6"/>
  <c r="N233" i="6" s="1"/>
  <c r="H88" i="6" s="1"/>
  <c r="J232" i="6"/>
  <c r="J233" i="6" s="1"/>
  <c r="F203" i="6"/>
  <c r="F206" i="6"/>
  <c r="O232" i="6"/>
  <c r="K204" i="6"/>
  <c r="L56" i="6"/>
  <c r="L47" i="6"/>
  <c r="F57" i="6"/>
  <c r="C12" i="11" s="1"/>
  <c r="BD12" i="11" s="1"/>
  <c r="G46" i="6"/>
  <c r="F196" i="6"/>
  <c r="E197" i="6"/>
  <c r="F197" i="6" s="1"/>
  <c r="D75" i="12" s="1"/>
  <c r="X53" i="6"/>
  <c r="T53" i="6"/>
  <c r="T56" i="6"/>
  <c r="O197" i="6"/>
  <c r="P197" i="6" s="1"/>
  <c r="P196" i="6"/>
  <c r="X47" i="6"/>
  <c r="L53" i="6"/>
  <c r="K196" i="6"/>
  <c r="J197" i="6"/>
  <c r="K197" i="6" s="1"/>
  <c r="D38" i="6"/>
  <c r="C11" i="11"/>
  <c r="BD11" i="11" s="1"/>
  <c r="AC37" i="6"/>
  <c r="C8" i="11"/>
  <c r="T47" i="6"/>
  <c r="P47" i="6"/>
  <c r="P53" i="6"/>
  <c r="X56" i="6"/>
  <c r="P56" i="6"/>
  <c r="D89" i="6" l="1"/>
  <c r="AC89" i="6"/>
  <c r="C128" i="11" s="1"/>
  <c r="BD128" i="11" s="1"/>
  <c r="P232" i="6"/>
  <c r="D61" i="2"/>
  <c r="D62" i="2" s="1"/>
  <c r="D64" i="2" s="1"/>
  <c r="F101" i="6"/>
  <c r="F104" i="6"/>
  <c r="F100" i="6"/>
  <c r="F110" i="6"/>
  <c r="F233" i="6"/>
  <c r="D86" i="6" s="1"/>
  <c r="AC63" i="6" s="1"/>
  <c r="C102" i="11" s="1"/>
  <c r="BD102" i="11" s="1"/>
  <c r="K233" i="6"/>
  <c r="D87" i="6" s="1"/>
  <c r="AC64" i="6" s="1"/>
  <c r="C103" i="11" s="1"/>
  <c r="BD103" i="11" s="1"/>
  <c r="F232" i="6"/>
  <c r="D151" i="6"/>
  <c r="F107" i="6"/>
  <c r="F103" i="6"/>
  <c r="K232" i="6"/>
  <c r="F98" i="6"/>
  <c r="F106" i="6"/>
  <c r="F109" i="6"/>
  <c r="F105" i="6"/>
  <c r="F99" i="6"/>
  <c r="F102" i="6"/>
  <c r="F111" i="6"/>
  <c r="O233" i="6"/>
  <c r="P233" i="6" s="1"/>
  <c r="D88" i="6" s="1"/>
  <c r="AC65" i="6" s="1"/>
  <c r="C104" i="11" s="1"/>
  <c r="BD104" i="11" s="1"/>
  <c r="BD8" i="11"/>
  <c r="AE39" i="11"/>
  <c r="AE41" i="11" s="1"/>
  <c r="C79" i="11"/>
  <c r="BD79" i="11" s="1"/>
  <c r="AD37" i="6"/>
  <c r="G57" i="6"/>
  <c r="V46" i="6"/>
  <c r="I46" i="6"/>
  <c r="J46" i="6"/>
  <c r="O46" i="6"/>
  <c r="N46" i="6"/>
  <c r="M46" i="6"/>
  <c r="Q46" i="6"/>
  <c r="S46" i="6"/>
  <c r="R46" i="6"/>
  <c r="K46" i="6"/>
  <c r="W46" i="6"/>
  <c r="U46" i="6"/>
  <c r="D79" i="12"/>
  <c r="D87" i="12"/>
  <c r="G89" i="6" l="1"/>
  <c r="AC66" i="6"/>
  <c r="C105" i="11" s="1"/>
  <c r="BD105" i="11" s="1"/>
  <c r="G86" i="6"/>
  <c r="G87" i="6"/>
  <c r="D91" i="6"/>
  <c r="E92" i="6" s="1"/>
  <c r="C16" i="11" s="1"/>
  <c r="G88" i="6"/>
  <c r="F112" i="6"/>
  <c r="W39" i="6"/>
  <c r="X46" i="6"/>
  <c r="W57" i="6"/>
  <c r="W60" i="6" s="1"/>
  <c r="AK45" i="6" s="1"/>
  <c r="S39" i="6"/>
  <c r="T46" i="6"/>
  <c r="S57" i="6"/>
  <c r="S60" i="6" s="1"/>
  <c r="AJ45" i="6" s="1"/>
  <c r="J37" i="6"/>
  <c r="J39" i="6"/>
  <c r="J38" i="6" s="1"/>
  <c r="J57" i="6"/>
  <c r="K39" i="6"/>
  <c r="K38" i="6" s="1"/>
  <c r="K57" i="6"/>
  <c r="AH45" i="6" s="1"/>
  <c r="L46" i="6"/>
  <c r="U39" i="6"/>
  <c r="U57" i="6"/>
  <c r="U37" i="6"/>
  <c r="O39" i="6"/>
  <c r="P46" i="6"/>
  <c r="O57" i="6"/>
  <c r="O60" i="6" s="1"/>
  <c r="AI45" i="6" s="1"/>
  <c r="Q37" i="6"/>
  <c r="Q39" i="6"/>
  <c r="Q57" i="6"/>
  <c r="M39" i="6"/>
  <c r="M57" i="6"/>
  <c r="M37" i="6"/>
  <c r="I39" i="6"/>
  <c r="I38" i="6" s="1"/>
  <c r="I37" i="6"/>
  <c r="I57" i="6"/>
  <c r="R39" i="6"/>
  <c r="R37" i="6"/>
  <c r="R57" i="6"/>
  <c r="R60" i="6" s="1"/>
  <c r="N57" i="6"/>
  <c r="N60" i="6" s="1"/>
  <c r="N37" i="6"/>
  <c r="N39" i="6"/>
  <c r="V57" i="6"/>
  <c r="V60" i="6" s="1"/>
  <c r="V37" i="6"/>
  <c r="V39" i="6"/>
  <c r="A42" i="11"/>
  <c r="A1" i="11"/>
  <c r="BB1" i="11" s="1"/>
  <c r="BB42" i="11"/>
  <c r="D154" i="6" l="1"/>
  <c r="D155" i="6" s="1"/>
  <c r="C19" i="11"/>
  <c r="BD19" i="11" s="1"/>
  <c r="G91" i="6"/>
  <c r="H92" i="6" s="1"/>
  <c r="C17" i="11" s="1"/>
  <c r="BD17" i="11" s="1"/>
  <c r="C18" i="11"/>
  <c r="BD18" i="11" s="1"/>
  <c r="AC68" i="6"/>
  <c r="C107" i="11" s="1"/>
  <c r="BD107" i="11" s="1"/>
  <c r="E30" i="11"/>
  <c r="C13" i="11"/>
  <c r="BD13" i="11" s="1"/>
  <c r="BD16" i="11"/>
  <c r="C30" i="11"/>
  <c r="U34" i="6"/>
  <c r="AK44" i="6" s="1"/>
  <c r="E29" i="11" s="1"/>
  <c r="U60" i="6"/>
  <c r="V33" i="6"/>
  <c r="L39" i="6"/>
  <c r="L38" i="6" s="1"/>
  <c r="L57" i="6"/>
  <c r="D30" i="11"/>
  <c r="X57" i="6"/>
  <c r="X60" i="6" s="1"/>
  <c r="X39" i="6"/>
  <c r="X38" i="6" s="1"/>
  <c r="I34" i="6"/>
  <c r="AH44" i="6" s="1"/>
  <c r="B29" i="11" s="1"/>
  <c r="M34" i="6"/>
  <c r="AI44" i="6" s="1"/>
  <c r="C29" i="11" s="1"/>
  <c r="M60" i="6"/>
  <c r="Q34" i="6"/>
  <c r="AJ44" i="6" s="1"/>
  <c r="D29" i="11" s="1"/>
  <c r="R33" i="6"/>
  <c r="Q60" i="6"/>
  <c r="P57" i="6"/>
  <c r="P60" i="6" s="1"/>
  <c r="P39" i="6"/>
  <c r="P38" i="6" s="1"/>
  <c r="B30" i="11"/>
  <c r="T39" i="6"/>
  <c r="T38" i="6" s="1"/>
  <c r="T57" i="6"/>
  <c r="T60" i="6" s="1"/>
  <c r="D110" i="6" l="1"/>
  <c r="G110" i="6" s="1"/>
  <c r="H110" i="6" s="1"/>
  <c r="D102" i="6"/>
  <c r="G102" i="6" s="1"/>
  <c r="H102" i="6" s="1"/>
  <c r="D100" i="6"/>
  <c r="G100" i="6" s="1"/>
  <c r="H100" i="6" s="1"/>
  <c r="D111" i="6"/>
  <c r="G111" i="6" s="1"/>
  <c r="H111" i="6" s="1"/>
  <c r="D108" i="6"/>
  <c r="G108" i="6" s="1"/>
  <c r="H108" i="6" s="1"/>
  <c r="D106" i="6"/>
  <c r="G106" i="6" s="1"/>
  <c r="H106" i="6" s="1"/>
  <c r="D109" i="6"/>
  <c r="G109" i="6" s="1"/>
  <c r="H109" i="6" s="1"/>
  <c r="D101" i="6"/>
  <c r="G101" i="6" s="1"/>
  <c r="H101" i="6" s="1"/>
  <c r="D103" i="6"/>
  <c r="G103" i="6" s="1"/>
  <c r="H103" i="6" s="1"/>
  <c r="D105" i="6"/>
  <c r="G105" i="6" s="1"/>
  <c r="H105" i="6" s="1"/>
  <c r="D99" i="6"/>
  <c r="G99" i="6" s="1"/>
  <c r="H99" i="6" s="1"/>
  <c r="D107" i="6"/>
  <c r="G107" i="6" s="1"/>
  <c r="H107" i="6" s="1"/>
  <c r="D104" i="6"/>
  <c r="G104" i="6" s="1"/>
  <c r="H104" i="6" s="1"/>
  <c r="D98" i="6"/>
  <c r="AI46" i="6"/>
  <c r="C31" i="11" s="1"/>
  <c r="BD31" i="11" s="1"/>
  <c r="BC29" i="11"/>
  <c r="AU17" i="11"/>
  <c r="BE30" i="11"/>
  <c r="AW18" i="11"/>
  <c r="AX18" i="11"/>
  <c r="BF30" i="11"/>
  <c r="AU18" i="11"/>
  <c r="BC30" i="11"/>
  <c r="AW17" i="11"/>
  <c r="BE29" i="11"/>
  <c r="BF29" i="11"/>
  <c r="AX17" i="11"/>
  <c r="AH46" i="6"/>
  <c r="B31" i="11" s="1"/>
  <c r="BC31" i="11" s="1"/>
  <c r="AV17" i="11"/>
  <c r="BD29" i="11"/>
  <c r="AJ46" i="6"/>
  <c r="D31" i="11" s="1"/>
  <c r="BE31" i="11" s="1"/>
  <c r="BD30" i="11"/>
  <c r="AV18" i="11"/>
  <c r="AK46" i="6"/>
  <c r="E31" i="11" s="1"/>
  <c r="BF31" i="11" s="1"/>
  <c r="Y107" i="6" l="1"/>
  <c r="Y153" i="6" s="1"/>
  <c r="T107" i="6"/>
  <c r="T153" i="6" s="1"/>
  <c r="V107" i="6"/>
  <c r="P107" i="6"/>
  <c r="P153" i="6" s="1"/>
  <c r="L107" i="6"/>
  <c r="L153" i="6" s="1"/>
  <c r="U107" i="6"/>
  <c r="U153" i="6" s="1"/>
  <c r="Z107" i="6"/>
  <c r="N107" i="6"/>
  <c r="R107" i="6"/>
  <c r="X107" i="6"/>
  <c r="X153" i="6" s="1"/>
  <c r="Q107" i="6"/>
  <c r="Q153" i="6" s="1"/>
  <c r="M107" i="6"/>
  <c r="M153" i="6" s="1"/>
  <c r="L101" i="6"/>
  <c r="L147" i="6" s="1"/>
  <c r="Q101" i="6"/>
  <c r="Q147" i="6" s="1"/>
  <c r="U101" i="6"/>
  <c r="U147" i="6" s="1"/>
  <c r="V101" i="6"/>
  <c r="X101" i="6"/>
  <c r="X147" i="6" s="1"/>
  <c r="Y101" i="6"/>
  <c r="Y147" i="6" s="1"/>
  <c r="P101" i="6"/>
  <c r="P147" i="6" s="1"/>
  <c r="R101" i="6"/>
  <c r="T101" i="6"/>
  <c r="T147" i="6" s="1"/>
  <c r="Z101" i="6"/>
  <c r="N101" i="6"/>
  <c r="M101" i="6"/>
  <c r="M147" i="6" s="1"/>
  <c r="M111" i="6"/>
  <c r="M157" i="6" s="1"/>
  <c r="Y111" i="6"/>
  <c r="Y157" i="6" s="1"/>
  <c r="N111" i="6"/>
  <c r="T111" i="6"/>
  <c r="T157" i="6" s="1"/>
  <c r="Q111" i="6"/>
  <c r="Q157" i="6" s="1"/>
  <c r="U111" i="6"/>
  <c r="U157" i="6" s="1"/>
  <c r="X111" i="6"/>
  <c r="X157" i="6" s="1"/>
  <c r="V111" i="6"/>
  <c r="R111" i="6"/>
  <c r="Z111" i="6"/>
  <c r="X99" i="6"/>
  <c r="X145" i="6" s="1"/>
  <c r="M99" i="6"/>
  <c r="M145" i="6" s="1"/>
  <c r="Q99" i="6"/>
  <c r="Q145" i="6" s="1"/>
  <c r="P99" i="6"/>
  <c r="P145" i="6" s="1"/>
  <c r="R99" i="6"/>
  <c r="T99" i="6"/>
  <c r="T145" i="6" s="1"/>
  <c r="U99" i="6"/>
  <c r="U145" i="6" s="1"/>
  <c r="V99" i="6"/>
  <c r="N99" i="6"/>
  <c r="Y99" i="6"/>
  <c r="Y145" i="6" s="1"/>
  <c r="L99" i="6"/>
  <c r="L145" i="6" s="1"/>
  <c r="Z99" i="6"/>
  <c r="Y109" i="6"/>
  <c r="Y155" i="6" s="1"/>
  <c r="Q109" i="6"/>
  <c r="Q155" i="6" s="1"/>
  <c r="N109" i="6"/>
  <c r="M109" i="6"/>
  <c r="M155" i="6" s="1"/>
  <c r="U109" i="6"/>
  <c r="U155" i="6" s="1"/>
  <c r="X109" i="6"/>
  <c r="X155" i="6" s="1"/>
  <c r="Z109" i="6"/>
  <c r="V109" i="6"/>
  <c r="L109" i="6"/>
  <c r="L155" i="6" s="1"/>
  <c r="T109" i="6"/>
  <c r="T155" i="6" s="1"/>
  <c r="P109" i="6"/>
  <c r="P155" i="6" s="1"/>
  <c r="R109" i="6"/>
  <c r="P100" i="6"/>
  <c r="P146" i="6" s="1"/>
  <c r="M100" i="6"/>
  <c r="M146" i="6" s="1"/>
  <c r="T100" i="6"/>
  <c r="T146" i="6" s="1"/>
  <c r="L100" i="6"/>
  <c r="L146" i="6" s="1"/>
  <c r="Q100" i="6"/>
  <c r="Q146" i="6" s="1"/>
  <c r="Z100" i="6"/>
  <c r="N100" i="6"/>
  <c r="X100" i="6"/>
  <c r="X146" i="6" s="1"/>
  <c r="U100" i="6"/>
  <c r="U146" i="6" s="1"/>
  <c r="V100" i="6"/>
  <c r="Y100" i="6"/>
  <c r="Y146" i="6" s="1"/>
  <c r="R100" i="6"/>
  <c r="G98" i="6"/>
  <c r="H98" i="6" s="1"/>
  <c r="D112" i="6"/>
  <c r="G112" i="6" s="1"/>
  <c r="P105" i="6"/>
  <c r="P151" i="6" s="1"/>
  <c r="N105" i="6"/>
  <c r="X105" i="6"/>
  <c r="X151" i="6" s="1"/>
  <c r="Q105" i="6"/>
  <c r="Q151" i="6" s="1"/>
  <c r="M105" i="6"/>
  <c r="M151" i="6" s="1"/>
  <c r="L105" i="6"/>
  <c r="L151" i="6" s="1"/>
  <c r="R105" i="6"/>
  <c r="Z105" i="6"/>
  <c r="T105" i="6"/>
  <c r="T151" i="6" s="1"/>
  <c r="Y105" i="6"/>
  <c r="Y151" i="6" s="1"/>
  <c r="V105" i="6"/>
  <c r="U105" i="6"/>
  <c r="U151" i="6" s="1"/>
  <c r="P106" i="6"/>
  <c r="P152" i="6" s="1"/>
  <c r="V106" i="6"/>
  <c r="X106" i="6"/>
  <c r="X152" i="6" s="1"/>
  <c r="T106" i="6"/>
  <c r="T152" i="6" s="1"/>
  <c r="Q106" i="6"/>
  <c r="Q152" i="6" s="1"/>
  <c r="M106" i="6"/>
  <c r="M152" i="6" s="1"/>
  <c r="U106" i="6"/>
  <c r="U152" i="6" s="1"/>
  <c r="N106" i="6"/>
  <c r="R106" i="6"/>
  <c r="Z106" i="6"/>
  <c r="Y106" i="6"/>
  <c r="Y152" i="6" s="1"/>
  <c r="L106" i="6"/>
  <c r="L152" i="6" s="1"/>
  <c r="R102" i="6"/>
  <c r="T102" i="6"/>
  <c r="T148" i="6" s="1"/>
  <c r="X102" i="6"/>
  <c r="X148" i="6" s="1"/>
  <c r="N102" i="6"/>
  <c r="V102" i="6"/>
  <c r="U102" i="6"/>
  <c r="U148" i="6" s="1"/>
  <c r="Z102" i="6"/>
  <c r="Q102" i="6"/>
  <c r="Q148" i="6" s="1"/>
  <c r="Y102" i="6"/>
  <c r="Y148" i="6" s="1"/>
  <c r="L102" i="6"/>
  <c r="L148" i="6" s="1"/>
  <c r="M102" i="6"/>
  <c r="M148" i="6" s="1"/>
  <c r="P102" i="6"/>
  <c r="P148" i="6" s="1"/>
  <c r="T104" i="6"/>
  <c r="T150" i="6" s="1"/>
  <c r="P104" i="6"/>
  <c r="P150" i="6" s="1"/>
  <c r="Q104" i="6"/>
  <c r="Q150" i="6" s="1"/>
  <c r="Y104" i="6"/>
  <c r="Y150" i="6" s="1"/>
  <c r="L104" i="6"/>
  <c r="L150" i="6" s="1"/>
  <c r="N104" i="6"/>
  <c r="R104" i="6"/>
  <c r="U104" i="6"/>
  <c r="U150" i="6" s="1"/>
  <c r="M104" i="6"/>
  <c r="M150" i="6" s="1"/>
  <c r="Z104" i="6"/>
  <c r="V104" i="6"/>
  <c r="X104" i="6"/>
  <c r="X150" i="6" s="1"/>
  <c r="P103" i="6"/>
  <c r="P149" i="6" s="1"/>
  <c r="Q103" i="6"/>
  <c r="Q149" i="6" s="1"/>
  <c r="Z103" i="6"/>
  <c r="X103" i="6"/>
  <c r="X149" i="6" s="1"/>
  <c r="V103" i="6"/>
  <c r="L103" i="6"/>
  <c r="L149" i="6" s="1"/>
  <c r="U103" i="6"/>
  <c r="U149" i="6" s="1"/>
  <c r="M103" i="6"/>
  <c r="M149" i="6" s="1"/>
  <c r="Y103" i="6"/>
  <c r="Y149" i="6" s="1"/>
  <c r="N103" i="6"/>
  <c r="R103" i="6"/>
  <c r="T103" i="6"/>
  <c r="T149" i="6" s="1"/>
  <c r="L108" i="6"/>
  <c r="L154" i="6" s="1"/>
  <c r="U108" i="6"/>
  <c r="U154" i="6" s="1"/>
  <c r="X108" i="6"/>
  <c r="X154" i="6" s="1"/>
  <c r="M108" i="6"/>
  <c r="M154" i="6" s="1"/>
  <c r="R108" i="6"/>
  <c r="N108" i="6"/>
  <c r="P108" i="6"/>
  <c r="P154" i="6" s="1"/>
  <c r="Q108" i="6"/>
  <c r="Q154" i="6" s="1"/>
  <c r="T108" i="6"/>
  <c r="T154" i="6" s="1"/>
  <c r="Z108" i="6"/>
  <c r="V108" i="6"/>
  <c r="Y108" i="6"/>
  <c r="Y154" i="6" s="1"/>
  <c r="N110" i="6"/>
  <c r="Y110" i="6"/>
  <c r="Y156" i="6" s="1"/>
  <c r="T110" i="6"/>
  <c r="T156" i="6" s="1"/>
  <c r="L110" i="6"/>
  <c r="L156" i="6" s="1"/>
  <c r="U110" i="6"/>
  <c r="U156" i="6" s="1"/>
  <c r="Z110" i="6"/>
  <c r="Q110" i="6"/>
  <c r="Q156" i="6" s="1"/>
  <c r="V110" i="6"/>
  <c r="P110" i="6"/>
  <c r="P156" i="6" s="1"/>
  <c r="X110" i="6"/>
  <c r="X156" i="6" s="1"/>
  <c r="R110" i="6"/>
  <c r="M110" i="6"/>
  <c r="M156" i="6" s="1"/>
  <c r="V156" i="6" l="1"/>
  <c r="W156" i="6" s="1"/>
  <c r="W110" i="6"/>
  <c r="O102" i="6"/>
  <c r="N148" i="6"/>
  <c r="O148" i="6" s="1"/>
  <c r="N152" i="6"/>
  <c r="O152" i="6" s="1"/>
  <c r="O106" i="6"/>
  <c r="Z151" i="6"/>
  <c r="AA151" i="6" s="1"/>
  <c r="AA105" i="6"/>
  <c r="V146" i="6"/>
  <c r="W146" i="6" s="1"/>
  <c r="W100" i="6"/>
  <c r="Z146" i="6"/>
  <c r="AA146" i="6" s="1"/>
  <c r="AA100" i="6"/>
  <c r="V157" i="6"/>
  <c r="W157" i="6" s="1"/>
  <c r="W111" i="6"/>
  <c r="R147" i="6"/>
  <c r="S147" i="6" s="1"/>
  <c r="S101" i="6"/>
  <c r="V147" i="6"/>
  <c r="W147" i="6" s="1"/>
  <c r="W101" i="6"/>
  <c r="N153" i="6"/>
  <c r="O153" i="6" s="1"/>
  <c r="O107" i="6"/>
  <c r="R156" i="6"/>
  <c r="S156" i="6" s="1"/>
  <c r="S110" i="6"/>
  <c r="V154" i="6"/>
  <c r="W154" i="6" s="1"/>
  <c r="W108" i="6"/>
  <c r="Z149" i="6"/>
  <c r="AA149" i="6" s="1"/>
  <c r="AA103" i="6"/>
  <c r="R150" i="6"/>
  <c r="S150" i="6" s="1"/>
  <c r="S104" i="6"/>
  <c r="Z148" i="6"/>
  <c r="AA148" i="6" s="1"/>
  <c r="AA102" i="6"/>
  <c r="V151" i="6"/>
  <c r="W151" i="6" s="1"/>
  <c r="W105" i="6"/>
  <c r="R151" i="6"/>
  <c r="S151" i="6" s="1"/>
  <c r="S105" i="6"/>
  <c r="U98" i="6"/>
  <c r="V98" i="6"/>
  <c r="X98" i="6"/>
  <c r="H112" i="6"/>
  <c r="Z98" i="6"/>
  <c r="T98" i="6"/>
  <c r="P98" i="6"/>
  <c r="Y98" i="6"/>
  <c r="Q98" i="6"/>
  <c r="R98" i="6"/>
  <c r="M98" i="6"/>
  <c r="L98" i="6"/>
  <c r="N98" i="6"/>
  <c r="N145" i="6"/>
  <c r="O145" i="6" s="1"/>
  <c r="O99" i="6"/>
  <c r="R145" i="6"/>
  <c r="S145" i="6" s="1"/>
  <c r="S99" i="6"/>
  <c r="O111" i="6"/>
  <c r="N157" i="6"/>
  <c r="O157" i="6" s="1"/>
  <c r="N147" i="6"/>
  <c r="O147" i="6" s="1"/>
  <c r="O101" i="6"/>
  <c r="Z153" i="6"/>
  <c r="AA153" i="6" s="1"/>
  <c r="AA107" i="6"/>
  <c r="V153" i="6"/>
  <c r="W153" i="6" s="1"/>
  <c r="W107" i="6"/>
  <c r="R149" i="6"/>
  <c r="S149" i="6" s="1"/>
  <c r="S103" i="6"/>
  <c r="W104" i="6"/>
  <c r="V150" i="6"/>
  <c r="W150" i="6" s="1"/>
  <c r="Z156" i="6"/>
  <c r="AA156" i="6" s="1"/>
  <c r="AA110" i="6"/>
  <c r="Z154" i="6"/>
  <c r="AA154" i="6" s="1"/>
  <c r="AA108" i="6"/>
  <c r="N154" i="6"/>
  <c r="O154" i="6" s="1"/>
  <c r="O108" i="6"/>
  <c r="N149" i="6"/>
  <c r="O149" i="6" s="1"/>
  <c r="O103" i="6"/>
  <c r="Z150" i="6"/>
  <c r="AA150" i="6" s="1"/>
  <c r="AA104" i="6"/>
  <c r="N150" i="6"/>
  <c r="O150" i="6" s="1"/>
  <c r="O104" i="6"/>
  <c r="Z152" i="6"/>
  <c r="AA152" i="6" s="1"/>
  <c r="AA106" i="6"/>
  <c r="V152" i="6"/>
  <c r="W152" i="6" s="1"/>
  <c r="W106" i="6"/>
  <c r="N151" i="6"/>
  <c r="O151" i="6" s="1"/>
  <c r="O105" i="6"/>
  <c r="R146" i="6"/>
  <c r="S146" i="6" s="1"/>
  <c r="S100" i="6"/>
  <c r="S109" i="6"/>
  <c r="R155" i="6"/>
  <c r="S155" i="6" s="1"/>
  <c r="V155" i="6"/>
  <c r="W155" i="6" s="1"/>
  <c r="W109" i="6"/>
  <c r="Z145" i="6"/>
  <c r="AA145" i="6" s="1"/>
  <c r="AA99" i="6"/>
  <c r="V145" i="6"/>
  <c r="W145" i="6" s="1"/>
  <c r="W99" i="6"/>
  <c r="Z157" i="6"/>
  <c r="AA157" i="6" s="1"/>
  <c r="AA111" i="6"/>
  <c r="Z147" i="6"/>
  <c r="AA147" i="6" s="1"/>
  <c r="AA101" i="6"/>
  <c r="N156" i="6"/>
  <c r="O156" i="6" s="1"/>
  <c r="O110" i="6"/>
  <c r="R154" i="6"/>
  <c r="S154" i="6" s="1"/>
  <c r="S108" i="6"/>
  <c r="W103" i="6"/>
  <c r="V149" i="6"/>
  <c r="W149" i="6" s="1"/>
  <c r="V148" i="6"/>
  <c r="W148" i="6" s="1"/>
  <c r="W102" i="6"/>
  <c r="R148" i="6"/>
  <c r="S148" i="6" s="1"/>
  <c r="S102" i="6"/>
  <c r="R152" i="6"/>
  <c r="S152" i="6" s="1"/>
  <c r="S106" i="6"/>
  <c r="N146" i="6"/>
  <c r="O146" i="6" s="1"/>
  <c r="O100" i="6"/>
  <c r="Z155" i="6"/>
  <c r="AA155" i="6" s="1"/>
  <c r="AA109" i="6"/>
  <c r="N155" i="6"/>
  <c r="O155" i="6" s="1"/>
  <c r="O109" i="6"/>
  <c r="R157" i="6"/>
  <c r="S157" i="6" s="1"/>
  <c r="S111" i="6"/>
  <c r="R153" i="6"/>
  <c r="S153" i="6" s="1"/>
  <c r="S107" i="6"/>
  <c r="R144" i="6" l="1"/>
  <c r="R112" i="6"/>
  <c r="S98" i="6"/>
  <c r="S112" i="6" s="1"/>
  <c r="T144" i="6"/>
  <c r="T159" i="6" s="1"/>
  <c r="T160" i="6" s="1"/>
  <c r="T112" i="6"/>
  <c r="V144" i="6"/>
  <c r="W98" i="6"/>
  <c r="W112" i="6" s="1"/>
  <c r="V112" i="6"/>
  <c r="N112" i="6"/>
  <c r="N116" i="6" s="1"/>
  <c r="N117" i="6" s="1"/>
  <c r="O98" i="6"/>
  <c r="O112" i="6" s="1"/>
  <c r="O116" i="6" s="1"/>
  <c r="N144" i="6"/>
  <c r="Q144" i="6"/>
  <c r="Q159" i="6" s="1"/>
  <c r="Q160" i="6" s="1"/>
  <c r="Q112" i="6"/>
  <c r="Z144" i="6"/>
  <c r="Z112" i="6"/>
  <c r="AA98" i="6"/>
  <c r="AA112" i="6" s="1"/>
  <c r="U144" i="6"/>
  <c r="U159" i="6" s="1"/>
  <c r="U160" i="6" s="1"/>
  <c r="U112" i="6"/>
  <c r="L144" i="6"/>
  <c r="L112" i="6"/>
  <c r="L116" i="6" s="1"/>
  <c r="Y112" i="6"/>
  <c r="Y144" i="6"/>
  <c r="Y159" i="6" s="1"/>
  <c r="Y160" i="6" s="1"/>
  <c r="M144" i="6"/>
  <c r="M112" i="6"/>
  <c r="M116" i="6" s="1"/>
  <c r="M117" i="6" s="1"/>
  <c r="P144" i="6"/>
  <c r="P159" i="6" s="1"/>
  <c r="P160" i="6" s="1"/>
  <c r="P112" i="6"/>
  <c r="X144" i="6"/>
  <c r="X159" i="6" s="1"/>
  <c r="X160" i="6" s="1"/>
  <c r="X112" i="6"/>
  <c r="AK51" i="6" l="1"/>
  <c r="AI51" i="6"/>
  <c r="V116" i="6"/>
  <c r="V117" i="6"/>
  <c r="AJ51" i="6"/>
  <c r="Y117" i="6"/>
  <c r="Y116" i="6"/>
  <c r="Q116" i="6"/>
  <c r="Q117" i="6"/>
  <c r="X117" i="6"/>
  <c r="X116" i="6"/>
  <c r="M159" i="6"/>
  <c r="L139" i="6"/>
  <c r="L137" i="6" s="1"/>
  <c r="L117" i="6" s="1"/>
  <c r="Z116" i="6"/>
  <c r="Z117" i="6"/>
  <c r="O144" i="6"/>
  <c r="N159" i="6"/>
  <c r="P116" i="6"/>
  <c r="P117" i="6"/>
  <c r="U117" i="6"/>
  <c r="U116" i="6"/>
  <c r="Z159" i="6"/>
  <c r="Z160" i="6" s="1"/>
  <c r="AK52" i="6" s="1"/>
  <c r="E36" i="11" s="1"/>
  <c r="AA144" i="6"/>
  <c r="AA159" i="6" s="1"/>
  <c r="AA160" i="6" s="1"/>
  <c r="W144" i="6"/>
  <c r="W159" i="6" s="1"/>
  <c r="W160" i="6" s="1"/>
  <c r="V159" i="6"/>
  <c r="V160" i="6" s="1"/>
  <c r="AJ52" i="6" s="1"/>
  <c r="D36" i="11" s="1"/>
  <c r="R116" i="6"/>
  <c r="R117" i="6"/>
  <c r="T117" i="6"/>
  <c r="T116" i="6"/>
  <c r="S144" i="6"/>
  <c r="S159" i="6" s="1"/>
  <c r="S160" i="6" s="1"/>
  <c r="R159" i="6"/>
  <c r="R160" i="6" s="1"/>
  <c r="AI52" i="6" s="1"/>
  <c r="C36" i="11" s="1"/>
  <c r="C35" i="11" l="1"/>
  <c r="AV22" i="11" s="1"/>
  <c r="AI53" i="6"/>
  <c r="C37" i="11" s="1"/>
  <c r="BD37" i="11" s="1"/>
  <c r="D35" i="11"/>
  <c r="AW22" i="11" s="1"/>
  <c r="AJ53" i="6"/>
  <c r="D37" i="11" s="1"/>
  <c r="BE37" i="11" s="1"/>
  <c r="E35" i="11"/>
  <c r="AK53" i="6"/>
  <c r="E37" i="11" s="1"/>
  <c r="BF37" i="11" s="1"/>
  <c r="S116" i="6"/>
  <c r="AA116" i="6"/>
  <c r="AH52" i="6"/>
  <c r="B36" i="11" s="1"/>
  <c r="W117" i="6"/>
  <c r="AV23" i="11"/>
  <c r="BD36" i="11"/>
  <c r="S117" i="6"/>
  <c r="AA117" i="6"/>
  <c r="W116" i="6"/>
  <c r="BE36" i="11"/>
  <c r="AW23" i="11"/>
  <c r="AX23" i="11"/>
  <c r="BF36" i="11"/>
  <c r="L158" i="6"/>
  <c r="AH50" i="6"/>
  <c r="O137" i="6"/>
  <c r="O117" i="6" s="1"/>
  <c r="BE35" i="11" l="1"/>
  <c r="BD35" i="11"/>
  <c r="O158" i="6"/>
  <c r="L159" i="6"/>
  <c r="O159" i="6" s="1"/>
  <c r="BF35" i="11"/>
  <c r="AX22" i="11"/>
  <c r="B34" i="11"/>
  <c r="AU23" i="11"/>
  <c r="BC36" i="11"/>
  <c r="AH51" i="6" l="1"/>
  <c r="BC34" i="11"/>
  <c r="AU21" i="11"/>
  <c r="B35" i="11" l="1"/>
  <c r="AH53" i="6"/>
  <c r="B37" i="11" s="1"/>
  <c r="BC37" i="11" s="1"/>
  <c r="BC35" i="11" l="1"/>
  <c r="AU2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Marshall Goldberg</author>
    <author xml:space="preserve"> </author>
  </authors>
  <commentList>
    <comment ref="A13" authorId="0" shapeId="0" xr:uid="{00000000-0006-0000-0300-000001000000}">
      <text>
        <r>
          <rPr>
            <b/>
            <sz val="8"/>
            <color rgb="FF000000"/>
            <rFont val="Tahoma"/>
            <family val="2"/>
          </rPr>
          <t xml:space="preserve">
</t>
        </r>
        <r>
          <rPr>
            <b/>
            <sz val="8"/>
            <color rgb="FF000000"/>
            <rFont val="Tahoma"/>
            <family val="2"/>
          </rPr>
          <t xml:space="preserve">Project location is state name (or other user add-in location - MyCounty or MyRegion) where wind plant is constructed. 
</t>
        </r>
        <r>
          <rPr>
            <b/>
            <sz val="8"/>
            <color rgb="FFFF0000"/>
            <rFont val="Tahoma"/>
            <family val="2"/>
          </rPr>
          <t>(Entry required -choose from pull-down list)</t>
        </r>
      </text>
    </comment>
    <comment ref="A14" authorId="1" shapeId="0" xr:uid="{00000000-0006-0000-0300-000002000000}">
      <text>
        <r>
          <rPr>
            <b/>
            <sz val="8"/>
            <color rgb="FF000000"/>
            <rFont val="Tahoma"/>
            <family val="2"/>
          </rPr>
          <t xml:space="preserve"> 
</t>
        </r>
        <r>
          <rPr>
            <b/>
            <sz val="8"/>
            <color rgb="FF000000"/>
            <rFont val="Tahoma"/>
            <family val="2"/>
          </rPr>
          <t>If running a county or regional analysis: area population is required to incorporate appropriate default values for local shares.</t>
        </r>
      </text>
    </comment>
    <comment ref="A15" authorId="0" shapeId="0" xr:uid="{00000000-0006-0000-0300-000003000000}">
      <text>
        <r>
          <rPr>
            <b/>
            <sz val="8"/>
            <color rgb="FF000000"/>
            <rFont val="Tahoma"/>
            <family val="2"/>
          </rPr>
          <t xml:space="preserve">
</t>
        </r>
        <r>
          <rPr>
            <b/>
            <sz val="8"/>
            <color rgb="FF000000"/>
            <rFont val="Tahoma"/>
            <family val="2"/>
          </rPr>
          <t xml:space="preserve">Year of construction is year in which construction occurs - not to exceed 2030. </t>
        </r>
        <r>
          <rPr>
            <b/>
            <sz val="8"/>
            <color rgb="FFFF0000"/>
            <rFont val="Tahoma"/>
            <family val="2"/>
          </rPr>
          <t>(Entry required)</t>
        </r>
      </text>
    </comment>
    <comment ref="A16" authorId="0" shapeId="0" xr:uid="{00000000-0006-0000-0300-000004000000}">
      <text>
        <r>
          <rPr>
            <b/>
            <sz val="8"/>
            <color rgb="FF000000"/>
            <rFont val="Tahoma"/>
            <family val="2"/>
          </rPr>
          <t xml:space="preserve">
</t>
        </r>
        <r>
          <rPr>
            <b/>
            <sz val="8"/>
            <color rgb="FF000000"/>
            <rFont val="Tahoma"/>
            <family val="2"/>
          </rPr>
          <t xml:space="preserve">Project size is number of megawatts (MW) - 1 MW = 1 thousand kilowatts (KW).  (Entry required)
</t>
        </r>
        <r>
          <rPr>
            <b/>
            <sz val="8"/>
            <color rgb="FF000000"/>
            <rFont val="Tahoma"/>
            <family val="2"/>
          </rPr>
          <t xml:space="preserve">
</t>
        </r>
        <r>
          <rPr>
            <b/>
            <sz val="8"/>
            <color rgb="FFFF0000"/>
            <rFont val="Tahoma"/>
            <family val="2"/>
          </rPr>
          <t xml:space="preserve">Due to economies of scale for larger projects, it is recommended Users analyze projects individually rather than grouping them together as one project. </t>
        </r>
      </text>
    </comment>
    <comment ref="A19" authorId="0" shapeId="0" xr:uid="{00000000-0006-0000-0300-000005000000}">
      <text>
        <r>
          <rPr>
            <b/>
            <sz val="8"/>
            <color rgb="FF000000"/>
            <rFont val="Tahoma"/>
            <family val="2"/>
          </rPr>
          <t xml:space="preserve">
</t>
        </r>
        <r>
          <rPr>
            <b/>
            <sz val="8"/>
            <color rgb="FF000000"/>
            <rFont val="Tahoma"/>
            <family val="2"/>
          </rPr>
          <t>The number of Turbines is automatically calculated by dividing the project size (MW * 1000) by the turbine size (KW).</t>
        </r>
      </text>
    </comment>
    <comment ref="A20" authorId="1" shapeId="0" xr:uid="{00000000-0006-0000-0300-000006000000}">
      <text>
        <r>
          <rPr>
            <b/>
            <sz val="8"/>
            <color rgb="FF000000"/>
            <rFont val="Tahoma"/>
            <family val="2"/>
          </rPr>
          <t xml:space="preserve"> 
</t>
        </r>
        <r>
          <rPr>
            <b/>
            <sz val="8"/>
            <color rgb="FF000000"/>
            <rFont val="Tahoma"/>
            <family val="2"/>
          </rPr>
          <t>The default installed cost is based on a capacity weighted average from a large sample of installed project costs in 2012 (2012 DOE report (forthcoming), Wiser and Bolinger).  This value is automatically entered unless changed by user.  Installed cost does not include sales tax, land easement, or interest payments during construction period, if applicable. These are automatically entered and may be revised by the user (below, if desired).</t>
        </r>
      </text>
    </comment>
    <comment ref="A21" authorId="0" shapeId="0" xr:uid="{00000000-0006-0000-0300-000007000000}">
      <text>
        <r>
          <rPr>
            <b/>
            <sz val="8"/>
            <color rgb="FF000000"/>
            <rFont val="Tahoma"/>
            <family val="2"/>
          </rPr>
          <t xml:space="preserve">
</t>
        </r>
        <r>
          <rPr>
            <b/>
            <sz val="8"/>
            <color rgb="FF000000"/>
            <rFont val="Tahoma"/>
            <family val="2"/>
          </rPr>
          <t>Default Annual Operations and Maintenance Cost is based on national average costs for the respective size wind farm.  The cost is automatically entered unless revised by user.  The cost includes all operating and maintenance costs except costs associated with debt or equity financing, land easement, or taxes (these values are included elsewhere).</t>
        </r>
      </text>
    </comment>
    <comment ref="A22" authorId="0" shapeId="0" xr:uid="{00000000-0006-0000-0300-000008000000}">
      <text>
        <r>
          <rPr>
            <b/>
            <sz val="8"/>
            <color rgb="FF000000"/>
            <rFont val="Tahoma"/>
            <family val="2"/>
          </rPr>
          <t xml:space="preserve">
</t>
        </r>
        <r>
          <rPr>
            <b/>
            <sz val="8"/>
            <color rgb="FF000000"/>
            <rFont val="Tahoma"/>
            <family val="2"/>
          </rPr>
          <t xml:space="preserve">Money value refers to the year the construction and other costs are based on (e.g., if cost estimates are in 2012 dollar values and construction occurs in 2014, enter 2012).
</t>
        </r>
        <r>
          <rPr>
            <b/>
            <sz val="8"/>
            <color rgb="FF000000"/>
            <rFont val="Tahoma"/>
            <family val="2"/>
          </rPr>
          <t xml:space="preserve">
</t>
        </r>
        <r>
          <rPr>
            <b/>
            <sz val="8"/>
            <color rgb="FF000000"/>
            <rFont val="Tahoma"/>
            <family val="2"/>
          </rPr>
          <t xml:space="preserve">The model uses this dollar year to internally adjust project costs for consistency with the year of the multipliers used in the analysis.
</t>
        </r>
      </text>
    </comment>
    <comment ref="A24" authorId="0" shapeId="0" xr:uid="{00000000-0006-0000-0300-000009000000}">
      <text>
        <r>
          <rPr>
            <b/>
            <sz val="8"/>
            <color rgb="FF000000"/>
            <rFont val="Tahoma"/>
            <family val="2"/>
          </rPr>
          <t xml:space="preserve">
</t>
        </r>
        <r>
          <rPr>
            <b/>
            <sz val="8"/>
            <color rgb="FF000000"/>
            <rFont val="Tahoma"/>
            <family val="2"/>
          </rPr>
          <t xml:space="preserve">Choose "Y" to run analysis using System Description Data (entered above) and default System Cost Data (automatically entered below).
</t>
        </r>
        <r>
          <rPr>
            <b/>
            <sz val="8"/>
            <color rgb="FF000000"/>
            <rFont val="Tahoma"/>
            <family val="2"/>
          </rPr>
          <t xml:space="preserve">  
</t>
        </r>
        <r>
          <rPr>
            <b/>
            <sz val="8"/>
            <color rgb="FF000000"/>
            <rFont val="Tahoma"/>
            <family val="2"/>
          </rPr>
          <t>Choose "N" to run analysis using System Descriptive Data (entered above) with user modified System Cost Data (entered below) .</t>
        </r>
        <r>
          <rPr>
            <b/>
            <sz val="8"/>
            <color rgb="FFFF0000"/>
            <rFont val="Tahoma"/>
            <family val="2"/>
          </rPr>
          <t xml:space="preserve">  User defined cost data will not be incorporated in the analysis if an "N" is not chosen here.
</t>
        </r>
        <r>
          <rPr>
            <b/>
            <sz val="8"/>
            <color rgb="FFFF0000"/>
            <rFont val="Tahoma"/>
            <family val="2"/>
          </rPr>
          <t xml:space="preserve">                               (Entry Required) </t>
        </r>
        <r>
          <rPr>
            <b/>
            <sz val="8"/>
            <color rgb="FF000000"/>
            <rFont val="Tahoma"/>
            <family val="2"/>
          </rPr>
          <t xml:space="preserve">
</t>
        </r>
      </text>
    </comment>
    <comment ref="AH30" authorId="0" shapeId="0" xr:uid="{00000000-0006-0000-0300-00000A000000}">
      <text>
        <r>
          <rPr>
            <b/>
            <sz val="8"/>
            <color indexed="81"/>
            <rFont val="Tahoma"/>
            <family val="2"/>
          </rPr>
          <t xml:space="preserve">
Due to the large variation in land easement arrangements, this calculation (Percent of Total Cost) does not include costs for land easement.</t>
        </r>
      </text>
    </comment>
    <comment ref="E31" authorId="0" shapeId="0" xr:uid="{00000000-0006-0000-0300-00000B000000}">
      <text>
        <r>
          <rPr>
            <b/>
            <sz val="8"/>
            <color rgb="FF000000"/>
            <rFont val="Tahoma"/>
            <family val="2"/>
          </rPr>
          <t xml:space="preserve">
</t>
        </r>
        <r>
          <rPr>
            <b/>
            <sz val="8"/>
            <color rgb="FF000000"/>
            <rFont val="Tahoma"/>
            <family val="2"/>
          </rPr>
          <t>Local Share is the percentage of expenditure spent in the state or local region where the plant is constructed.</t>
        </r>
      </text>
    </comment>
    <comment ref="AI31" authorId="0" shapeId="0" xr:uid="{00000000-0006-0000-0300-00000C000000}">
      <text>
        <r>
          <rPr>
            <b/>
            <sz val="8"/>
            <color indexed="81"/>
            <rFont val="Tahoma"/>
            <family val="2"/>
          </rPr>
          <t xml:space="preserve">
Local Share is the percentage of expenditure spent in the state or local region where the plant is constructed.</t>
        </r>
      </text>
    </comment>
    <comment ref="A45" authorId="0" shapeId="0" xr:uid="{00000000-0006-0000-0300-00000D000000}">
      <text>
        <r>
          <rPr>
            <b/>
            <sz val="8"/>
            <color rgb="FF000000"/>
            <rFont val="Tahoma"/>
            <family val="2"/>
          </rPr>
          <t xml:space="preserve">
</t>
        </r>
        <r>
          <rPr>
            <b/>
            <sz val="8"/>
            <color rgb="FF000000"/>
            <rFont val="Tahoma"/>
            <family val="2"/>
          </rPr>
          <t xml:space="preserve">Labor Costs include hourly wages plus employer paid costs such as health benefits, workers compensation, disability insurance, and social security, among others.
</t>
        </r>
        <r>
          <rPr>
            <b/>
            <sz val="8"/>
            <color rgb="FF000000"/>
            <rFont val="Tahoma"/>
            <family val="2"/>
          </rPr>
          <t xml:space="preserve">
</t>
        </r>
        <r>
          <rPr>
            <b/>
            <sz val="8"/>
            <color rgb="FFFF0000"/>
            <rFont val="Tahoma"/>
            <family val="2"/>
          </rPr>
          <t>**If revising labor costs, please note:</t>
        </r>
        <r>
          <rPr>
            <b/>
            <sz val="8"/>
            <color rgb="FF000000"/>
            <rFont val="Tahoma"/>
            <family val="2"/>
          </rPr>
          <t xml:space="preserve"> </t>
        </r>
        <r>
          <rPr>
            <b/>
            <sz val="8"/>
            <color rgb="FFFF0000"/>
            <rFont val="Tahoma"/>
            <family val="2"/>
          </rPr>
          <t xml:space="preserve">Labor costs (entered in these cells) are associated with per hour construction wage rates (entered below).  Therefore, user changes to labor costs must be accompanied by changes in hourly wage rates and overhead costs or changes will adversely impact (increase or decrease) the total number of construction workers reported (calculated) in the results.  </t>
        </r>
        <r>
          <rPr>
            <b/>
            <i/>
            <sz val="8"/>
            <color rgb="FFFF0000"/>
            <rFont val="Tahoma"/>
            <family val="2"/>
          </rPr>
          <t>See FAQ for related information.</t>
        </r>
      </text>
    </comment>
    <comment ref="A48" authorId="0" shapeId="0" xr:uid="{00000000-0006-0000-0300-00000E000000}">
      <text>
        <r>
          <rPr>
            <b/>
            <sz val="8"/>
            <color rgb="FF000000"/>
            <rFont val="Tahoma"/>
            <family val="2"/>
          </rPr>
          <t xml:space="preserve">
</t>
        </r>
        <r>
          <rPr>
            <b/>
            <sz val="8"/>
            <color rgb="FF000000"/>
            <rFont val="Tahoma"/>
            <family val="2"/>
          </rPr>
          <t xml:space="preserve">Electrical labor refers to all electrical work (on turbine connections and wiring, underground wiring, and all other electrical related equipment) except that related to HV substation/interconnection, accounted for separately. </t>
        </r>
        <r>
          <rPr>
            <sz val="8"/>
            <color rgb="FF000000"/>
            <rFont val="Tahoma"/>
            <family val="2"/>
          </rPr>
          <t xml:space="preserve">
</t>
        </r>
      </text>
    </comment>
    <comment ref="A50" authorId="0" shapeId="0" xr:uid="{00000000-0006-0000-0300-00000F000000}">
      <text>
        <r>
          <rPr>
            <b/>
            <sz val="8"/>
            <color rgb="FF000000"/>
            <rFont val="Tahoma"/>
            <family val="2"/>
          </rPr>
          <t xml:space="preserve">
</t>
        </r>
        <r>
          <rPr>
            <b/>
            <sz val="8"/>
            <color rgb="FF000000"/>
            <rFont val="Tahoma"/>
            <family val="2"/>
          </rPr>
          <t xml:space="preserve">Miscellaneous labor costs include additional worker allowances for housing, food and other living expenses, and other labor  related costs. </t>
        </r>
        <r>
          <rPr>
            <sz val="8"/>
            <color rgb="FF000000"/>
            <rFont val="Tahoma"/>
            <family val="2"/>
          </rPr>
          <t xml:space="preserve">
</t>
        </r>
      </text>
    </comment>
    <comment ref="AE50" authorId="0" shapeId="0" xr:uid="{00000000-0006-0000-0300-000010000000}">
      <text>
        <r>
          <rPr>
            <b/>
            <sz val="8"/>
            <color indexed="81"/>
            <rFont val="Tahoma"/>
            <family val="2"/>
          </rPr>
          <t xml:space="preserve">
Miscellaneous labor costs include additional worker allowances for housing, food and other living expenses, and other labor or developer related costs. </t>
        </r>
        <r>
          <rPr>
            <sz val="8"/>
            <color indexed="81"/>
            <rFont val="Tahoma"/>
            <family val="2"/>
          </rPr>
          <t xml:space="preserve">
</t>
        </r>
      </text>
    </comment>
    <comment ref="A54" authorId="0" shapeId="0" xr:uid="{00000000-0006-0000-0300-000011000000}">
      <text>
        <r>
          <rPr>
            <b/>
            <sz val="8"/>
            <color indexed="81"/>
            <rFont val="Tahoma"/>
            <family val="2"/>
          </rPr>
          <t xml:space="preserve">
HV Substation/Interconnect materials includes all associated materials and equipment (except transformer - accounted for in materials elsewhere).</t>
        </r>
        <r>
          <rPr>
            <sz val="8"/>
            <color indexed="81"/>
            <rFont val="Tahoma"/>
            <family val="2"/>
          </rPr>
          <t xml:space="preserve">
</t>
        </r>
      </text>
    </comment>
    <comment ref="AE54" authorId="0" shapeId="0" xr:uid="{00000000-0006-0000-0300-000012000000}">
      <text>
        <r>
          <rPr>
            <b/>
            <sz val="8"/>
            <color indexed="81"/>
            <rFont val="Tahoma"/>
            <family val="2"/>
          </rPr>
          <t xml:space="preserve">
HV Substation/Interconnect materials includes all associated materials and equipment (except transformer - accounted for in materials elsewhere).</t>
        </r>
        <r>
          <rPr>
            <sz val="8"/>
            <color indexed="81"/>
            <rFont val="Tahoma"/>
            <family val="2"/>
          </rPr>
          <t xml:space="preserve">
</t>
        </r>
      </text>
    </comment>
    <comment ref="A55" authorId="0" shapeId="0" xr:uid="{00000000-0006-0000-0300-000013000000}">
      <text>
        <r>
          <rPr>
            <b/>
            <sz val="8"/>
            <color rgb="FF000000"/>
            <rFont val="Tahoma"/>
            <family val="2"/>
          </rPr>
          <t xml:space="preserve">
</t>
        </r>
        <r>
          <rPr>
            <b/>
            <sz val="8"/>
            <color rgb="FF000000"/>
            <rFont val="Tahoma"/>
            <family val="2"/>
          </rPr>
          <t>HV Substation/Interconnect labor includes all associated electrical labor as well as engineering and design costs.</t>
        </r>
        <r>
          <rPr>
            <sz val="8"/>
            <color rgb="FF000000"/>
            <rFont val="Tahoma"/>
            <family val="2"/>
          </rPr>
          <t xml:space="preserve">
</t>
        </r>
      </text>
    </comment>
    <comment ref="AE55" authorId="0" shapeId="0" xr:uid="{00000000-0006-0000-0300-000014000000}">
      <text>
        <r>
          <rPr>
            <b/>
            <sz val="8"/>
            <color indexed="81"/>
            <rFont val="Tahoma"/>
            <family val="2"/>
          </rPr>
          <t xml:space="preserve">
HV Substation/Interconnect labor includes all associated electrical labor as well as engineering and design costs.</t>
        </r>
        <r>
          <rPr>
            <sz val="8"/>
            <color indexed="81"/>
            <rFont val="Tahoma"/>
            <family val="2"/>
          </rPr>
          <t xml:space="preserve">
</t>
        </r>
      </text>
    </comment>
    <comment ref="A58" authorId="0" shapeId="0" xr:uid="{00000000-0006-0000-0300-000015000000}">
      <text>
        <r>
          <rPr>
            <b/>
            <sz val="8"/>
            <color rgb="FF000000"/>
            <rFont val="Tahoma"/>
            <family val="2"/>
          </rPr>
          <t xml:space="preserve">
</t>
        </r>
        <r>
          <rPr>
            <b/>
            <sz val="8"/>
            <color rgb="FF000000"/>
            <rFont val="Tahoma"/>
            <family val="2"/>
          </rPr>
          <t>Land easement refers to payments made to land owner to secure the site before and/or during the construction period.  Due to the large variation in land easement arrangements, this calculation  does not include costs for land easement.</t>
        </r>
      </text>
    </comment>
    <comment ref="AE58" authorId="0" shapeId="0" xr:uid="{00000000-0006-0000-0300-000016000000}">
      <text>
        <r>
          <rPr>
            <b/>
            <sz val="8"/>
            <color indexed="81"/>
            <rFont val="Tahoma"/>
            <family val="2"/>
          </rPr>
          <t xml:space="preserve">
Land easement refers to payments made to land owner to secure the site and/or during the construction period.</t>
        </r>
      </text>
    </comment>
    <comment ref="D67" authorId="0" shapeId="0" xr:uid="{00000000-0006-0000-0300-000017000000}">
      <text>
        <r>
          <rPr>
            <b/>
            <sz val="8"/>
            <color rgb="FF000000"/>
            <rFont val="Tahoma"/>
            <family val="2"/>
          </rPr>
          <t xml:space="preserve">
</t>
        </r>
        <r>
          <rPr>
            <b/>
            <sz val="8"/>
            <color rgb="FF000000"/>
            <rFont val="Tahoma"/>
            <family val="2"/>
          </rPr>
          <t>For purposes of calculating the O&amp;M percentages for each expenditure, the Total Cost does not include costs for land easement.  These costs (noted below) are however included in the impact analysis.</t>
        </r>
      </text>
    </comment>
    <comment ref="AH67" authorId="0" shapeId="0" xr:uid="{00000000-0006-0000-0300-000018000000}">
      <text>
        <r>
          <rPr>
            <b/>
            <sz val="8"/>
            <color indexed="81"/>
            <rFont val="Tahoma"/>
            <family val="2"/>
          </rPr>
          <t xml:space="preserve">
For purposes of calculating the O&amp;M percentages for each expenditure, the Total Cost does not include costs for land easement.  These costs (noted below) are however included in the impact analysis.</t>
        </r>
      </text>
    </comment>
    <comment ref="E68" authorId="0" shapeId="0" xr:uid="{00000000-0006-0000-0300-000019000000}">
      <text>
        <r>
          <rPr>
            <b/>
            <sz val="8"/>
            <color rgb="FF000000"/>
            <rFont val="Tahoma"/>
            <family val="2"/>
          </rPr>
          <t xml:space="preserve">
</t>
        </r>
        <r>
          <rPr>
            <b/>
            <sz val="8"/>
            <color rgb="FF000000"/>
            <rFont val="Tahoma"/>
            <family val="2"/>
          </rPr>
          <t>Local Share is the percentage of expenditure spent in the state or local region where the plant is constructed.</t>
        </r>
      </text>
    </comment>
    <comment ref="AE68" authorId="0" shapeId="0" xr:uid="{00000000-0006-0000-0300-00001A000000}">
      <text>
        <r>
          <rPr>
            <sz val="8"/>
            <color indexed="81"/>
            <rFont val="Tahoma"/>
            <family val="2"/>
          </rPr>
          <t xml:space="preserve">
</t>
        </r>
        <r>
          <rPr>
            <b/>
            <sz val="8"/>
            <color indexed="81"/>
            <rFont val="Tahoma"/>
            <family val="2"/>
          </rPr>
          <t>Personnel Costs include employer paid costs such as health benefits, workers compensation, disability insurance, and social security among others.</t>
        </r>
        <r>
          <rPr>
            <sz val="8"/>
            <color indexed="81"/>
            <rFont val="Tahoma"/>
            <family val="2"/>
          </rPr>
          <t xml:space="preserve">
</t>
        </r>
      </text>
    </comment>
    <comment ref="AI68" authorId="0" shapeId="0" xr:uid="{00000000-0006-0000-0300-00001B000000}">
      <text>
        <r>
          <rPr>
            <b/>
            <sz val="8"/>
            <color indexed="81"/>
            <rFont val="Tahoma"/>
            <family val="2"/>
          </rPr>
          <t xml:space="preserve">
Local Share is the percentage of expenditure spent in the state or local region where the plant is constructed.</t>
        </r>
      </text>
    </comment>
    <comment ref="A70" authorId="0" shapeId="0" xr:uid="{00000000-0006-0000-0300-00001C000000}">
      <text>
        <r>
          <rPr>
            <sz val="8"/>
            <color rgb="FF000000"/>
            <rFont val="Tahoma"/>
            <family val="2"/>
          </rPr>
          <t xml:space="preserve">
</t>
        </r>
        <r>
          <rPr>
            <b/>
            <sz val="8"/>
            <color rgb="FF000000"/>
            <rFont val="Tahoma"/>
            <family val="2"/>
          </rPr>
          <t xml:space="preserve">Personnel Costs include hourly wages plus employer paid costs such as health benefits, workers compensation, disability insurance, and social security, among others. 
</t>
        </r>
        <r>
          <rPr>
            <b/>
            <sz val="8"/>
            <color rgb="FF000000"/>
            <rFont val="Tahoma"/>
            <family val="2"/>
          </rPr>
          <t xml:space="preserve">
</t>
        </r>
        <r>
          <rPr>
            <b/>
            <sz val="8"/>
            <color rgb="FFFF0000"/>
            <rFont val="Tahoma"/>
            <family val="2"/>
          </rPr>
          <t>**If revising labor costs, please note: Labor costs (entered in these cells) are associated with per hour O&amp;M wage rates and employer payroll overhead (entered below).  Therefore, user changes to labor costs must be accompanied by changes in hourly wage rates and employer payroll overhead costs or changes will adversely impact (increase or decrease) the total number of construction workers reported (calculated) in the results.  See FAQ for related information.</t>
        </r>
      </text>
    </comment>
    <comment ref="AE70" authorId="0" shapeId="0" xr:uid="{00000000-0006-0000-0300-00001D000000}">
      <text>
        <r>
          <rPr>
            <sz val="8"/>
            <color indexed="81"/>
            <rFont val="Tahoma"/>
            <family val="2"/>
          </rPr>
          <t xml:space="preserve">
</t>
        </r>
        <r>
          <rPr>
            <b/>
            <sz val="8"/>
            <color indexed="81"/>
            <rFont val="Tahoma"/>
            <family val="2"/>
          </rPr>
          <t>Personnel Costs include employer paid costs such as health benefits, workers compensation, disability insurance, and social security among others.</t>
        </r>
        <r>
          <rPr>
            <sz val="8"/>
            <color indexed="81"/>
            <rFont val="Tahoma"/>
            <family val="2"/>
          </rPr>
          <t xml:space="preserve">
</t>
        </r>
      </text>
    </comment>
    <comment ref="A86" authorId="0" shapeId="0" xr:uid="{00000000-0006-0000-0300-00001E000000}">
      <text>
        <r>
          <rPr>
            <b/>
            <sz val="8"/>
            <color rgb="FF000000"/>
            <rFont val="Tahoma"/>
            <family val="2"/>
          </rPr>
          <t>Other Taxes/Payments includes other costs such as severance taxes or royalties.  Property taxes, land lease costs, and financing related costs are addressed elsewhere (below).</t>
        </r>
        <r>
          <rPr>
            <sz val="8"/>
            <color rgb="FF000000"/>
            <rFont val="Tahoma"/>
            <family val="2"/>
          </rPr>
          <t xml:space="preserve">
</t>
        </r>
      </text>
    </comment>
    <comment ref="AE86" authorId="0" shapeId="0" xr:uid="{00000000-0006-0000-0300-00001F000000}">
      <text>
        <r>
          <rPr>
            <b/>
            <sz val="8"/>
            <color indexed="81"/>
            <rFont val="Tahoma"/>
            <family val="2"/>
          </rPr>
          <t>Other Taxes/Payments includes other costs such as severance taxes or royalties.  Property taxes, land lease costs, and financing related costs are addressed elsewhere (below).</t>
        </r>
        <r>
          <rPr>
            <sz val="8"/>
            <color indexed="81"/>
            <rFont val="Tahoma"/>
            <family val="2"/>
          </rPr>
          <t xml:space="preserve">
</t>
        </r>
      </text>
    </comment>
    <comment ref="A87" authorId="0" shapeId="0" xr:uid="{00000000-0006-0000-0300-000020000000}">
      <text>
        <r>
          <rPr>
            <sz val="8"/>
            <color rgb="FF000000"/>
            <rFont val="Tahoma"/>
            <family val="2"/>
          </rPr>
          <t xml:space="preserve">
</t>
        </r>
        <r>
          <rPr>
            <b/>
            <sz val="8"/>
            <color rgb="FF000000"/>
            <rFont val="Tahoma"/>
            <family val="2"/>
          </rPr>
          <t>Annual Operations and Maintenance Cost does not include costs associated with debt or equity payments, land easement, or property taxes.</t>
        </r>
        <r>
          <rPr>
            <sz val="8"/>
            <color rgb="FF000000"/>
            <rFont val="Tahoma"/>
            <family val="2"/>
          </rPr>
          <t xml:space="preserve">
</t>
        </r>
      </text>
    </comment>
    <comment ref="AE87" authorId="0" shapeId="0" xr:uid="{00000000-0006-0000-0300-000021000000}">
      <text>
        <r>
          <rPr>
            <sz val="8"/>
            <color indexed="81"/>
            <rFont val="Tahoma"/>
            <family val="2"/>
          </rPr>
          <t xml:space="preserve">
</t>
        </r>
        <r>
          <rPr>
            <b/>
            <sz val="8"/>
            <color indexed="81"/>
            <rFont val="Tahoma"/>
            <family val="2"/>
          </rPr>
          <t>Annual Operations and Maintenance Cost does not include costs associated with debt or equity payments, land easement, or taxes.</t>
        </r>
        <r>
          <rPr>
            <sz val="8"/>
            <color indexed="81"/>
            <rFont val="Tahoma"/>
            <family val="2"/>
          </rPr>
          <t xml:space="preserve">
</t>
        </r>
      </text>
    </comment>
    <comment ref="E90" authorId="0" shapeId="0" xr:uid="{00000000-0006-0000-0300-000022000000}">
      <text>
        <r>
          <rPr>
            <b/>
            <sz val="8"/>
            <color rgb="FF000000"/>
            <rFont val="Tahoma"/>
            <family val="2"/>
          </rPr>
          <t xml:space="preserve">
</t>
        </r>
        <r>
          <rPr>
            <b/>
            <sz val="8"/>
            <color rgb="FF000000"/>
            <rFont val="Tahoma"/>
            <family val="2"/>
          </rPr>
          <t>Local Share is the percentage of expenditure spent in the state or local region where the plant is constructed.</t>
        </r>
      </text>
    </comment>
    <comment ref="AI90" authorId="0" shapeId="0" xr:uid="{00000000-0006-0000-0300-000023000000}">
      <text>
        <r>
          <rPr>
            <b/>
            <sz val="8"/>
            <color indexed="81"/>
            <rFont val="Tahoma"/>
            <family val="2"/>
          </rPr>
          <t xml:space="preserve">
Local Share is the percentage of expenditure spent in the state or local region where the plant is constructed.</t>
        </r>
      </text>
    </comment>
    <comment ref="A92" authorId="0" shapeId="0" xr:uid="{00000000-0006-0000-0300-000024000000}">
      <text>
        <r>
          <rPr>
            <b/>
            <sz val="8"/>
            <color indexed="81"/>
            <rFont val="Tahoma"/>
            <family val="2"/>
          </rPr>
          <t xml:space="preserve">
Percentage financed is the share of project construction cost financed through a loan.
</t>
        </r>
      </text>
    </comment>
    <comment ref="AE92" authorId="0" shapeId="0" xr:uid="{00000000-0006-0000-0300-000025000000}">
      <text>
        <r>
          <rPr>
            <b/>
            <sz val="8"/>
            <color indexed="81"/>
            <rFont val="Tahoma"/>
            <family val="2"/>
          </rPr>
          <t xml:space="preserve">
Percentage financed is the share of project construction cost financed through a loan.
</t>
        </r>
      </text>
    </comment>
    <comment ref="A93" authorId="0" shapeId="0" xr:uid="{00000000-0006-0000-0300-000026000000}">
      <text>
        <r>
          <rPr>
            <b/>
            <sz val="8"/>
            <color indexed="81"/>
            <rFont val="Tahoma"/>
            <family val="2"/>
          </rPr>
          <t xml:space="preserve">
Years financed is the number of years required to payback the amount borrowed (initial loan amount).</t>
        </r>
      </text>
    </comment>
    <comment ref="AE93" authorId="0" shapeId="0" xr:uid="{00000000-0006-0000-0300-000027000000}">
      <text>
        <r>
          <rPr>
            <b/>
            <sz val="8"/>
            <color indexed="81"/>
            <rFont val="Tahoma"/>
            <family val="2"/>
          </rPr>
          <t xml:space="preserve">
Years financed is the number of years required to payback the amount borrowed (initial loan amount).</t>
        </r>
      </text>
    </comment>
    <comment ref="A94" authorId="0" shapeId="0" xr:uid="{00000000-0006-0000-0300-000028000000}">
      <text>
        <r>
          <rPr>
            <b/>
            <sz val="8"/>
            <color rgb="FF000000"/>
            <rFont val="Tahoma"/>
            <family val="2"/>
          </rPr>
          <t xml:space="preserve">
</t>
        </r>
        <r>
          <rPr>
            <b/>
            <sz val="8"/>
            <color rgb="FF000000"/>
            <rFont val="Tahoma"/>
            <family val="2"/>
          </rPr>
          <t>Interest rate refers to the annual rate charged by the lender. (Example: 10 = 10%)</t>
        </r>
      </text>
    </comment>
    <comment ref="AE94" authorId="0" shapeId="0" xr:uid="{00000000-0006-0000-0300-000029000000}">
      <text>
        <r>
          <rPr>
            <b/>
            <sz val="8"/>
            <color indexed="81"/>
            <rFont val="Tahoma"/>
            <family val="2"/>
          </rPr>
          <t xml:space="preserve">
Interest rate refers to the annual rate charged by the lender. (Example: 10 = 10%)</t>
        </r>
      </text>
    </comment>
    <comment ref="A96" authorId="0" shapeId="0" xr:uid="{00000000-0006-0000-0300-00002A000000}">
      <text>
        <r>
          <rPr>
            <b/>
            <sz val="8"/>
            <color rgb="FF000000"/>
            <rFont val="Tahoma"/>
            <family val="2"/>
          </rPr>
          <t xml:space="preserve">
</t>
        </r>
        <r>
          <rPr>
            <b/>
            <sz val="8"/>
            <color rgb="FF000000"/>
            <rFont val="Tahoma"/>
            <family val="2"/>
          </rPr>
          <t xml:space="preserve">This percentage is the share of project construction cost (after accounting for the share from debt financing) secured through investment by individuals and/or corporate investors.
</t>
        </r>
      </text>
    </comment>
    <comment ref="AE96" authorId="0" shapeId="0" xr:uid="{00000000-0006-0000-0300-00002B000000}">
      <text>
        <r>
          <rPr>
            <b/>
            <sz val="8"/>
            <color indexed="81"/>
            <rFont val="Tahoma"/>
            <family val="2"/>
          </rPr>
          <t xml:space="preserve">
This percentage is the share of project construction cost (after accounting for the share from debt financing) secured through investment by individuals and/or corporate investors.
</t>
        </r>
      </text>
    </comment>
    <comment ref="A97" authorId="0" shapeId="0" xr:uid="{00000000-0006-0000-0300-00002C000000}">
      <text>
        <r>
          <rPr>
            <b/>
            <sz val="8"/>
            <color indexed="81"/>
            <rFont val="Tahoma"/>
            <family val="2"/>
          </rPr>
          <t xml:space="preserve">
Individual Investors refers to households that provide resources (invest) towards equity in the project, rather than direct loans for debt financing.
</t>
        </r>
      </text>
    </comment>
    <comment ref="AE97" authorId="0" shapeId="0" xr:uid="{00000000-0006-0000-0300-00002D000000}">
      <text>
        <r>
          <rPr>
            <b/>
            <sz val="8"/>
            <color indexed="81"/>
            <rFont val="Tahoma"/>
            <family val="2"/>
          </rPr>
          <t xml:space="preserve">
Individual Investors refers to households that provide resources (invest) towards equity in the project, rather than direct loans for debt financing.
</t>
        </r>
      </text>
    </comment>
    <comment ref="A98" authorId="0" shapeId="0" xr:uid="{00000000-0006-0000-0300-00002E000000}">
      <text>
        <r>
          <rPr>
            <b/>
            <sz val="8"/>
            <color indexed="81"/>
            <rFont val="Tahoma"/>
            <family val="2"/>
          </rPr>
          <t xml:space="preserve">
Corporate Investors refers to businesses that provide equity investment.  This calculation is automatically derived from the percentage entered in Individual (above) - the sum of the two equals 100 percent.</t>
        </r>
      </text>
    </comment>
    <comment ref="AE98" authorId="0" shapeId="0" xr:uid="{00000000-0006-0000-0300-00002F000000}">
      <text>
        <r>
          <rPr>
            <b/>
            <sz val="8"/>
            <color indexed="81"/>
            <rFont val="Tahoma"/>
            <family val="2"/>
          </rPr>
          <t xml:space="preserve">
Corporate Investors refers to businesses that provide equity investment.  This calculation is automatically derived from the percentage entered in Individual (above) - the sum of the two equals 100 percent.</t>
        </r>
      </text>
    </comment>
    <comment ref="A102" authorId="0" shapeId="0" xr:uid="{00000000-0006-0000-0300-000030000000}">
      <text>
        <r>
          <rPr>
            <sz val="9"/>
            <color rgb="FF000000"/>
            <rFont val="Tahoma"/>
            <family val="2"/>
          </rPr>
          <t xml:space="preserve">
</t>
        </r>
        <r>
          <rPr>
            <b/>
            <sz val="9"/>
            <color rgb="FF000000"/>
            <rFont val="Tahoma"/>
            <family val="2"/>
          </rPr>
          <t>Local Property Tax Rate refers to the average millage rate ($/$1000 of assessed value).</t>
        </r>
      </text>
    </comment>
    <comment ref="AE102" authorId="0" shapeId="0" xr:uid="{00000000-0006-0000-0300-000031000000}">
      <text>
        <r>
          <rPr>
            <sz val="9"/>
            <color indexed="81"/>
            <rFont val="Tahoma"/>
            <family val="2"/>
          </rPr>
          <t xml:space="preserve">
</t>
        </r>
        <r>
          <rPr>
            <b/>
            <sz val="9"/>
            <color indexed="81"/>
            <rFont val="Tahoma"/>
            <family val="2"/>
          </rPr>
          <t>Local Property Tax Rate refers to the average millage rate ($/$1000 of assessed value).</t>
        </r>
      </text>
    </comment>
    <comment ref="A106" authorId="1" shapeId="0" xr:uid="{00000000-0006-0000-0300-000032000000}">
      <text>
        <r>
          <rPr>
            <b/>
            <sz val="8"/>
            <color rgb="FF000000"/>
            <rFont val="Tahoma"/>
            <family val="2"/>
          </rPr>
          <t>If Taxes Per MW are entered by user, Local Property Tax Rate (cell B102) must be set to "NA" (without quotes) to incorporate the user set Taxes Per MW value (cell B106) in the calculation.</t>
        </r>
      </text>
    </comment>
    <comment ref="A107" authorId="1" shapeId="0" xr:uid="{00000000-0006-0000-0300-000033000000}">
      <text>
        <r>
          <rPr>
            <b/>
            <sz val="8"/>
            <color rgb="FF000000"/>
            <rFont val="Tahoma"/>
            <family val="2"/>
          </rPr>
          <t xml:space="preserve"> 
</t>
        </r>
        <r>
          <rPr>
            <b/>
            <sz val="8"/>
            <color rgb="FF000000"/>
            <rFont val="Tahoma"/>
            <family val="2"/>
          </rPr>
          <t>Local Taxes refers to Property Taxes or Taxes per MW automatically calculated from per MW tax rate (entered above if available), from local property tax parameters (entered above if available), or local taxes (value entered here by user).</t>
        </r>
      </text>
    </comment>
    <comment ref="AE107" authorId="1" shapeId="0" xr:uid="{00000000-0006-0000-0300-000034000000}">
      <text>
        <r>
          <rPr>
            <b/>
            <sz val="8"/>
            <color indexed="81"/>
            <rFont val="Tahoma"/>
            <family val="2"/>
          </rPr>
          <t xml:space="preserve"> Automatically calculated from per MW tax rate (if available) or from tax parameters entered above.</t>
        </r>
      </text>
    </comment>
    <comment ref="A108" authorId="1" shapeId="0" xr:uid="{00000000-0006-0000-0300-000035000000}">
      <text>
        <r>
          <rPr>
            <b/>
            <sz val="8"/>
            <color rgb="FF000000"/>
            <rFont val="Tahoma"/>
            <family val="2"/>
          </rPr>
          <t xml:space="preserve"> 
</t>
        </r>
        <r>
          <rPr>
            <b/>
            <sz val="8"/>
            <color rgb="FF000000"/>
            <rFont val="Tahoma"/>
            <family val="2"/>
          </rPr>
          <t>Default Local Sales Tax Rate is state rate only.  Please note, the rate does not account for sales tax exemptions. If applicable rate should be adjusted by users.</t>
        </r>
      </text>
    </comment>
    <comment ref="B112" authorId="0" shapeId="0" xr:uid="{E5805E41-5C4F-F84C-94FA-58B778E40648}">
      <text>
        <r>
          <rPr>
            <b/>
            <sz val="8"/>
            <color rgb="FF000000"/>
            <rFont val="Tahoma"/>
            <family val="2"/>
          </rPr>
          <t xml:space="preserve">
</t>
        </r>
        <r>
          <rPr>
            <b/>
            <sz val="8"/>
            <color rgb="FF000000"/>
            <rFont val="Tahoma"/>
            <family val="2"/>
          </rPr>
          <t xml:space="preserve">Entry required if cost is calculated  using a method other than the lease cost per turbine (above) times the number of turbines (above). </t>
        </r>
      </text>
    </comment>
    <comment ref="AF112" authorId="0" shapeId="0" xr:uid="{00000000-0006-0000-0300-000037000000}">
      <text>
        <r>
          <rPr>
            <b/>
            <sz val="8"/>
            <color indexed="81"/>
            <rFont val="Tahoma"/>
            <family val="2"/>
          </rPr>
          <t xml:space="preserve">
Entry required if cost is calculated  using a method other than the lease cost per turbine (above) times the number of turbines (above). </t>
        </r>
      </text>
    </comment>
    <comment ref="B115" authorId="0" shapeId="0" xr:uid="{00000000-0006-0000-0300-000038000000}">
      <text>
        <r>
          <rPr>
            <sz val="8"/>
            <color indexed="81"/>
            <rFont val="Tahoma"/>
            <family val="2"/>
          </rPr>
          <t xml:space="preserve">
</t>
        </r>
        <r>
          <rPr>
            <b/>
            <sz val="8"/>
            <color indexed="81"/>
            <rFont val="Tahoma"/>
            <family val="2"/>
          </rPr>
          <t xml:space="preserve">Wage per hour is the average base wage only; it does not include employer payroll overhead, which are based on the percentages of wages noted.
</t>
        </r>
        <r>
          <rPr>
            <b/>
            <sz val="8"/>
            <color indexed="10"/>
            <rFont val="Tahoma"/>
            <family val="2"/>
          </rPr>
          <t>**If revising wages per hour, please note: wage rates (entered in these cells) are associated with consruction labor personnel costs (entered above) and employer payroll overhead (entered to the right).  Therefore, user changes to wage rates must be accompanied by changes in labor costs (and potentially employer payroll overhead costs) or changes will adversely impact (increase or decrease) the total number of construction workers reported (calculated) in the results.  See FAQ for related information.</t>
        </r>
        <r>
          <rPr>
            <sz val="8"/>
            <color indexed="81"/>
            <rFont val="Tahoma"/>
            <family val="2"/>
          </rPr>
          <t xml:space="preserve">
</t>
        </r>
      </text>
    </comment>
    <comment ref="D115" authorId="0" shapeId="0" xr:uid="{00000000-0006-0000-0300-000039000000}">
      <text>
        <r>
          <rPr>
            <sz val="8"/>
            <color rgb="FF000000"/>
            <rFont val="Tahoma"/>
            <family val="2"/>
          </rPr>
          <t xml:space="preserve">
</t>
        </r>
        <r>
          <rPr>
            <b/>
            <sz val="8"/>
            <color rgb="FF000000"/>
            <rFont val="Tahoma"/>
            <family val="2"/>
          </rPr>
          <t xml:space="preserve">Employer payroll overhead refers to the additional percentage of wages employers spend to pay for employee health benefits, workers compensation, disability insurance, and social security, among others. 
</t>
        </r>
        <r>
          <rPr>
            <b/>
            <sz val="8"/>
            <color rgb="FF000000"/>
            <rFont val="Tahoma"/>
            <family val="2"/>
          </rPr>
          <t xml:space="preserve"> 
</t>
        </r>
        <r>
          <rPr>
            <b/>
            <sz val="8"/>
            <color rgb="FFFF0000"/>
            <rFont val="Tahoma"/>
            <family val="2"/>
          </rPr>
          <t>**If revising employer payroll overhead, please note: overhead rates (entered in these cells) are associated with consruction labor personnel costs (entered above) and wages per hour (entered to the left).  Therefore, user changes to overhead rates must be accompanied by changes in labor costs and wages per hour or changes will adversely impact (increase or decrease) the total number of construction workers reported (calculated) in the results.  See FAQ for related information.</t>
        </r>
        <r>
          <rPr>
            <b/>
            <sz val="8"/>
            <color rgb="FF000000"/>
            <rFont val="Tahoma"/>
            <family val="2"/>
          </rPr>
          <t xml:space="preserve">
</t>
        </r>
      </text>
    </comment>
    <comment ref="AF115" authorId="0" shapeId="0" xr:uid="{00000000-0006-0000-0300-00003A000000}">
      <text>
        <r>
          <rPr>
            <sz val="8"/>
            <color indexed="81"/>
            <rFont val="Tahoma"/>
            <family val="2"/>
          </rPr>
          <t xml:space="preserve">
</t>
        </r>
        <r>
          <rPr>
            <b/>
            <sz val="8"/>
            <color indexed="81"/>
            <rFont val="Tahoma"/>
            <family val="2"/>
          </rPr>
          <t xml:space="preserve">Wage per hour is the average base wage only; it does not include employer payroll overhead, which are based on the percentages of wages noted.
</t>
        </r>
        <r>
          <rPr>
            <b/>
            <sz val="8"/>
            <color indexed="10"/>
            <rFont val="Tahoma"/>
            <family val="2"/>
          </rPr>
          <t>**If revising wages per hour, please note: wage rates (entered in these cells) are associated with consruction labor personnel costs (entered above) and employer payroll overhead (entered to the right).  Therefore, user changes to wage rates must be accompanied by changes in labor costs (and potentially employer payroll overhead costs) or changes will adversely impact (increase or decrease) the total number of construction workers reported (calculated) in the results.  See FAQ for related information.</t>
        </r>
        <r>
          <rPr>
            <sz val="8"/>
            <color indexed="81"/>
            <rFont val="Tahoma"/>
            <family val="2"/>
          </rPr>
          <t xml:space="preserve">
</t>
        </r>
      </text>
    </comment>
    <comment ref="AH115" authorId="0" shapeId="0" xr:uid="{00000000-0006-0000-0300-00003B000000}">
      <text>
        <r>
          <rPr>
            <sz val="8"/>
            <color indexed="81"/>
            <rFont val="Tahoma"/>
            <family val="2"/>
          </rPr>
          <t xml:space="preserve">
</t>
        </r>
        <r>
          <rPr>
            <b/>
            <sz val="8"/>
            <color indexed="81"/>
            <rFont val="Tahoma"/>
            <family val="2"/>
          </rPr>
          <t xml:space="preserve">Employer payroll overhead refers to the additional percentage of wages employers spend to pay for employee health benefits, workers compensation, disability insurance, and social security, among others. 
</t>
        </r>
        <r>
          <rPr>
            <b/>
            <sz val="8"/>
            <color indexed="10"/>
            <rFont val="Tahoma"/>
            <family val="2"/>
          </rPr>
          <t>**If revising employer payroll overhead, please note: overhead rates (entered in these cells) are associated with consruction labor personnel costs (entered above) and wages per hour (entered to the left).  Therefore, user changes to overhead rates must be accompanied by changes in labor costs and wages per hour or changes will adversely impact (increase or decrease) the total number of construction workers reported (calculated) in the results.  See FAQ for related information.</t>
        </r>
        <r>
          <rPr>
            <b/>
            <sz val="8"/>
            <color indexed="81"/>
            <rFont val="Tahoma"/>
            <family val="2"/>
          </rPr>
          <t xml:space="preserve">
</t>
        </r>
      </text>
    </comment>
    <comment ref="B120" authorId="0" shapeId="0" xr:uid="{00000000-0006-0000-0300-00003C000000}">
      <text>
        <r>
          <rPr>
            <sz val="8"/>
            <color rgb="FF000000"/>
            <rFont val="Tahoma"/>
            <family val="2"/>
          </rPr>
          <t xml:space="preserve">
</t>
        </r>
        <r>
          <rPr>
            <b/>
            <sz val="8"/>
            <color rgb="FF000000"/>
            <rFont val="Tahoma"/>
            <family val="2"/>
          </rPr>
          <t>Wage per hour is the average base wage only; does not include employer payroll costs, which are automatically included in the impact analysis.</t>
        </r>
        <r>
          <rPr>
            <sz val="8"/>
            <color rgb="FF000000"/>
            <rFont val="Tahoma"/>
            <family val="2"/>
          </rPr>
          <t xml:space="preserve">
</t>
        </r>
        <r>
          <rPr>
            <sz val="8"/>
            <color rgb="FF000000"/>
            <rFont val="Tahoma"/>
            <family val="2"/>
          </rPr>
          <t xml:space="preserve">
</t>
        </r>
        <r>
          <rPr>
            <b/>
            <sz val="8"/>
            <color rgb="FFFF0000"/>
            <rFont val="Tahoma"/>
            <family val="2"/>
          </rPr>
          <t xml:space="preserve">**If revising Wage rates, please note: Wage rates (entered in these cells) are associated with O&amp;M labor personnel costs (entered above).  Therefore, user changes to O&amp;M laobr personnel costs and/or hourly labor rates and employer payroll costs will impact (increase or decrease) the total number of O&amp;M employees reported (calculated) in the results. </t>
        </r>
      </text>
    </comment>
    <comment ref="D120" authorId="0" shapeId="0" xr:uid="{00000000-0006-0000-0300-00003D000000}">
      <text>
        <r>
          <rPr>
            <sz val="8"/>
            <color rgb="FF000000"/>
            <rFont val="Tahoma"/>
            <family val="2"/>
          </rPr>
          <t xml:space="preserve">
</t>
        </r>
        <r>
          <rPr>
            <b/>
            <sz val="8"/>
            <color rgb="FF000000"/>
            <rFont val="Tahoma"/>
            <family val="2"/>
          </rPr>
          <t xml:space="preserve">Employer payroll overhead refers to the additional percentage of wages employers spend to pay for employee health benefits, workers compensation, disability insurance, and social security, among others. 
</t>
        </r>
        <r>
          <rPr>
            <b/>
            <sz val="8"/>
            <color rgb="FF000000"/>
            <rFont val="Tahoma"/>
            <family val="2"/>
          </rPr>
          <t xml:space="preserve"> 
</t>
        </r>
        <r>
          <rPr>
            <b/>
            <sz val="8"/>
            <color rgb="FFFF0000"/>
            <rFont val="Tahoma"/>
            <family val="2"/>
          </rPr>
          <t>**If revising employer payroll overhead, please note: overhead rates (entered in these cells) are associated with O&amp;M labor personnel costs (entered above) and wages per hour (entered to the left).  Therefore, user changes to overhead rates must be accompanied by changes in labor costs and wages per hour or changes will adversely impact (increase or decrease) the total number of construction workers reported (calculated) in the results.  See FAQ for related information.</t>
        </r>
        <r>
          <rPr>
            <b/>
            <sz val="8"/>
            <color rgb="FF000000"/>
            <rFont val="Tahoma"/>
            <family val="2"/>
          </rPr>
          <t xml:space="preserve">
</t>
        </r>
        <r>
          <rPr>
            <b/>
            <sz val="8"/>
            <color rgb="FF000000"/>
            <rFont val="Tahoma"/>
            <family val="2"/>
          </rPr>
          <t xml:space="preserve">
</t>
        </r>
      </text>
    </comment>
    <comment ref="AF120" authorId="0" shapeId="0" xr:uid="{00000000-0006-0000-0300-00003E000000}">
      <text>
        <r>
          <rPr>
            <sz val="8"/>
            <color indexed="81"/>
            <rFont val="Tahoma"/>
            <family val="2"/>
          </rPr>
          <t xml:space="preserve">
</t>
        </r>
        <r>
          <rPr>
            <b/>
            <sz val="8"/>
            <color indexed="81"/>
            <rFont val="Tahoma"/>
            <family val="2"/>
          </rPr>
          <t>Wage per hour is the average base wage only; does not include employer payroll costs, which are automatically included in the impact analysis.</t>
        </r>
        <r>
          <rPr>
            <sz val="8"/>
            <color indexed="81"/>
            <rFont val="Tahoma"/>
            <family val="2"/>
          </rPr>
          <t xml:space="preserve">
</t>
        </r>
        <r>
          <rPr>
            <b/>
            <sz val="8"/>
            <color indexed="10"/>
            <rFont val="Tahoma"/>
            <family val="2"/>
          </rPr>
          <t xml:space="preserve">**If revising Wage rates, please note: Wage rates (entered in these cells) are associated with O&amp;M labor personnel costs (entered above).  Therefore, user changes to O&amp;M laobr personnel costs and/or hourly labor rates and employer payroll costs will impact (increase or decrease) the total number of O&amp;M employees reported (calculated) in the results. </t>
        </r>
      </text>
    </comment>
    <comment ref="AH120" authorId="0" shapeId="0" xr:uid="{00000000-0006-0000-0300-00003F000000}">
      <text>
        <r>
          <rPr>
            <sz val="8"/>
            <color indexed="81"/>
            <rFont val="Tahoma"/>
            <family val="2"/>
          </rPr>
          <t xml:space="preserve">
</t>
        </r>
        <r>
          <rPr>
            <b/>
            <sz val="8"/>
            <color indexed="81"/>
            <rFont val="Tahoma"/>
            <family val="2"/>
          </rPr>
          <t xml:space="preserve">Employer payroll overhead refers to the additional percentage of wages employers spend to pay for employee health benefits, workers compensation, disability insurance, and social security, among others. 
</t>
        </r>
        <r>
          <rPr>
            <b/>
            <sz val="8"/>
            <color indexed="10"/>
            <rFont val="Tahoma"/>
            <family val="2"/>
          </rPr>
          <t>**If revising employer payroll overhead, please note: overhead rates (entered in these cells) are associated with O&amp;M labor personnel costs (entered above) and wages per hour (entered to the left).  Therefore, user changes to overhead rates must be accompanied by changes in labor costs and wages per hour or changes will adversely impact (increase or decrease) the total number of construction workers reported (calculated) in the results.  See FAQ for related information.</t>
        </r>
        <r>
          <rPr>
            <b/>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Marshall Goldberg</author>
    <author xml:space="preserve"> </author>
  </authors>
  <commentList>
    <comment ref="A8" authorId="0" shapeId="0" xr:uid="{00000000-0006-0000-0400-000001000000}">
      <text>
        <r>
          <rPr>
            <b/>
            <sz val="8"/>
            <color rgb="FF000000"/>
            <rFont val="Tahoma"/>
            <family val="2"/>
          </rPr>
          <t xml:space="preserve">
</t>
        </r>
        <r>
          <rPr>
            <b/>
            <sz val="8"/>
            <color rgb="FF000000"/>
            <rFont val="Tahoma"/>
            <family val="2"/>
          </rPr>
          <t>Installed Project Cost ($/KW) includes sales or use taxes if applicable.</t>
        </r>
        <r>
          <rPr>
            <sz val="8"/>
            <color rgb="FF000000"/>
            <rFont val="Tahoma"/>
            <family val="2"/>
          </rPr>
          <t xml:space="preserve">
</t>
        </r>
      </text>
    </comment>
    <comment ref="A9" authorId="0" shapeId="0" xr:uid="{00000000-0006-0000-0400-000002000000}">
      <text>
        <r>
          <rPr>
            <b/>
            <sz val="8"/>
            <color indexed="81"/>
            <rFont val="Tahoma"/>
            <family val="2"/>
          </rPr>
          <t xml:space="preserve">
Annual Operations and</t>
        </r>
        <r>
          <rPr>
            <sz val="8"/>
            <color indexed="81"/>
            <rFont val="Tahoma"/>
            <family val="2"/>
          </rPr>
          <t xml:space="preserve"> </t>
        </r>
        <r>
          <rPr>
            <b/>
            <sz val="8"/>
            <color indexed="81"/>
            <rFont val="Tahoma"/>
            <family val="2"/>
          </rPr>
          <t>Maintenance Cost does not include costs associated with debt or equity financing, land easement or property related taxes, but does include sales tax if applicable.</t>
        </r>
        <r>
          <rPr>
            <sz val="8"/>
            <color indexed="81"/>
            <rFont val="Tahoma"/>
            <family val="2"/>
          </rPr>
          <t xml:space="preserve">
</t>
        </r>
      </text>
    </comment>
    <comment ref="A11" authorId="0" shapeId="0" xr:uid="{00000000-0006-0000-0400-000003000000}">
      <text>
        <r>
          <rPr>
            <sz val="8"/>
            <color rgb="FF000000"/>
            <rFont val="Tahoma"/>
            <family val="2"/>
          </rPr>
          <t xml:space="preserve">
</t>
        </r>
        <r>
          <rPr>
            <b/>
            <sz val="8"/>
            <color rgb="FF000000"/>
            <rFont val="Tahoma"/>
            <family val="2"/>
          </rPr>
          <t>Total Installed Project Cost includes sales and use taxes if applicable.</t>
        </r>
        <r>
          <rPr>
            <sz val="8"/>
            <color rgb="FF000000"/>
            <rFont val="Tahoma"/>
            <family val="2"/>
          </rPr>
          <t xml:space="preserve">
</t>
        </r>
      </text>
    </comment>
    <comment ref="A12" authorId="0" shapeId="0" xr:uid="{00000000-0006-0000-0400-000004000000}">
      <text>
        <r>
          <rPr>
            <b/>
            <sz val="8"/>
            <color rgb="FF000000"/>
            <rFont val="Tahoma"/>
            <family val="2"/>
          </rPr>
          <t xml:space="preserve">
</t>
        </r>
        <r>
          <rPr>
            <b/>
            <sz val="8"/>
            <color rgb="FF000000"/>
            <rFont val="Tahoma"/>
            <family val="2"/>
          </rPr>
          <t>Local Spending refers to the actual dollars spent on goods and services in the state (or  local county or region) where the plant is built</t>
        </r>
      </text>
    </comment>
    <comment ref="A16" authorId="0" shapeId="0" xr:uid="{00000000-0006-0000-0400-000005000000}">
      <text>
        <r>
          <rPr>
            <b/>
            <sz val="8"/>
            <color rgb="FF000000"/>
            <rFont val="Tahoma"/>
            <family val="2"/>
          </rPr>
          <t xml:space="preserve">
</t>
        </r>
        <r>
          <rPr>
            <b/>
            <sz val="8"/>
            <color rgb="FF000000"/>
            <rFont val="Tahoma"/>
            <family val="2"/>
          </rPr>
          <t>Other Annual Costs include average annual financing costs (debt and equity), land lease costs and tax payments.</t>
        </r>
      </text>
    </comment>
    <comment ref="AT16" authorId="0" shapeId="0" xr:uid="{3398E2A0-3F90-0645-BB9F-561FCFB36FE1}">
      <text>
        <r>
          <rPr>
            <b/>
            <sz val="8"/>
            <color rgb="FF000000"/>
            <rFont val="Tahoma"/>
            <family val="2"/>
          </rPr>
          <t xml:space="preserve">
</t>
        </r>
        <r>
          <rPr>
            <b/>
            <sz val="8"/>
            <color rgb="FF000000"/>
            <rFont val="Tahoma"/>
            <family val="2"/>
          </rPr>
          <t>Project Development and Onsite Labor Impacts refers to the changes that occur in the onsite construction industries and project development related industries to which the direct final demand (i.e., spending on construction labor and services) change is made .</t>
        </r>
      </text>
    </comment>
    <comment ref="AT17" authorId="0" shapeId="0" xr:uid="{4949F83C-E24B-E94B-BEA8-1983B8A138CE}">
      <text>
        <r>
          <rPr>
            <b/>
            <sz val="8"/>
            <color rgb="FF000000"/>
            <rFont val="Tahoma"/>
            <family val="2"/>
          </rPr>
          <t xml:space="preserve">
</t>
        </r>
        <r>
          <rPr>
            <b/>
            <sz val="8"/>
            <color rgb="FF000000"/>
            <rFont val="Tahoma"/>
            <family val="2"/>
          </rPr>
          <t>Turbine and Supply Chain Impacts refers to the changes in inter-industry purchases resulting from the direct final demand (i.e., construction and development spending on materials and wind farm equipment and other purchases of goods and offsite services) changes.</t>
        </r>
      </text>
    </comment>
    <comment ref="AT18" authorId="0" shapeId="0" xr:uid="{639C11FC-E326-5E4D-8EB6-EF63C3CE99B3}">
      <text>
        <r>
          <rPr>
            <sz val="8"/>
            <color rgb="FF000000"/>
            <rFont val="Tahoma"/>
            <family val="2"/>
          </rPr>
          <t xml:space="preserve">
</t>
        </r>
        <r>
          <rPr>
            <b/>
            <sz val="8"/>
            <color rgb="FF000000"/>
            <rFont val="Tahoma"/>
            <family val="2"/>
          </rPr>
          <t>Induced Impacts refers to the changes  that occur in household spending as household income increases or decreases as a result of the direct and indirect effects from final demand  (i.e., purchases of goods and services) changes.</t>
        </r>
        <r>
          <rPr>
            <sz val="8"/>
            <color rgb="FF000000"/>
            <rFont val="Tahoma"/>
            <family val="2"/>
          </rPr>
          <t xml:space="preserve">
</t>
        </r>
      </text>
    </comment>
    <comment ref="AT21" authorId="0" shapeId="0" xr:uid="{388D358C-CFDD-C948-9786-CAA38E20AE5A}">
      <text>
        <r>
          <rPr>
            <b/>
            <sz val="8"/>
            <color rgb="FF000000"/>
            <rFont val="Tahoma"/>
            <family val="2"/>
          </rPr>
          <t xml:space="preserve">
</t>
        </r>
        <r>
          <rPr>
            <b/>
            <sz val="8"/>
            <color rgb="FF000000"/>
            <rFont val="Tahoma"/>
            <family val="2"/>
          </rPr>
          <t>Project Development and Onsite Labor Impacts refers to the changes that occur in the onsite construction industries and project development related industries to which the direct final demand (i.e., spending on construction labor and services) change is made .</t>
        </r>
      </text>
    </comment>
    <comment ref="AT22" authorId="0" shapeId="0" xr:uid="{E8569C85-B799-CA4D-94A9-4FF1BCB862A3}">
      <text>
        <r>
          <rPr>
            <b/>
            <sz val="8"/>
            <color rgb="FF000000"/>
            <rFont val="Tahoma"/>
            <family val="2"/>
          </rPr>
          <t xml:space="preserve">
</t>
        </r>
        <r>
          <rPr>
            <b/>
            <sz val="8"/>
            <color rgb="FF000000"/>
            <rFont val="Tahoma"/>
            <family val="2"/>
          </rPr>
          <t>Turbine and Supply Chain Impacts refers to the changes in inter-industry purchases resulting from the direct final demand (i.e., construction and development spending on materials and wind farm equipment and other purchases of goods and offsite services) changes.</t>
        </r>
      </text>
    </comment>
    <comment ref="B23" authorId="0" shapeId="0" xr:uid="{00000000-0006-0000-0400-000006000000}">
      <text>
        <r>
          <rPr>
            <b/>
            <sz val="8"/>
            <color rgb="FF000000"/>
            <rFont val="Tahoma"/>
            <family val="2"/>
          </rPr>
          <t xml:space="preserve">
</t>
        </r>
        <r>
          <rPr>
            <b/>
            <sz val="8"/>
            <color rgb="FF000000"/>
            <rFont val="Tahoma"/>
            <family val="2"/>
          </rPr>
          <t>Jobs refers to full-time equivalent (FTE) employment for one year. (1 FTE = 2,080 hours)</t>
        </r>
      </text>
    </comment>
    <comment ref="C23" authorId="0" shapeId="0" xr:uid="{00000000-0006-0000-0400-000007000000}">
      <text>
        <r>
          <rPr>
            <b/>
            <sz val="8"/>
            <color rgb="FF000000"/>
            <rFont val="Tahoma"/>
            <family val="2"/>
          </rPr>
          <t xml:space="preserve">
</t>
        </r>
        <r>
          <rPr>
            <b/>
            <sz val="8"/>
            <color rgb="FF000000"/>
            <rFont val="Tahoma"/>
            <family val="2"/>
          </rPr>
          <t>Earnings refers to wage and salary compensation paid to workers.</t>
        </r>
      </text>
    </comment>
    <comment ref="D23" authorId="0" shapeId="0" xr:uid="{00000000-0006-0000-0400-000008000000}">
      <text>
        <r>
          <rPr>
            <b/>
            <sz val="8"/>
            <color rgb="FF000000"/>
            <rFont val="Tahoma"/>
            <family val="2"/>
          </rPr>
          <t xml:space="preserve">
</t>
        </r>
        <r>
          <rPr>
            <b/>
            <sz val="8"/>
            <color rgb="FF000000"/>
            <rFont val="Tahoma"/>
            <family val="2"/>
          </rPr>
          <t>Output refers to economic activity or the value of production in the state or local economy.</t>
        </r>
      </text>
    </comment>
    <comment ref="E23" authorId="0" shapeId="0" xr:uid="{00000000-0006-0000-0400-000009000000}">
      <text>
        <r>
          <rPr>
            <sz val="8"/>
            <color rgb="FF000000"/>
            <rFont val="Tahoma"/>
            <family val="2"/>
          </rPr>
          <t xml:space="preserve">
</t>
        </r>
        <r>
          <rPr>
            <b/>
            <sz val="8"/>
            <color rgb="FF000000"/>
            <rFont val="Tahoma"/>
            <family val="2"/>
          </rPr>
          <t xml:space="preserve">Value added is the difference between total gross output and the cost of intermediate inputs. It is comprised of payments made to workers (wages and salaries and benefits), proprietary income, other property type income (payments from interest, rents, royalties, dividends, and profits), indirect business taxes (excise and sales taxes paid by individuals to businesses, and taxes on production and imports less subsidies. </t>
        </r>
        <r>
          <rPr>
            <sz val="8"/>
            <color rgb="FF000000"/>
            <rFont val="Tahoma"/>
            <family val="2"/>
          </rPr>
          <t xml:space="preserve">
</t>
        </r>
      </text>
    </comment>
    <comment ref="AT23" authorId="0" shapeId="0" xr:uid="{7DCE0E17-E40B-5146-9B6E-3C1E1F71645E}">
      <text>
        <r>
          <rPr>
            <sz val="8"/>
            <color rgb="FF000000"/>
            <rFont val="Tahoma"/>
            <family val="2"/>
          </rPr>
          <t xml:space="preserve">
</t>
        </r>
        <r>
          <rPr>
            <b/>
            <sz val="8"/>
            <color rgb="FF000000"/>
            <rFont val="Tahoma"/>
            <family val="2"/>
          </rPr>
          <t>Induced Impacts refers to the changes  that occur in household spending as household income increases or decreases as a result of the direct and indirect effects from final demand  (i.e., purchases of goods and services) changes.</t>
        </r>
        <r>
          <rPr>
            <sz val="8"/>
            <color rgb="FF000000"/>
            <rFont val="Tahoma"/>
            <family val="2"/>
          </rPr>
          <t xml:space="preserve">
</t>
        </r>
      </text>
    </comment>
    <comment ref="A25" authorId="0" shapeId="0" xr:uid="{00000000-0006-0000-0400-00000A000000}">
      <text>
        <r>
          <rPr>
            <b/>
            <sz val="8"/>
            <color indexed="81"/>
            <rFont val="Tahoma"/>
            <family val="2"/>
          </rPr>
          <t xml:space="preserve">
Project Development and Onsite Labor Impacts refers to the changes that occur in the onsite construction industries and project development related industries to which the direct final demand (i.e., spending on construction labor and services) change is made .</t>
        </r>
      </text>
    </comment>
    <comment ref="AT25" authorId="1" shapeId="0" xr:uid="{D06777C4-6463-B24A-8989-EED030B3801F}">
      <text>
        <r>
          <rPr>
            <b/>
            <sz val="8"/>
            <color rgb="FF000000"/>
            <rFont val="Tahoma"/>
            <family val="2"/>
          </rPr>
          <t>Onsite Labor Impacts refers to the final demand changes that occur in the onsite spending for wind farm workers (i.e., spending on field technicians, administration and management) .</t>
        </r>
        <r>
          <rPr>
            <sz val="8"/>
            <color rgb="FF000000"/>
            <rFont val="Tahoma"/>
            <family val="2"/>
          </rPr>
          <t xml:space="preserve">
</t>
        </r>
      </text>
    </comment>
    <comment ref="AT26" authorId="1" shapeId="0" xr:uid="{1748C403-A562-7E49-95F1-571E0D631EE9}">
      <text>
        <r>
          <rPr>
            <b/>
            <sz val="8"/>
            <color rgb="FF000000"/>
            <rFont val="Tahoma"/>
            <family val="2"/>
          </rPr>
          <t xml:space="preserve">
</t>
        </r>
        <r>
          <rPr>
            <b/>
            <sz val="8"/>
            <color rgb="FF000000"/>
            <rFont val="Tahoma"/>
            <family val="2"/>
          </rPr>
          <t>Local Revenue includes property tax and landowner leases as well as any return on investment paid to local owners; Supply chain impacts include all components and off-site labor for the wind project</t>
        </r>
        <r>
          <rPr>
            <sz val="8"/>
            <color rgb="FF000000"/>
            <rFont val="Tahoma"/>
            <family val="2"/>
          </rPr>
          <t xml:space="preserve">
</t>
        </r>
      </text>
    </comment>
    <comment ref="A27" authorId="1" shapeId="0" xr:uid="{00000000-0006-0000-0400-00000B000000}">
      <text>
        <r>
          <rPr>
            <b/>
            <sz val="8"/>
            <color rgb="FF000000"/>
            <rFont val="Tahoma"/>
            <family val="2"/>
          </rPr>
          <t xml:space="preserve">
</t>
        </r>
        <r>
          <rPr>
            <b/>
            <sz val="8"/>
            <color rgb="FF000000"/>
            <rFont val="Tahoma"/>
            <family val="2"/>
          </rPr>
          <t>Construction Related Services includes engineering, design, and other professional services for project development.</t>
        </r>
        <r>
          <rPr>
            <sz val="8"/>
            <color rgb="FF000000"/>
            <rFont val="Tahoma"/>
            <family val="2"/>
          </rPr>
          <t xml:space="preserve">
</t>
        </r>
      </text>
    </comment>
    <comment ref="AT27" authorId="1" shapeId="0" xr:uid="{2416C0BC-8F3C-5045-A5EF-970A959F22B9}">
      <text>
        <r>
          <rPr>
            <b/>
            <sz val="8"/>
            <color rgb="FF000000"/>
            <rFont val="Tahoma"/>
            <family val="2"/>
          </rPr>
          <t>Induced Impacts refers to the changes  that occur in household spending as household income increases or decreases as a result of the direct and indirect effects from final demand  (i.e., purchases of goods and services) changes.</t>
        </r>
        <r>
          <rPr>
            <sz val="8"/>
            <color rgb="FF000000"/>
            <rFont val="Tahoma"/>
            <family val="2"/>
          </rPr>
          <t xml:space="preserve">
</t>
        </r>
      </text>
    </comment>
    <comment ref="A29" authorId="0" shapeId="0" xr:uid="{00000000-0006-0000-0400-00000C000000}">
      <text>
        <r>
          <rPr>
            <b/>
            <sz val="8"/>
            <color rgb="FF000000"/>
            <rFont val="Tahoma"/>
            <family val="2"/>
          </rPr>
          <t xml:space="preserve">
</t>
        </r>
        <r>
          <rPr>
            <b/>
            <sz val="8"/>
            <color rgb="FF000000"/>
            <rFont val="Tahoma"/>
            <family val="2"/>
          </rPr>
          <t>Turbine and Supply Chain Impacts refers to the changes in inter-industry purchases resulting from the direct final demand (i.e., construction and development spending on materials and wind farm equipment and other purchases of goods and offsite services) changes.</t>
        </r>
      </text>
    </comment>
    <comment ref="A30" authorId="0" shapeId="0" xr:uid="{00000000-0006-0000-0400-00000D000000}">
      <text>
        <r>
          <rPr>
            <sz val="8"/>
            <color rgb="FF000000"/>
            <rFont val="Tahoma"/>
            <family val="2"/>
          </rPr>
          <t xml:space="preserve">
</t>
        </r>
        <r>
          <rPr>
            <b/>
            <sz val="8"/>
            <color rgb="FF000000"/>
            <rFont val="Tahoma"/>
            <family val="2"/>
          </rPr>
          <t>Induced Impacts refers to the changes  that occur in household spending as household income increases or decreases as a result of the direct and indirect effects from final demand  (i.e., purchases of goods and services) changes.</t>
        </r>
        <r>
          <rPr>
            <sz val="8"/>
            <color rgb="FF000000"/>
            <rFont val="Tahoma"/>
            <family val="2"/>
          </rPr>
          <t xml:space="preserve">
</t>
        </r>
      </text>
    </comment>
    <comment ref="A34" authorId="1" shapeId="0" xr:uid="{00000000-0006-0000-0400-00000E000000}">
      <text>
        <r>
          <rPr>
            <b/>
            <sz val="8"/>
            <color rgb="FF000000"/>
            <rFont val="Tahoma"/>
            <family val="2"/>
          </rPr>
          <t>Onsite Labor Impacts refers to the final demand changes that occur in the onsite spending for wind farm workers (i.e., spending on field technicians, administration and management) .</t>
        </r>
        <r>
          <rPr>
            <sz val="8"/>
            <color rgb="FF000000"/>
            <rFont val="Tahoma"/>
            <family val="2"/>
          </rPr>
          <t xml:space="preserve">
</t>
        </r>
      </text>
    </comment>
    <comment ref="A35" authorId="1" shapeId="0" xr:uid="{00000000-0006-0000-0400-00000F000000}">
      <text>
        <r>
          <rPr>
            <b/>
            <sz val="8"/>
            <color rgb="FF000000"/>
            <rFont val="Tahoma"/>
            <family val="2"/>
          </rPr>
          <t xml:space="preserve">
</t>
        </r>
        <r>
          <rPr>
            <b/>
            <sz val="8"/>
            <color rgb="FF000000"/>
            <rFont val="Tahoma"/>
            <family val="2"/>
          </rPr>
          <t>Local Revenue includes property tax and landowner leases as well as any return on investment paid to local owners; Supply chain impacts include all components and off-site labor for the wind project</t>
        </r>
        <r>
          <rPr>
            <sz val="8"/>
            <color rgb="FF000000"/>
            <rFont val="Tahoma"/>
            <family val="2"/>
          </rPr>
          <t xml:space="preserve">
</t>
        </r>
      </text>
    </comment>
    <comment ref="A36" authorId="1" shapeId="0" xr:uid="{00000000-0006-0000-0400-000010000000}">
      <text>
        <r>
          <rPr>
            <b/>
            <sz val="8"/>
            <color indexed="81"/>
            <rFont val="Tahoma"/>
            <family val="2"/>
          </rPr>
          <t>Induced Impacts refers to the changes  that occur in household spending as household income increases or decreases as a result of the direct and indirect effects from final demand  (i.e., purchases of goods and services) changes.</t>
        </r>
        <r>
          <rPr>
            <sz val="8"/>
            <color indexed="81"/>
            <rFont val="Tahoma"/>
            <family val="2"/>
          </rPr>
          <t xml:space="preserve">
</t>
        </r>
      </text>
    </comment>
    <comment ref="A123" authorId="0" shapeId="0" xr:uid="{00000000-0006-0000-0400-000011000000}">
      <text>
        <r>
          <rPr>
            <sz val="9"/>
            <color indexed="81"/>
            <rFont val="Tahoma"/>
            <family val="2"/>
          </rPr>
          <t xml:space="preserve">
</t>
        </r>
        <r>
          <rPr>
            <b/>
            <sz val="9"/>
            <color indexed="81"/>
            <rFont val="Tahoma"/>
            <family val="2"/>
          </rPr>
          <t>Local Property Tax Rate refers to the average millage rate ($/$1000 of assessed value).</t>
        </r>
      </text>
    </comment>
    <comment ref="BB123" authorId="0" shapeId="0" xr:uid="{00000000-0006-0000-0400-000012000000}">
      <text>
        <r>
          <rPr>
            <sz val="9"/>
            <color indexed="81"/>
            <rFont val="Tahoma"/>
            <family val="2"/>
          </rPr>
          <t xml:space="preserve">
</t>
        </r>
        <r>
          <rPr>
            <b/>
            <sz val="9"/>
            <color indexed="81"/>
            <rFont val="Tahoma"/>
            <family val="2"/>
          </rPr>
          <t>Local Property Tax Rate refers to the average millage rate ($/$1000 of assessed value).</t>
        </r>
      </text>
    </comment>
    <comment ref="C135" authorId="0" shapeId="0" xr:uid="{00000000-0006-0000-0400-000013000000}">
      <text>
        <r>
          <rPr>
            <sz val="8"/>
            <color rgb="FF000000"/>
            <rFont val="Tahoma"/>
            <family val="2"/>
          </rPr>
          <t xml:space="preserve">
</t>
        </r>
        <r>
          <rPr>
            <b/>
            <sz val="8"/>
            <color rgb="FF000000"/>
            <rFont val="Tahoma"/>
            <family val="2"/>
          </rPr>
          <t>Average wage per hour is base wage only; does not include employer costs, benefits, etc.</t>
        </r>
        <r>
          <rPr>
            <sz val="8"/>
            <color rgb="FF000000"/>
            <rFont val="Tahoma"/>
            <family val="2"/>
          </rPr>
          <t xml:space="preserve">
</t>
        </r>
      </text>
    </comment>
    <comment ref="BD135" authorId="0" shapeId="0" xr:uid="{00000000-0006-0000-0400-000014000000}">
      <text>
        <r>
          <rPr>
            <sz val="8"/>
            <color indexed="81"/>
            <rFont val="Tahoma"/>
            <family val="2"/>
          </rPr>
          <t xml:space="preserve">
</t>
        </r>
        <r>
          <rPr>
            <b/>
            <sz val="8"/>
            <color indexed="81"/>
            <rFont val="Tahoma"/>
            <family val="2"/>
          </rPr>
          <t>Average wage per hour is base wage only; does not include employer costs, benefits, etc.</t>
        </r>
        <r>
          <rPr>
            <sz val="8"/>
            <color indexed="81"/>
            <rFont val="Tahoma"/>
            <family val="2"/>
          </rPr>
          <t xml:space="preserve">
</t>
        </r>
      </text>
    </comment>
    <comment ref="C140" authorId="0" shapeId="0" xr:uid="{00000000-0006-0000-0400-000015000000}">
      <text>
        <r>
          <rPr>
            <sz val="8"/>
            <color indexed="81"/>
            <rFont val="Tahoma"/>
            <family val="2"/>
          </rPr>
          <t xml:space="preserve">
</t>
        </r>
        <r>
          <rPr>
            <b/>
            <sz val="8"/>
            <color indexed="81"/>
            <rFont val="Tahoma"/>
            <family val="2"/>
          </rPr>
          <t>Average wage per hour is base wage only; does not include employer costs, benefits, etc.</t>
        </r>
        <r>
          <rPr>
            <sz val="8"/>
            <color indexed="81"/>
            <rFont val="Tahoma"/>
            <family val="2"/>
          </rPr>
          <t xml:space="preserve">
</t>
        </r>
      </text>
    </comment>
    <comment ref="BD140" authorId="0" shapeId="0" xr:uid="{00000000-0006-0000-0400-000016000000}">
      <text>
        <r>
          <rPr>
            <sz val="8"/>
            <color indexed="81"/>
            <rFont val="Tahoma"/>
            <family val="2"/>
          </rPr>
          <t xml:space="preserve">
</t>
        </r>
        <r>
          <rPr>
            <b/>
            <sz val="8"/>
            <color indexed="81"/>
            <rFont val="Tahoma"/>
            <family val="2"/>
          </rPr>
          <t>Average wage per hour is base wage only; does not include employer costs, benefits, etc.</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xml:space="preserve"> Marshall</author>
    <author>Marshall Goldberg</author>
  </authors>
  <commentList>
    <comment ref="B3" authorId="0" shapeId="0" xr:uid="{00000000-0006-0000-0500-000001000000}">
      <text>
        <r>
          <rPr>
            <b/>
            <sz val="10"/>
            <color rgb="FF000000"/>
            <rFont val="Tahoma"/>
            <family val="2"/>
          </rPr>
          <t xml:space="preserve">
</t>
        </r>
        <r>
          <rPr>
            <b/>
            <sz val="8"/>
            <color rgb="FF000000"/>
            <rFont val="Tahoma"/>
            <family val="2"/>
          </rPr>
          <t>To use MyCounty multipliers and PCE (once they are imported) name of county and year of data (cell to the right) must be entered.</t>
        </r>
      </text>
    </comment>
    <comment ref="B4" authorId="0" shapeId="0" xr:uid="{00000000-0006-0000-0500-000002000000}">
      <text>
        <r>
          <rPr>
            <b/>
            <sz val="10"/>
            <color rgb="FF000000"/>
            <rFont val="Tahoma"/>
            <family val="2"/>
          </rPr>
          <t xml:space="preserve">
</t>
        </r>
        <r>
          <rPr>
            <b/>
            <sz val="8"/>
            <color rgb="FF000000"/>
            <rFont val="Tahoma"/>
            <family val="2"/>
          </rPr>
          <t>To use MyRegion multipliers and PCE (once they are imported) name of region and year of data (cell to the right) must be entered.</t>
        </r>
      </text>
    </comment>
    <comment ref="A5" authorId="1" shapeId="0" xr:uid="{00000000-0006-0000-0500-000003000000}">
      <text>
        <r>
          <rPr>
            <sz val="8"/>
            <color indexed="81"/>
            <rFont val="Tahoma"/>
            <family val="2"/>
          </rPr>
          <t xml:space="preserve">
</t>
        </r>
        <r>
          <rPr>
            <b/>
            <sz val="8"/>
            <color indexed="81"/>
            <rFont val="Tahoma"/>
            <family val="2"/>
          </rPr>
          <t>The state name (inserted in this cell) is used to develop default wage data and the sales tax rate.  If region, insert state with similar wage levels and review sales tax rate in ProjectData worksheet if applicable.</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tc={4A668CD2-75A3-4F18-8B86-4CC7EF9E6E72}</author>
    <author>tc={60168859-1143-2A4D-8089-28C7AA743208}</author>
    <author>tc={45D433B4-8ADC-42F8-A9D1-ADFACB75D7CB}</author>
    <author>Marshall Goldberg</author>
  </authors>
  <commentList>
    <comment ref="G9" authorId="0" shapeId="0" xr:uid="{4A668CD2-75A3-4F18-8B86-4CC7EF9E6E72}">
      <text>
        <t>[Threaded comment]
Your version of Excel allows you to read this threaded comment; however, any edits to it will get removed if the file is opened in a newer version of Excel. Learn more: https://go.microsoft.com/fwlink/?linkid=870924
Comment:
    This is from the cost of energy review from https://www.nrel.gov/docs/fy20osti/74598.pdf</t>
      </text>
    </comment>
    <comment ref="C18" authorId="1" shapeId="0" xr:uid="{60168859-1143-2A4D-8089-28C7AA743208}">
      <text>
        <t>[Threaded comment]
Your version of Excel allows you to read this threaded comment; however, any edits to it will get removed if the file is opened in a newer version of Excel. Learn more: https://go.microsoft.com/fwlink/?linkid=870924
Comment:
    Only accounting for 61% of site facility, other 39% is labor misc.</t>
      </text>
    </comment>
    <comment ref="D32" authorId="2" shapeId="0" xr:uid="{45D433B4-8ADC-42F8-A9D1-ADFACB75D7CB}">
      <text>
        <t>[Threaded comment]
Your version of Excel allows you to read this threaded comment; however, any edits to it will get removed if the file is opened in a newer version of Excel. Learn more: https://go.microsoft.com/fwlink/?linkid=870924
Comment:
    These are calculated differently - follow the links to see more information</t>
      </text>
    </comment>
    <comment ref="C43" authorId="3" shapeId="0" xr:uid="{00000000-0006-0000-0600-000001000000}">
      <text>
        <r>
          <rPr>
            <b/>
            <sz val="8"/>
            <color rgb="FF000000"/>
            <rFont val="Tahoma"/>
            <family val="2"/>
          </rPr>
          <t xml:space="preserve">
</t>
        </r>
        <r>
          <rPr>
            <b/>
            <sz val="8"/>
            <color rgb="FF000000"/>
            <rFont val="Tahoma"/>
            <family val="2"/>
          </rPr>
          <t>Land easement refers to payments made to land owner to secure the site and during the construction period - prior to start-up of operations.</t>
        </r>
      </text>
    </comment>
    <comment ref="C84" authorId="3" shapeId="0" xr:uid="{00000000-0006-0000-0600-000002000000}">
      <text>
        <r>
          <rPr>
            <b/>
            <sz val="8"/>
            <color rgb="FF000000"/>
            <rFont val="Tahoma"/>
            <family val="2"/>
          </rPr>
          <t xml:space="preserve">
</t>
        </r>
        <r>
          <rPr>
            <b/>
            <sz val="8"/>
            <color rgb="FF000000"/>
            <rFont val="Tahoma"/>
            <family val="2"/>
          </rPr>
          <t xml:space="preserve">Percentage financed is the share of project construction cost financed through a loan.
</t>
        </r>
      </text>
    </comment>
    <comment ref="C85" authorId="3" shapeId="0" xr:uid="{00000000-0006-0000-0600-000003000000}">
      <text>
        <r>
          <rPr>
            <b/>
            <sz val="8"/>
            <color indexed="81"/>
            <rFont val="Tahoma"/>
            <family val="2"/>
          </rPr>
          <t xml:space="preserve">
Years financed is the number of years required to payback the financing (loan).</t>
        </r>
      </text>
    </comment>
    <comment ref="C86" authorId="3" shapeId="0" xr:uid="{00000000-0006-0000-0600-000004000000}">
      <text>
        <r>
          <rPr>
            <b/>
            <sz val="8"/>
            <color indexed="81"/>
            <rFont val="Tahoma"/>
            <family val="2"/>
          </rPr>
          <t xml:space="preserve">
Interest rate refers to the annual rate charged by the lender. (Example: 10 = 10%)</t>
        </r>
      </text>
    </comment>
    <comment ref="C89" authorId="3" shapeId="0" xr:uid="{00000000-0006-0000-0600-000005000000}">
      <text>
        <r>
          <rPr>
            <b/>
            <sz val="8"/>
            <color indexed="81"/>
            <rFont val="Tahoma"/>
            <family val="2"/>
          </rPr>
          <t xml:space="preserve">
This percentage is the share of project construction cost (after accounting for the share from debt financing) secured through investment by individuals and/or corporate investors.
</t>
        </r>
      </text>
    </comment>
    <comment ref="L105" authorId="3" shapeId="0" xr:uid="{00000000-0006-0000-0600-000006000000}">
      <text>
        <r>
          <rPr>
            <sz val="8"/>
            <color indexed="81"/>
            <rFont val="Tahoma"/>
            <family val="2"/>
          </rPr>
          <t xml:space="preserve">Payroll expense refers to other employee related costs such as the cost of health benefits, disability insurance, workers compensation, social security and other similar costs incurred by the employer.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Marshall Goldberg</author>
  </authors>
  <commentList>
    <comment ref="F63" authorId="0" shapeId="0" xr:uid="{00000000-0006-0000-0900-000001000000}">
      <text>
        <r>
          <rPr>
            <b/>
            <sz val="8"/>
            <color indexed="81"/>
            <rFont val="Tahoma"/>
            <family val="2"/>
          </rPr>
          <t>Refers to total personnel cost minus employer costs (ssi, health benefits, retirement, etc.)</t>
        </r>
      </text>
    </comment>
    <comment ref="H63" authorId="0" shapeId="0" xr:uid="{00000000-0006-0000-0900-000002000000}">
      <text>
        <r>
          <rPr>
            <b/>
            <sz val="8"/>
            <color indexed="81"/>
            <rFont val="Tahoma"/>
            <family val="2"/>
          </rPr>
          <t xml:space="preserve">Refers to personnel cost minus employer govt costs 
</t>
        </r>
      </text>
    </comment>
  </commentList>
</comments>
</file>

<file path=xl/sharedStrings.xml><?xml version="1.0" encoding="utf-8"?>
<sst xmlns="http://schemas.openxmlformats.org/spreadsheetml/2006/main" count="3488" uniqueCount="892">
  <si>
    <t>change.  Why don't all the project costs change?</t>
  </si>
  <si>
    <t>Project Data</t>
  </si>
  <si>
    <t xml:space="preserve">  Materials</t>
  </si>
  <si>
    <t xml:space="preserve">    Construction (concrete rebar, equip, roads and site prep)</t>
  </si>
  <si>
    <t xml:space="preserve">    Transformer</t>
  </si>
  <si>
    <t xml:space="preserve">    Electrical (drop cable, wire, )</t>
  </si>
  <si>
    <t xml:space="preserve">    HV line extension</t>
  </si>
  <si>
    <t xml:space="preserve">    Subtotal</t>
  </si>
  <si>
    <t xml:space="preserve">  Labor</t>
  </si>
  <si>
    <t xml:space="preserve">    Foundation</t>
  </si>
  <si>
    <t xml:space="preserve">    Erection</t>
  </si>
  <si>
    <t xml:space="preserve">    Electrical</t>
  </si>
  <si>
    <t xml:space="preserve">    Management/supervision</t>
  </si>
  <si>
    <t xml:space="preserve">  Subtotal</t>
  </si>
  <si>
    <t xml:space="preserve">  Turbines</t>
  </si>
  <si>
    <t xml:space="preserve">  Towers</t>
  </si>
  <si>
    <t>Total</t>
  </si>
  <si>
    <t>Construction Costs</t>
  </si>
  <si>
    <t>Local Share</t>
  </si>
  <si>
    <t>Equipment Costs</t>
  </si>
  <si>
    <t>Other Costs</t>
  </si>
  <si>
    <t xml:space="preserve">  HV Sub/Interconnection</t>
  </si>
  <si>
    <t xml:space="preserve">  Land Easements</t>
  </si>
  <si>
    <t xml:space="preserve">  Site Certificate</t>
  </si>
  <si>
    <t>ALABAMA</t>
  </si>
  <si>
    <t>ALASKA</t>
  </si>
  <si>
    <t xml:space="preserve">ARIZONA </t>
  </si>
  <si>
    <t>ARKANSAS</t>
  </si>
  <si>
    <t xml:space="preserve">CALIFORNIA </t>
  </si>
  <si>
    <t xml:space="preserve">COLORADO </t>
  </si>
  <si>
    <t>CONNECTICUT</t>
  </si>
  <si>
    <t>DELAWARE</t>
  </si>
  <si>
    <t>DISTRICT OF COLUMBIA</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</si>
  <si>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</si>
  <si>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</si>
  <si>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</si>
  <si>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</si>
  <si>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</si>
  <si>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</si>
  <si>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</si>
  <si>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</si>
  <si>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</si>
  <si>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</si>
  <si>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</si>
  <si>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</si>
  <si>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</si>
  <si>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</si>
  <si>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</si>
  <si>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</si>
  <si>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</si>
  <si>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</si>
  <si>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</si>
  <si>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</si>
  <si>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</si>
  <si>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</si>
  <si>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</si>
  <si>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</si>
  <si>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</si>
  <si>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</si>
  <si>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</si>
  <si>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</si>
  <si>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</si>
  <si>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</si>
  <si>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</si>
  <si>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</si>
  <si>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</si>
  <si>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</si>
  <si>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</si>
  <si>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</si>
  <si>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</si>
  <si>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 xml:space="preserve">VIRGINIA </t>
  </si>
  <si>
    <t>WASHINGTON</t>
  </si>
  <si>
    <t>WEST VIRGINIA</t>
  </si>
  <si>
    <t>WISCONSIN</t>
  </si>
  <si>
    <t>WYOMING</t>
  </si>
  <si>
    <t>Jobs</t>
  </si>
  <si>
    <t>Agriculture</t>
  </si>
  <si>
    <t>Construction</t>
  </si>
  <si>
    <t>Wholesale Trade</t>
  </si>
  <si>
    <t>Retail Trade</t>
  </si>
  <si>
    <t>Government</t>
  </si>
  <si>
    <t>Wyoming</t>
  </si>
  <si>
    <t>Alabama</t>
  </si>
  <si>
    <t>Alaska</t>
  </si>
  <si>
    <t>Arizona</t>
  </si>
  <si>
    <t>Arkansas</t>
  </si>
  <si>
    <t>California</t>
  </si>
  <si>
    <t>Colorado</t>
  </si>
  <si>
    <t>Connecticut</t>
  </si>
  <si>
    <t>Delaware</t>
  </si>
  <si>
    <t>District of Columbia</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</si>
  <si>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</si>
  <si>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</si>
  <si>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</si>
  <si>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</si>
  <si>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</si>
  <si>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</si>
  <si>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</si>
  <si>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</si>
  <si>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</si>
  <si>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</si>
  <si>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</si>
  <si>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</si>
  <si>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</si>
  <si>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</si>
  <si>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</si>
  <si>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</si>
  <si>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</si>
  <si>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</si>
  <si>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</si>
  <si>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</si>
  <si>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</si>
  <si>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</si>
  <si>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</si>
  <si>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</si>
  <si>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</si>
  <si>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</si>
  <si>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</si>
  <si>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</si>
  <si>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</si>
  <si>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</si>
  <si>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</si>
  <si>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</si>
  <si>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</si>
  <si>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</si>
  <si>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</si>
  <si>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</si>
  <si>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</si>
  <si>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</si>
  <si>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</si>
  <si>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</si>
  <si>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</si>
  <si>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State Specific Multipliers</t>
  </si>
  <si>
    <t>Cost</t>
  </si>
  <si>
    <t>Financial Parameters</t>
  </si>
  <si>
    <t xml:space="preserve">  Percentage financed</t>
  </si>
  <si>
    <t xml:space="preserve">  Years financed (term)</t>
  </si>
  <si>
    <t xml:space="preserve">  Interest rate</t>
  </si>
  <si>
    <t>Demand</t>
  </si>
  <si>
    <t>Adj Demand</t>
  </si>
  <si>
    <t>Year</t>
  </si>
  <si>
    <t xml:space="preserve">Year of Construction </t>
  </si>
  <si>
    <t>Deflator</t>
  </si>
  <si>
    <t xml:space="preserve">  Site Certificate/Permitting</t>
  </si>
  <si>
    <t xml:space="preserve">Economic Impact Analysis for </t>
  </si>
  <si>
    <t>Direct</t>
  </si>
  <si>
    <t>Indirect</t>
  </si>
  <si>
    <t>Induced</t>
  </si>
  <si>
    <t>Mining</t>
  </si>
  <si>
    <t>Manufacturing</t>
  </si>
  <si>
    <t>Fabricated Metals</t>
  </si>
  <si>
    <t>Machinery</t>
  </si>
  <si>
    <t>Electrical Equipment</t>
  </si>
  <si>
    <t>TCPU</t>
  </si>
  <si>
    <t>FIRE</t>
  </si>
  <si>
    <t>Misc. Services</t>
  </si>
  <si>
    <t>Professional Services</t>
  </si>
  <si>
    <t>PCE</t>
  </si>
  <si>
    <t xml:space="preserve">Project Construction Costs </t>
  </si>
  <si>
    <t>Local $ Spending</t>
  </si>
  <si>
    <t>Purchased Local</t>
  </si>
  <si>
    <t>Other Parameters</t>
  </si>
  <si>
    <t>Number of Turbines</t>
  </si>
  <si>
    <t xml:space="preserve">     Direct Impacts</t>
  </si>
  <si>
    <t xml:space="preserve">     Total Impacts (Direct, Indirect, Induced)</t>
  </si>
  <si>
    <t xml:space="preserve">  During construction period</t>
  </si>
  <si>
    <t>Wind Plant Annual Operating and Maintenance Costs</t>
  </si>
  <si>
    <t>Personnel</t>
  </si>
  <si>
    <t xml:space="preserve">  Field Salaries</t>
  </si>
  <si>
    <t xml:space="preserve">  Adminstrative</t>
  </si>
  <si>
    <t xml:space="preserve">  Manangement</t>
  </si>
  <si>
    <t>Materials and Services</t>
  </si>
  <si>
    <t xml:space="preserve">  Insurance</t>
  </si>
  <si>
    <t xml:space="preserve">  Misc. Services</t>
  </si>
  <si>
    <t xml:space="preserve">  Fees, Permits, Licenses</t>
  </si>
  <si>
    <t xml:space="preserve">  Misc. Materials</t>
  </si>
  <si>
    <t>Land Lease</t>
  </si>
  <si>
    <t>Financing (debt payment)</t>
  </si>
  <si>
    <t>wage/hour</t>
  </si>
  <si>
    <t xml:space="preserve">  Fuel (gals)</t>
  </si>
  <si>
    <t xml:space="preserve">  Tools and Misc. Supplies</t>
  </si>
  <si>
    <t xml:space="preserve">  Spare Parts Inventory</t>
  </si>
  <si>
    <t xml:space="preserve">  Vehicles</t>
  </si>
  <si>
    <t>Plant Employees</t>
  </si>
  <si>
    <t>Default</t>
  </si>
  <si>
    <t xml:space="preserve">  Field Salaries/Technicians</t>
  </si>
  <si>
    <t xml:space="preserve">  Total</t>
  </si>
  <si>
    <t>User Revised</t>
  </si>
  <si>
    <t>Direct Plant Employees</t>
  </si>
  <si>
    <t xml:space="preserve">  Local Spending</t>
  </si>
  <si>
    <t>Dollars</t>
  </si>
  <si>
    <t>Inflator to</t>
  </si>
  <si>
    <t>1999$</t>
  </si>
  <si>
    <t>Property Taxes</t>
  </si>
  <si>
    <t xml:space="preserve">Inflate to </t>
  </si>
  <si>
    <t>Cost Per KW</t>
  </si>
  <si>
    <t>Project Cost</t>
  </si>
  <si>
    <t>Earnings Direct Multipliers</t>
  </si>
  <si>
    <t>Earnings</t>
  </si>
  <si>
    <t>Output</t>
  </si>
  <si>
    <t>Local Economic Impacts - Summary Results</t>
  </si>
  <si>
    <t xml:space="preserve">  Field Salaries (technicians, other)</t>
  </si>
  <si>
    <t xml:space="preserve"> Payroll Cost</t>
  </si>
  <si>
    <t>Tax Parameters</t>
  </si>
  <si>
    <t>Land Lease Parameters</t>
  </si>
  <si>
    <t xml:space="preserve">  Land Lease (total cost)</t>
  </si>
  <si>
    <t>With Plant Employees</t>
  </si>
  <si>
    <t xml:space="preserve">  Fuel (motor vehicle gasoline)</t>
  </si>
  <si>
    <t xml:space="preserve">  Assessed value  (percent of construction cost)</t>
  </si>
  <si>
    <t xml:space="preserve">  Local Taxes</t>
  </si>
  <si>
    <t xml:space="preserve">     Indirect Impacts</t>
  </si>
  <si>
    <t xml:space="preserve">     Induced Impacts</t>
  </si>
  <si>
    <t xml:space="preserve">PCE </t>
  </si>
  <si>
    <t>Plant Emp</t>
  </si>
  <si>
    <t>Plant Employee Spending</t>
  </si>
  <si>
    <t>MW</t>
  </si>
  <si>
    <t>Without Plant Employees</t>
  </si>
  <si>
    <t>Plant Employees Only</t>
  </si>
  <si>
    <t xml:space="preserve"> Multipliers For Economic Input-Output Analysis</t>
  </si>
  <si>
    <t>Interest Pmt</t>
  </si>
  <si>
    <t>Principal Pmt</t>
  </si>
  <si>
    <t>Total Pmt</t>
  </si>
  <si>
    <t>Loan Repayment Schedule</t>
  </si>
  <si>
    <t>Percent</t>
  </si>
  <si>
    <t>of Cost</t>
  </si>
  <si>
    <t>Default Values - Based on Cost Per KW from Project Data sheet</t>
  </si>
  <si>
    <t>Debt - Loan Repayment Schedule</t>
  </si>
  <si>
    <t>Debt Financing</t>
  </si>
  <si>
    <t xml:space="preserve">  Percentage equity</t>
  </si>
  <si>
    <t xml:space="preserve">  Return on equity</t>
  </si>
  <si>
    <t xml:space="preserve">  Debt Financing</t>
  </si>
  <si>
    <t xml:space="preserve">  Equity Financing</t>
  </si>
  <si>
    <t xml:space="preserve">  Utilities</t>
  </si>
  <si>
    <t xml:space="preserve">  Individual Investors (percent of equity)</t>
  </si>
  <si>
    <t xml:space="preserve">  Corporate Investors (percent of equity)</t>
  </si>
  <si>
    <t xml:space="preserve">  Repayment term (years)</t>
  </si>
  <si>
    <t xml:space="preserve">  Average Annual Payment (Interest and Principal)</t>
  </si>
  <si>
    <t xml:space="preserve">  Blades</t>
  </si>
  <si>
    <t xml:space="preserve">  Turbines (excluding blades and towers)</t>
  </si>
  <si>
    <t>Percent of</t>
  </si>
  <si>
    <t>Total Cost</t>
  </si>
  <si>
    <t xml:space="preserve">    Materials Subtotal</t>
  </si>
  <si>
    <t xml:space="preserve">    Labor Subtotal</t>
  </si>
  <si>
    <t xml:space="preserve">  Equipment Subtotal</t>
  </si>
  <si>
    <t xml:space="preserve">  Other Subtotal</t>
  </si>
  <si>
    <t xml:space="preserve">  Personnel Subtotal</t>
  </si>
  <si>
    <t xml:space="preserve">  Materials and Services Subtotal</t>
  </si>
  <si>
    <t xml:space="preserve">  Individual Investors (percent of total equity)</t>
  </si>
  <si>
    <t xml:space="preserve">  Corporate Investors (percent of total equity)</t>
  </si>
  <si>
    <t xml:space="preserve">  Number of Turbines</t>
  </si>
  <si>
    <t>AvgAnn</t>
  </si>
  <si>
    <t>F</t>
  </si>
  <si>
    <t xml:space="preserve">  Land Lease Cost (per turbine)</t>
  </si>
  <si>
    <t>Debt Pmt - Local share Avg Ann Interest</t>
  </si>
  <si>
    <t>To FIRE</t>
  </si>
  <si>
    <t>To House</t>
  </si>
  <si>
    <t>Financing (avg ann debt payment)</t>
  </si>
  <si>
    <t>From DefaultData</t>
  </si>
  <si>
    <t>User Modified (from Project Data worksheet - based on loan parameters)</t>
  </si>
  <si>
    <t>w/o Plant Empl</t>
  </si>
  <si>
    <t>PCE-Land Lease</t>
  </si>
  <si>
    <t>PCE -Equity</t>
  </si>
  <si>
    <t>To Individuals</t>
  </si>
  <si>
    <t>To Farm/House</t>
  </si>
  <si>
    <t>Equity Payment - Individuals (avg ann payment)</t>
  </si>
  <si>
    <t>Equity Payment - Corporations (avg ann payment)</t>
  </si>
  <si>
    <t>Equity Payment - Individuals</t>
  </si>
  <si>
    <t>Equity Payment - Corporate</t>
  </si>
  <si>
    <t>Equity Pmt - Individual Share Avg Ann Interest</t>
  </si>
  <si>
    <t>Equity Pmt - Corporate Share Avg Ann Interest</t>
  </si>
  <si>
    <t>User Modified (from Project Data worksheet - based on equity investment parameters)</t>
  </si>
  <si>
    <t>Equity - Individual Investment Repayment Schedule</t>
  </si>
  <si>
    <t>Equity - Corporate Investment Repayment Schedule</t>
  </si>
  <si>
    <t xml:space="preserve">  Lease Payment recipient (F = farmer/household, O = Other)</t>
  </si>
  <si>
    <t xml:space="preserve">    Construction (concrete, rebar, equip, roads and site prep)</t>
  </si>
  <si>
    <t xml:space="preserve">Construction Costs </t>
  </si>
  <si>
    <t>Total Project Costs</t>
  </si>
  <si>
    <t>Total Annual Operating and Maintenance Costs</t>
  </si>
  <si>
    <t>Debt Payment (average annual)</t>
  </si>
  <si>
    <t>Total cost per KW</t>
  </si>
  <si>
    <t xml:space="preserve">  Return on equity (annual interest rate)</t>
  </si>
  <si>
    <t>Jobs Per Million Dollars Change in Final Demand</t>
  </si>
  <si>
    <t>Earnings Per Million Dollars Change in Final Demand</t>
  </si>
  <si>
    <t>Output Per Million Dollars Change in Final Demand</t>
  </si>
  <si>
    <t xml:space="preserve">Personal Consumption Expenditures </t>
  </si>
  <si>
    <t xml:space="preserve">  Jobs Indirect Multipliers</t>
  </si>
  <si>
    <t xml:space="preserve">  Jobs Direct Multipliers</t>
  </si>
  <si>
    <t xml:space="preserve">  Jobs Induced Multipliers</t>
  </si>
  <si>
    <t xml:space="preserve">  Earnings Indirect Multipliers</t>
  </si>
  <si>
    <t xml:space="preserve">  Earnings Induced Multipliers</t>
  </si>
  <si>
    <t xml:space="preserve">  Output Direct Multipliers</t>
  </si>
  <si>
    <t xml:space="preserve">  Output Indirect Multipliers</t>
  </si>
  <si>
    <t xml:space="preserve">  Output Induced Multipliers</t>
  </si>
  <si>
    <t xml:space="preserve">  Lease Payment Recipient (F = farmer/household, O = Other)</t>
  </si>
  <si>
    <t xml:space="preserve">    Local Spending</t>
  </si>
  <si>
    <t xml:space="preserve">  Other Annual Costs</t>
  </si>
  <si>
    <t xml:space="preserve">      Property Taxes</t>
  </si>
  <si>
    <t xml:space="preserve">      Land Lease</t>
  </si>
  <si>
    <t xml:space="preserve">  Taxable Value</t>
  </si>
  <si>
    <t xml:space="preserve">  Local Property/Other Tax Rate (percent of taxable value)</t>
  </si>
  <si>
    <t xml:space="preserve">  Taxable Value (percent of assessed value)</t>
  </si>
  <si>
    <t xml:space="preserve">  Assessed Value (percent of construction cost)</t>
  </si>
  <si>
    <t xml:space="preserve">  Equity Financing/Repayment</t>
  </si>
  <si>
    <t>Equity Financing/Repayment</t>
  </si>
  <si>
    <t xml:space="preserve">      Debt and Equity Payments </t>
  </si>
  <si>
    <t xml:space="preserve">  Direct Operating and Maintenance Costs</t>
  </si>
  <si>
    <t>Total Annual Operational Expenses</t>
  </si>
  <si>
    <t xml:space="preserve">  Engineering</t>
  </si>
  <si>
    <t xml:space="preserve">  Legal Services</t>
  </si>
  <si>
    <t xml:space="preserve">Cost </t>
  </si>
  <si>
    <t>Per KW</t>
  </si>
  <si>
    <t>Construction Costs Local Demand</t>
  </si>
  <si>
    <t>Wind Power Plant</t>
  </si>
  <si>
    <t xml:space="preserve">  Year of Construction </t>
  </si>
  <si>
    <t>Inflator</t>
  </si>
  <si>
    <t>Margins</t>
  </si>
  <si>
    <t>Other Services</t>
  </si>
  <si>
    <t>Other Manufacturing</t>
  </si>
  <si>
    <t>Annual O&amp;M Costs Local Demand</t>
  </si>
  <si>
    <t>Annual Operations and Maintenance Costs Local Demand - margined</t>
  </si>
  <si>
    <t>Money Value (Dollar Year)</t>
  </si>
  <si>
    <t>MyRegion</t>
  </si>
  <si>
    <t>MyCounty</t>
  </si>
  <si>
    <t xml:space="preserve">  Project Location</t>
  </si>
  <si>
    <t>Project Location</t>
  </si>
  <si>
    <t>MyCounty (name)</t>
  </si>
  <si>
    <t>MyRegion (includes)</t>
  </si>
  <si>
    <t>Payroll Parameters</t>
  </si>
  <si>
    <t xml:space="preserve">  During operating years (annual)</t>
  </si>
  <si>
    <t>Payroll expense</t>
  </si>
  <si>
    <t>Govt</t>
  </si>
  <si>
    <t>Health/Ins/Misc</t>
  </si>
  <si>
    <t>Base Wage per Hour</t>
  </si>
  <si>
    <t>Empl Earnings</t>
  </si>
  <si>
    <t xml:space="preserve">Earnings - Gross </t>
  </si>
  <si>
    <t>Annual Wage</t>
  </si>
  <si>
    <t>Year of Data</t>
  </si>
  <si>
    <t xml:space="preserve">  Year of Multiplier Data</t>
  </si>
  <si>
    <t>Region of Analysis</t>
  </si>
  <si>
    <t xml:space="preserve">  Year of Construction $s</t>
  </si>
  <si>
    <t>Jobs and Economic Development Impact Model</t>
  </si>
  <si>
    <t>State</t>
  </si>
  <si>
    <t>County</t>
  </si>
  <si>
    <t>Small</t>
  </si>
  <si>
    <t>Medium</t>
  </si>
  <si>
    <t>Large</t>
  </si>
  <si>
    <t>Very Small</t>
  </si>
  <si>
    <t>Frequently Asked Questions (FAQ)</t>
  </si>
  <si>
    <t>How do I know if I have the most current version of the JEDI model?</t>
  </si>
  <si>
    <t>Project Cost Data - Default Values</t>
  </si>
  <si>
    <t xml:space="preserve">I am interested in viewing and possibly editting internal formulas within the model, how do I access them?  </t>
  </si>
  <si>
    <t>How do I run a county or regional level analysis?</t>
  </si>
  <si>
    <t>time you open a file.  Alternately, the model can be successfully run with the macros disabled.</t>
  </si>
  <si>
    <t>Is there a mailing list I can get on to be notified by email when new versions of JEDI are released?</t>
  </si>
  <si>
    <t xml:space="preserve">Where can I get more information on input-output modeling and using the JEDI model?  </t>
  </si>
  <si>
    <t xml:space="preserve">can run the model with the macros enabled?  </t>
  </si>
  <si>
    <t>Is additional technical support available?</t>
  </si>
  <si>
    <t>How can I determine which version of the JEDI model I have?</t>
  </si>
  <si>
    <t xml:space="preserve">The version (release number) of the model you are currently using is listed in the "About JEDI" worksheet contained in this model.  </t>
  </si>
  <si>
    <t xml:space="preserve">Running a county or regional level analysis is similar to running a state level analysis, although there are two key differences users must keep in mind.  First, the model </t>
  </si>
  <si>
    <t xml:space="preserve">County level multipliers and personal consumption expenditure patterns are available from a number of sources.  Users familiar with IMPLAN or input-output modeling can </t>
  </si>
  <si>
    <t>purchase the raw county level data and derive the multipliers themselves, purchase them from someone familiar with input-output modeling, purchase them directly from</t>
  </si>
  <si>
    <t>does not contain county or regional level multipliers, thus users must obtain these and add them into the model. (See FAQ on obtaining county or regional level</t>
  </si>
  <si>
    <t>What does the "local share" refer to?</t>
  </si>
  <si>
    <t>The "local share" refers to the percentage of each expenditure that is actually spent locally (i.e., in the state, county or region being analyzed).  For example, if $1 million</t>
  </si>
  <si>
    <t>is going to be spent on construction materials and half ($500,000) of this total will be purchased from local suppliers, we say the "local share" is 50 percent.</t>
  </si>
  <si>
    <t>Since the "local share" is directly related to the availability of local businesses and services and their ability to meet the construction and annual operating demands</t>
  </si>
  <si>
    <t>Where can I get county or regional level data to add-in to the model to run a county or region specific analysis?</t>
  </si>
  <si>
    <t>How do I add in county or regional level multipliers and the personal consumption expenditure data?</t>
  </si>
  <si>
    <t xml:space="preserve">Adding-in county or regional level multipliers and personal consumtption expenditure data involves going to the "User Add-in Location" worksheet in this model and </t>
  </si>
  <si>
    <t>Personal Consumption Expenditures (PCE)</t>
  </si>
  <si>
    <t>area.  The population provides a reference for the model to automatically insert 'local share" defaults for the analysis.</t>
  </si>
  <si>
    <t>multipliers and how to add in the data)  Second, to run a county or regional level analysis users must enter the county or regional population in the Project Description</t>
  </si>
  <si>
    <t>Adj Demand - Million</t>
  </si>
  <si>
    <t xml:space="preserve">     Consistent with these goals, a strong emphasis was placed on designing the model in a user-friendly format that could be easily modified - reflecting different </t>
  </si>
  <si>
    <t xml:space="preserve">analysis, and more experienced and knowledgeable users who have a need for this specific type of analysis. </t>
  </si>
  <si>
    <t>JEDI - WIND</t>
  </si>
  <si>
    <t xml:space="preserve">The message you are receiving is related to the level of security you have chosen in your Excel™ set up.  To change the setting for opening files, open Excel™, on the </t>
  </si>
  <si>
    <t>top toolbar, click on "tools," then "macros" then "security."  Reset the security level to "medium," this will enable you to choose to enable or disable macros each</t>
  </si>
  <si>
    <t xml:space="preserve">of the project, it is important to have an accurate picture of these local resources.  This can be obtained in a number of ways: contacting experienced and knowlegeable </t>
  </si>
  <si>
    <t xml:space="preserve"> levels of project specific information and user skill. This insures the greatest flexibility for inexperienced spreadsheet users, those unfamiliar with economic impact </t>
  </si>
  <si>
    <t xml:space="preserve">     The model was developed by Marshall Goldberg of MRG &amp; Associates, under contract with the National Renewable Energy Laboratory.  Persons wishing </t>
  </si>
  <si>
    <t xml:space="preserve">more information on the methodology or data in the model should contact him at: </t>
  </si>
  <si>
    <t xml:space="preserve">                                                                                                  Nevada City, California, 95959</t>
  </si>
  <si>
    <t xml:space="preserve">                                                                                                  Email: MRGAssociates@earthlink.net</t>
  </si>
  <si>
    <t xml:space="preserve">                                                                                                  Tel.: 530.432.9373</t>
  </si>
  <si>
    <t xml:space="preserve">                                                                                                  National Renewable Energy Laboratory</t>
  </si>
  <si>
    <t xml:space="preserve">                                                                                                  Golden, Colorado, 80401</t>
  </si>
  <si>
    <t xml:space="preserve">     Persons wishing more information on how and/or where the model is being used or the role of the National Renewable Energy Laboratory in analyzing </t>
  </si>
  <si>
    <t xml:space="preserve">When I open up the model I receive a security alert message stating "the macros in the file have been disabled," how do I change the security setting so I </t>
  </si>
  <si>
    <t xml:space="preserve">I want to make my analysis as accurate as possible, where can I get information to adjust the default "local share" values (in the ProjectData worksheet) </t>
  </si>
  <si>
    <t>for my state or county?</t>
  </si>
  <si>
    <t>persons in the area, contacting local business and contractor organizations and/or the local chamber of commerce, among others.</t>
  </si>
  <si>
    <t>O</t>
  </si>
  <si>
    <t>Y</t>
  </si>
  <si>
    <t>Default Land Lease (below)</t>
  </si>
  <si>
    <t>User Land Lease (below)</t>
  </si>
  <si>
    <t>Gross incl benefits</t>
  </si>
  <si>
    <t>Govt Share</t>
  </si>
  <si>
    <t>Health Ben, etc.</t>
  </si>
  <si>
    <t>Employee - (SSI, Medicare, etc.)</t>
  </si>
  <si>
    <t>Other benefits</t>
  </si>
  <si>
    <t>Earnings (minus taxes, benefits, etc)</t>
  </si>
  <si>
    <t>Const</t>
  </si>
  <si>
    <t>2007$</t>
  </si>
  <si>
    <t>2008$</t>
  </si>
  <si>
    <t xml:space="preserve">Construction Costs Local Demand </t>
  </si>
  <si>
    <t>Manufacturing Jobs</t>
  </si>
  <si>
    <t>Mfg W&amp;S Earnings</t>
  </si>
  <si>
    <t xml:space="preserve">  Administrative</t>
  </si>
  <si>
    <t xml:space="preserve">  Management</t>
  </si>
  <si>
    <t>Admin</t>
  </si>
  <si>
    <t>Management</t>
  </si>
  <si>
    <t>Field Tech</t>
  </si>
  <si>
    <t xml:space="preserve">  Administrative/Secretarial</t>
  </si>
  <si>
    <t xml:space="preserve">  Site Management</t>
  </si>
  <si>
    <t>IMPLAN (www.implan.com), or contact MRG &amp; Associates (mrgassociates@earthlink.net), the model developer.</t>
  </si>
  <si>
    <t>User Revised Data</t>
  </si>
  <si>
    <t>Warning</t>
  </si>
  <si>
    <t xml:space="preserve">This Worksheet contains Data and Formulas that are an integral part of the JEDI model.  </t>
  </si>
  <si>
    <t>Although the data and formulas are available for review they must not be changed.</t>
  </si>
  <si>
    <t>Any changes to the data or formulas will impact the analysis and may invalidate the model results.</t>
  </si>
  <si>
    <t>To view the data and formulas simply scroll over to the adjacent columns to the right.</t>
  </si>
  <si>
    <t>Jobs and Economic Development Impact (JEDI) Model</t>
  </si>
  <si>
    <t xml:space="preserve">                                                                                                  Tel.: 303.384.6939</t>
  </si>
  <si>
    <t xml:space="preserve">                                                                                                  www.implan.com</t>
  </si>
  <si>
    <t xml:space="preserve">Jobs and Economic Development Impact (JEDI) Model </t>
  </si>
  <si>
    <t>The JEDI model contains several intermediate worksheets that are an integral part of the model analysis. These worksheets are not designed to be changed by users.</t>
  </si>
  <si>
    <t>Several of these worksheets, including default data, calculations, and deflators may be viewed by merely clicking on the respective worksheet and scrolling to the right.</t>
  </si>
  <si>
    <t>expenditures.  These worksheets are hidden to protect proprietary data derived from IMPLAN (Minnesota Implan Group).</t>
  </si>
  <si>
    <t>Other Sectors (not Construction)</t>
  </si>
  <si>
    <t>Eng. &amp; Prof. Svcs.</t>
  </si>
  <si>
    <t>Mfg Output</t>
  </si>
  <si>
    <t xml:space="preserve">       Other Onsite Construction Related Services (Engin. and Prof. Services)</t>
  </si>
  <si>
    <t xml:space="preserve">       Onsite Construction Only (labor and interconnection)</t>
  </si>
  <si>
    <t>Detailed Wind Farm Project Data Costs</t>
  </si>
  <si>
    <t xml:space="preserve">       Onsite Wind Farm Labor Only (field techs, admin., mgmt.)</t>
  </si>
  <si>
    <t>Wind Farm Annual Operating and Maintenance Costs</t>
  </si>
  <si>
    <t>Taxes per MW</t>
  </si>
  <si>
    <t>State Taxes per MW</t>
  </si>
  <si>
    <t xml:space="preserve">  Taxes Per MW</t>
  </si>
  <si>
    <t>US median cost per MW</t>
  </si>
  <si>
    <t>US average cost per MW</t>
  </si>
  <si>
    <t xml:space="preserve">  Taxes per MW</t>
  </si>
  <si>
    <t>Average installed project cost per kW</t>
  </si>
  <si>
    <t xml:space="preserve">  Transportation</t>
  </si>
  <si>
    <t>Ann Avg Increase</t>
  </si>
  <si>
    <t>2005-2008</t>
  </si>
  <si>
    <t>Installed Project Cost</t>
  </si>
  <si>
    <t>0&amp;M Jobs/</t>
  </si>
  <si>
    <t>Tech/MW</t>
  </si>
  <si>
    <t>Fixed Costs</t>
  </si>
  <si>
    <t>Warranty/Maintenance Services</t>
  </si>
  <si>
    <t>Balance of Plant</t>
  </si>
  <si>
    <t>Development/Other Costs</t>
  </si>
  <si>
    <t>Variable Costs</t>
  </si>
  <si>
    <t>Equipment</t>
  </si>
  <si>
    <t xml:space="preserve">  Operations and Maintenance Cost ($/kW)</t>
  </si>
  <si>
    <t>Labor</t>
  </si>
  <si>
    <t>Total O&amp;M Cost</t>
  </si>
  <si>
    <t xml:space="preserve">  Development/Other Costs</t>
  </si>
  <si>
    <t xml:space="preserve">    HV Sub/Interconnection</t>
  </si>
  <si>
    <t xml:space="preserve">    Engineering</t>
  </si>
  <si>
    <t xml:space="preserve">    Legal Services</t>
  </si>
  <si>
    <t xml:space="preserve">    Land Easements</t>
  </si>
  <si>
    <t xml:space="preserve">    Site Certificate/Permitting</t>
  </si>
  <si>
    <t>Labor Costs</t>
  </si>
  <si>
    <t xml:space="preserve">  Cost per Turbine</t>
  </si>
  <si>
    <t xml:space="preserve">  Equipment Total</t>
  </si>
  <si>
    <t xml:space="preserve">    Site Certificate</t>
  </si>
  <si>
    <t xml:space="preserve">    Development/Other Subtotal</t>
  </si>
  <si>
    <t xml:space="preserve">  Balance of Plant Total</t>
  </si>
  <si>
    <t>Avg</t>
  </si>
  <si>
    <t>2009$</t>
  </si>
  <si>
    <t>2010$</t>
  </si>
  <si>
    <t>Avg. Turbine Size (KW)</t>
  </si>
  <si>
    <t>Tech labor per MW</t>
  </si>
  <si>
    <t>2003 and earlier</t>
  </si>
  <si>
    <t>Admin/MW</t>
  </si>
  <si>
    <t>Admin labor per MW</t>
  </si>
  <si>
    <t>After 2003</t>
  </si>
  <si>
    <t>Loc Adj</t>
  </si>
  <si>
    <t>Construction Loc. Adj.</t>
  </si>
  <si>
    <t>Adj. Installed Cost (per KW)</t>
  </si>
  <si>
    <t>per KW</t>
  </si>
  <si>
    <t>100 MW</t>
  </si>
  <si>
    <t>O&amp;M Cost</t>
  </si>
  <si>
    <t>O&amp;M Cost per KW</t>
  </si>
  <si>
    <t>Mgmt/MW</t>
  </si>
  <si>
    <t>Mgmt labor per MW</t>
  </si>
  <si>
    <t>&lt;=20 MW</t>
  </si>
  <si>
    <t>O&amp;M Cost Adj function</t>
  </si>
  <si>
    <t>Wind Farm Project Data</t>
  </si>
  <si>
    <t xml:space="preserve">    Management/Supervision</t>
  </si>
  <si>
    <t xml:space="preserve">  Site Maint/Misc. Services</t>
  </si>
  <si>
    <t xml:space="preserve">  Consumables/Tools and Misc. Supplies</t>
  </si>
  <si>
    <t xml:space="preserve">  Replacement Parts/Equipment/ Spare Parts Inventory</t>
  </si>
  <si>
    <t xml:space="preserve">  Labor/Personnel Subtotal</t>
  </si>
  <si>
    <t xml:space="preserve">  Construction Labor</t>
  </si>
  <si>
    <t xml:space="preserve">  O&amp;M Labor</t>
  </si>
  <si>
    <t xml:space="preserve">  Foundation</t>
  </si>
  <si>
    <t xml:space="preserve">  Erection</t>
  </si>
  <si>
    <t xml:space="preserve">  Electrical</t>
  </si>
  <si>
    <t xml:space="preserve">  Management/Supervision</t>
  </si>
  <si>
    <t>Const Jobs/</t>
  </si>
  <si>
    <t>Foundation</t>
  </si>
  <si>
    <t>Erection</t>
  </si>
  <si>
    <t>Electrical</t>
  </si>
  <si>
    <t>Const. Jobs/</t>
  </si>
  <si>
    <t>Const. Jobs</t>
  </si>
  <si>
    <t>Foundation Jobs/MW</t>
  </si>
  <si>
    <t>Erection Jobs/MW</t>
  </si>
  <si>
    <t>Electrical/MW</t>
  </si>
  <si>
    <t>Management/supervision/MW</t>
  </si>
  <si>
    <t>User Revised wages</t>
  </si>
  <si>
    <t>Total Jobs</t>
  </si>
  <si>
    <t>Local Jobs</t>
  </si>
  <si>
    <t>Eng. &amp; Prof. Svcs.&amp; Sub Interconnection</t>
  </si>
  <si>
    <t>Average Wage per hour</t>
  </si>
  <si>
    <t>Construction (earning per job)</t>
  </si>
  <si>
    <t>State (Name)</t>
  </si>
  <si>
    <t>Wage per hour</t>
  </si>
  <si>
    <t>not applicable</t>
  </si>
  <si>
    <t>per KW adjust</t>
  </si>
  <si>
    <t xml:space="preserve">    Misc. </t>
  </si>
  <si>
    <t xml:space="preserve">    Misc.</t>
  </si>
  <si>
    <t>cutting and pasting the data into their respective locations.  With the data installed it is also necessary to insert the county or region name, the year of the data, and</t>
  </si>
  <si>
    <t xml:space="preserve">the name of the state. </t>
  </si>
  <si>
    <t>What does the term "full-time equivalent for a period of one year" refer to in the jobs results?</t>
  </si>
  <si>
    <t xml:space="preserve">The term refers to a job that is held (and wages paid) for a period of one year.  This is based on 2,080 hours (52 weeks times 40 hours per week).  For example, if the </t>
  </si>
  <si>
    <t xml:space="preserve">actually employed and working full-time during that period will be greater since they will not be employed and working for an entire year.  In this example, there will be   </t>
  </si>
  <si>
    <t xml:space="preserve">analysis indicates there are 100 construction jobs, there will be the equivalent of 100 workers, working full-time, for the entire year.  If the construction period is two   </t>
  </si>
  <si>
    <t xml:space="preserve">years, the job impacts (100 jobs) are spread over the two year construction period.  In this example, there will be an average of 50 full-time jobs (100 jobs divided by 2    </t>
  </si>
  <si>
    <t xml:space="preserve">years) during each of the years.  Similarly, if the construction period is less than one year, for example, 9 months (75 percent of a full year), then the number of persons   </t>
  </si>
  <si>
    <t>an average of 133 full-time workers (100 jobs divided by .75 percent of the year) during the 9 month construction period.</t>
  </si>
  <si>
    <t>Misc.</t>
  </si>
  <si>
    <t>Materials</t>
  </si>
  <si>
    <t>Design</t>
  </si>
  <si>
    <t xml:space="preserve">       Materials</t>
  </si>
  <si>
    <t xml:space="preserve">       Labor</t>
  </si>
  <si>
    <t>Employer Payroll Costs</t>
  </si>
  <si>
    <t xml:space="preserve">time equivalent for a period of one year (1 FTE = 2,080 hours).  Wind farm workers includes field technicians, administration and </t>
  </si>
  <si>
    <t>management.  Economic impacts "During operating years" represent impacts that occur from wind farm operations/expenditures.</t>
  </si>
  <si>
    <t xml:space="preserve">  Total Project Size - Nameplate Capacity (MW)</t>
  </si>
  <si>
    <t>Total Project Size - Nameplate Capacity (MW)</t>
  </si>
  <si>
    <t>Number of Projects (included in total)</t>
  </si>
  <si>
    <t>N</t>
  </si>
  <si>
    <t xml:space="preserve">Project Cost Data </t>
  </si>
  <si>
    <t xml:space="preserve">  Population (only required for County/Region analysis)</t>
  </si>
  <si>
    <t>Management/supervision</t>
  </si>
  <si>
    <t xml:space="preserve">  Number of Projects (included in Total Project Size)</t>
  </si>
  <si>
    <t>Employer Payroll Overhead</t>
  </si>
  <si>
    <t>The analysis does not include impacts associated with spending of wind farm "profits" and assumes no tax abatement unless noted.</t>
  </si>
  <si>
    <t>The analysis does not include impacts associated with spending of wind farm "profits" and assumes no tax abatement unless</t>
  </si>
  <si>
    <t>I have used previous versions of the JEDI Wind model and my earlier results are significantly different from results with the newer version.  Why is this?</t>
  </si>
  <si>
    <t xml:space="preserve">I want to make changes to the default labor construction and/or O&amp;M costs, wage rates or employer payroll overhead but when I do I receive a pop up </t>
  </si>
  <si>
    <t>instructing me to only make changes if I change other wage and/or salary related cells.  Why is this?</t>
  </si>
  <si>
    <t>The model uses the total labor costs and the average wages per hour to calculate the number of construction workers and O&amp;M workers.  Therefore, if a User chooses</t>
  </si>
  <si>
    <t xml:space="preserve">to modify the default values, they override the default ratios programed into the model.  Thus, if the User increases (or decreases) the total labor costs without changing </t>
  </si>
  <si>
    <t>total labor costs, the results will show fewer workers.</t>
  </si>
  <si>
    <t>the wage per hour, the results will show more workers.  Similarly, if the average wage per hour is increased (or decreased), without a subsequent increase in the</t>
  </si>
  <si>
    <t xml:space="preserve">more recent versions, will change how some of the results appear.  Newer versions may also include updated multipliers that directly affect the results.  And finally, user </t>
  </si>
  <si>
    <t xml:space="preserve">There are a number of reasons why this may occur.  First, with each new model release, updated "on-the-ground" information from project developers and survey </t>
  </si>
  <si>
    <t xml:space="preserve">modifications to default data and local shares, as well as running a state versus a county or  regional analysis will yield significantly varied results. </t>
  </si>
  <si>
    <t xml:space="preserve">research has been incorporated into the model.  Similarly, changes in reporting format, such as revising direct impacts to include only "on-site" spending in the </t>
  </si>
  <si>
    <t xml:space="preserve">The model is designed to allocate labor costs based on default wage and overhead costs and employment (job) ratios, unless the costs are modified by the user.  </t>
  </si>
  <si>
    <t xml:space="preserve">     Turbine and Supply Chain Impacts</t>
  </si>
  <si>
    <t xml:space="preserve">     Onsite Labor Impacts</t>
  </si>
  <si>
    <t xml:space="preserve">     Project Development and Onsite Labor Impacts</t>
  </si>
  <si>
    <t xml:space="preserve">       Construction and Interconnection Labor</t>
  </si>
  <si>
    <t xml:space="preserve">       Construction Related Services</t>
  </si>
  <si>
    <t xml:space="preserve">     Local Revenue and Supply Chain Impacts</t>
  </si>
  <si>
    <t xml:space="preserve">     Total Impacts</t>
  </si>
  <si>
    <t xml:space="preserve">                                                                                                  Tel: 651.439.4421</t>
  </si>
  <si>
    <t>Subtotal All Costs (without sales tax)</t>
  </si>
  <si>
    <t>Sales Tax (Materials &amp; Equipment Purchases)</t>
  </si>
  <si>
    <t>Total Project Cost</t>
  </si>
  <si>
    <t xml:space="preserve">  Local Sales Tax Rate</t>
  </si>
  <si>
    <t>Other Taxes/Payments</t>
  </si>
  <si>
    <t>Total (with Sales Tax and Other Taxes/Payments</t>
  </si>
  <si>
    <t>Subtotal (all cost without taxes)</t>
  </si>
  <si>
    <t>Sales Tax (Material and Equipment Purchases)</t>
  </si>
  <si>
    <t>Subtotal</t>
  </si>
  <si>
    <t>Total (with Sales Tax and Other Taxes/Payments)</t>
  </si>
  <si>
    <t>UNITED STATES</t>
  </si>
  <si>
    <t>United States</t>
  </si>
  <si>
    <t>2011$</t>
  </si>
  <si>
    <t>2012$</t>
  </si>
  <si>
    <t>2013$</t>
  </si>
  <si>
    <t>2014$</t>
  </si>
  <si>
    <t>2015$</t>
  </si>
  <si>
    <t>Sales Tax</t>
  </si>
  <si>
    <t>Total Installed Project Cost</t>
  </si>
  <si>
    <t>Total (without debt, equity, property taxes, lease pmts)</t>
  </si>
  <si>
    <t xml:space="preserve">  Installed Project Cost ($/kW)</t>
  </si>
  <si>
    <t>Per kW</t>
  </si>
  <si>
    <t>Installed Project Cost ($/kW)</t>
  </si>
  <si>
    <t>Annual O&amp;M Cost ($/kW)</t>
  </si>
  <si>
    <t>Annual Direct O&amp;M Cost ($/kW)</t>
  </si>
  <si>
    <t xml:space="preserve">When I change the construction ($ per kW) or O&amp;M ($ per kW) cost in the Project Description area, the labor costs remain the same but the other project costs  </t>
  </si>
  <si>
    <t>costs.</t>
  </si>
  <si>
    <t xml:space="preserve">                                                                                                  17935 Starduster Dr.</t>
  </si>
  <si>
    <t xml:space="preserve">  Money Value (Dollar Year) </t>
  </si>
  <si>
    <t xml:space="preserve">  Turbine Size (kW)</t>
  </si>
  <si>
    <t>Turbine Size (kW)</t>
  </si>
  <si>
    <t xml:space="preserve">                                                                                                  15013 Denver West Parkway</t>
  </si>
  <si>
    <t xml:space="preserve">       Total</t>
  </si>
  <si>
    <t xml:space="preserve">                                                                                                  Email: jedisupport@nrel.gov.</t>
  </si>
  <si>
    <t>wind and other renewable technologies should contact NREL support at:</t>
  </si>
  <si>
    <t>Value Added Per Million Dollars Change in Final Demand</t>
  </si>
  <si>
    <t>      Value Added Direct Multipliers</t>
  </si>
  <si>
    <t>Fabricated    Metals</t>
  </si>
  <si>
    <t>Electrical    Equipment</t>
  </si>
  <si>
    <t>Wholesale    Trade</t>
  </si>
  <si>
    <t>Retail    Trade</t>
  </si>
  <si>
    <t>Misc.    Services</t>
  </si>
  <si>
    <t>Professional    Services</t>
  </si>
  <si>
    <t>      Value Added Indirect Multipliers</t>
  </si>
  <si>
    <t>      Value Added Induced Multipliers</t>
  </si>
  <si>
    <t xml:space="preserve">                                                                                                  IMPLAN Group, LLC</t>
  </si>
  <si>
    <t xml:space="preserve">                                                                                                  16740 Birkdale Commons Parkway Suite 206</t>
  </si>
  <si>
    <t xml:space="preserve">                                                                                                  Huntersville, North Carolina 28078</t>
  </si>
  <si>
    <t>Persons wishing more information on the IMPLAN data or the software should contact the IMPLAN Group.</t>
  </si>
  <si>
    <t>Total Installed Cost</t>
  </si>
  <si>
    <t xml:space="preserve">  Sales Tax Rate</t>
  </si>
  <si>
    <t xml:space="preserve">                                                                                                  MRG &amp; Associates</t>
  </si>
  <si>
    <t xml:space="preserve">     The Jobs and Economic Development Impact (JEDI) Model was developed in 2002 to demonstrate the economic benefits associated with developing land- </t>
  </si>
  <si>
    <t xml:space="preserve">based wind power plants in the United States.  The primary goal in developing the initial state level model was to provide a tool for wind developers, renewable </t>
  </si>
  <si>
    <t>eneergy advocates, government officials, decision makers and other potential users, to easily identify the local economic impacts associated with constructing and</t>
  </si>
  <si>
    <t xml:space="preserve">operating wind power plants. The second goal was to facilitate broad access and usage of the model by making it adaptable to a web based application that can be  </t>
  </si>
  <si>
    <t xml:space="preserve">put on a web site. </t>
  </si>
  <si>
    <t>Value Added</t>
  </si>
  <si>
    <t xml:space="preserve">  Value Added Direct Multipliers</t>
  </si>
  <si>
    <t xml:space="preserve">  Value Added Indirect Multipliers</t>
  </si>
  <si>
    <t xml:space="preserve">  Value Added Induced Multipliers</t>
  </si>
  <si>
    <t>2005$</t>
  </si>
  <si>
    <t>2006$</t>
  </si>
  <si>
    <t>2016$</t>
  </si>
  <si>
    <t>2017$</t>
  </si>
  <si>
    <t>2018$</t>
  </si>
  <si>
    <t>2019$</t>
  </si>
  <si>
    <t>2020$</t>
  </si>
  <si>
    <t xml:space="preserve"> User</t>
  </si>
  <si>
    <t>MW Per Turbine</t>
  </si>
  <si>
    <t xml:space="preserve">     Installed Project Cost ($/kW without taxes)</t>
  </si>
  <si>
    <t xml:space="preserve">     Annual O&amp;M Cost ($/kW without taxes)</t>
  </si>
  <si>
    <t>without taxes</t>
  </si>
  <si>
    <t>Property assessment ratio (%)</t>
  </si>
  <si>
    <t>NA</t>
  </si>
  <si>
    <t>Average millage rate ($/$1000 assessed value)</t>
  </si>
  <si>
    <t xml:space="preserve">  Local Property/Other Tax Rate (average millage rate - $/$1,000 assessed vallue)</t>
  </si>
  <si>
    <t>https://www.whitehouse.gov/omb/budget/Historicals</t>
  </si>
  <si>
    <t xml:space="preserve">  Local PropertyTax Rate (avg mill rate - $/$1,000)</t>
  </si>
  <si>
    <t xml:space="preserve">  Local Property Tax Rate (avg millage rate - $/$1,000)</t>
  </si>
  <si>
    <t>Source: NREL 11/2016</t>
  </si>
  <si>
    <t>Updated September 2018.  Deflators for 2024-2040 assume average annual inflation rate derived from 2018-2023 GDP estimated values.</t>
  </si>
  <si>
    <t xml:space="preserve">Source:  Deflators and Inflators derived from data contained in the Budget of the United States Government: Table 10.1 - Gross Domestic Product and Deflators Used in the Historical Tables 1940-2023.  </t>
  </si>
  <si>
    <t>Therefore, any changes in the total construction or O&amp;M costs in the Project Description area do not impact labor costs.  See also FAQ related to User changes to labor</t>
  </si>
  <si>
    <t>Although these sheets may be viewed by users they are protected and can not be edited.  The model contains two additional worksheets: multipliers and household</t>
  </si>
  <si>
    <t xml:space="preserve">     The JEDI model utilizes multipliers derived from IMPLAN data using the IMPLAN Version 3.1 Social Accounting &amp; Impact Analysis Software.</t>
  </si>
  <si>
    <t xml:space="preserve">  Field Salaries (i.e., onsite wind technicians, etc.)</t>
  </si>
  <si>
    <t>Local Share or % of Time Onsite (for itinerate workers)</t>
  </si>
  <si>
    <t xml:space="preserve">  Turbines and other equipment (excluding blades and towers)</t>
  </si>
  <si>
    <t>Default Cost Per KW</t>
  </si>
  <si>
    <t>Selected Cost Per KW</t>
  </si>
  <si>
    <t>STEP 1 - Project Information</t>
  </si>
  <si>
    <t>BASIC INPUTS:</t>
  </si>
  <si>
    <t>ADVANCED INPUTS:</t>
  </si>
  <si>
    <t>Site Information</t>
  </si>
  <si>
    <t>Project Name</t>
  </si>
  <si>
    <t>Wind Shear Exponent</t>
  </si>
  <si>
    <t>Project Location (State)</t>
  </si>
  <si>
    <t>50-year Gust Velocity (m/s)</t>
  </si>
  <si>
    <t>Project Location (Region)</t>
  </si>
  <si>
    <t>Number of Access Roads</t>
  </si>
  <si>
    <t>Total Project Size (MW)</t>
  </si>
  <si>
    <t>Number of Highway Permits</t>
  </si>
  <si>
    <t>Percent of Roads that will be constructed</t>
  </si>
  <si>
    <t>Road width (ft)</t>
  </si>
  <si>
    <t>Road thickness (in)</t>
  </si>
  <si>
    <t>Turbine Information</t>
  </si>
  <si>
    <t>Fuel Cost (USD per gal)</t>
  </si>
  <si>
    <t>Turbine Rating (MW)</t>
  </si>
  <si>
    <t>Road Quality (0-1)</t>
  </si>
  <si>
    <t>Road Length Adder (m)</t>
  </si>
  <si>
    <t>Hub Height (m)</t>
  </si>
  <si>
    <t>Crane Width (m)</t>
  </si>
  <si>
    <t>Rotor Diameter (m)</t>
  </si>
  <si>
    <t>Turbine Spacing (times rotor diameter)</t>
  </si>
  <si>
    <t>Grid Connection</t>
  </si>
  <si>
    <t>Row Spacing (times rotor diameter)</t>
  </si>
  <si>
    <t>Distance to Interconnect (miles)</t>
  </si>
  <si>
    <t>Interconnect Voltage (kV)</t>
  </si>
  <si>
    <t>Construction Information</t>
  </si>
  <si>
    <t>Line Frequency (Hz)</t>
  </si>
  <si>
    <t>Year of Construction</t>
  </si>
  <si>
    <t>New Switchyard (y/n)</t>
  </si>
  <si>
    <t>Combined Homerun Trench Length to Substation (km)</t>
  </si>
  <si>
    <t>Total Project Construction Time (months)</t>
  </si>
  <si>
    <t>Rate of Deliveries (turbines per week)</t>
  </si>
  <si>
    <t>Foundation Information</t>
  </si>
  <si>
    <t>Foundation Depth (m)</t>
  </si>
  <si>
    <t>Rated Thrust (N)</t>
  </si>
  <si>
    <t>Bearing Pressure (n/m2)</t>
  </si>
  <si>
    <t>Non-Erection Wind Delay Critical Height (m)</t>
  </si>
  <si>
    <t>Non-Erection Wind Delay Critical Speed (m/s)</t>
  </si>
  <si>
    <t>TOTAL BALANCE OF SYSTEM COSTS</t>
  </si>
  <si>
    <t>Site Facility</t>
  </si>
  <si>
    <t>Engineering</t>
  </si>
  <si>
    <t>Bonding</t>
  </si>
  <si>
    <t>Project Management</t>
  </si>
  <si>
    <t>Construction Permitting</t>
  </si>
  <si>
    <t>Insurance</t>
  </si>
  <si>
    <t>Management Costs</t>
  </si>
  <si>
    <t>Substation Costs</t>
  </si>
  <si>
    <t>Grid Connection Costs</t>
  </si>
  <si>
    <t>Mobilization</t>
  </si>
  <si>
    <t>Equipment Rental</t>
  </si>
  <si>
    <t>Collection Costs</t>
  </si>
  <si>
    <t>Other</t>
  </si>
  <si>
    <t>Fuel</t>
  </si>
  <si>
    <t>Erection Costs</t>
  </si>
  <si>
    <t>Foundation Costs</t>
  </si>
  <si>
    <t>Site Preparation Costs</t>
  </si>
  <si>
    <t>Development Costs</t>
  </si>
  <si>
    <t>Percent of Total Cost</t>
  </si>
  <si>
    <t>Cost per kW</t>
  </si>
  <si>
    <r>
      <t xml:space="preserve">Cost for Project </t>
    </r>
    <r>
      <rPr>
        <b/>
        <sz val="8"/>
        <color theme="1"/>
        <rFont val="Calibri"/>
        <family val="2"/>
        <scheme val="minor"/>
      </rPr>
      <t>*LandBOSSE Outputs</t>
    </r>
  </si>
  <si>
    <t xml:space="preserve">Balance of System (BOS) Costs                            </t>
  </si>
  <si>
    <t>STEP 2 - Cost Information</t>
  </si>
  <si>
    <t>The following are outputs from NREL's Balance of System Cost Model for Land-Based Wind (LandBOSSE):</t>
  </si>
  <si>
    <t>Project ID</t>
  </si>
  <si>
    <t>project_1</t>
  </si>
  <si>
    <t>Region</t>
  </si>
  <si>
    <t>Total project construction time (months)</t>
  </si>
  <si>
    <t>Southeast</t>
  </si>
  <si>
    <t>Turbine rating MW</t>
  </si>
  <si>
    <t>West</t>
  </si>
  <si>
    <t>Hub height m</t>
  </si>
  <si>
    <t>Rotor diameter m</t>
  </si>
  <si>
    <t>Turbine spacing (times rotor diameter)</t>
  </si>
  <si>
    <t>Row spacing (times rotor diameter)</t>
  </si>
  <si>
    <t>Interior</t>
  </si>
  <si>
    <t>Number of turbines</t>
  </si>
  <si>
    <t>Northeast</t>
  </si>
  <si>
    <t>Breakpoint between base and topping (percent)</t>
  </si>
  <si>
    <t>Fuel cost USD per gal</t>
  </si>
  <si>
    <t>Rate of deliveries (turbines per week)</t>
  </si>
  <si>
    <t>Wind shear exponent</t>
  </si>
  <si>
    <t>Foundation depth m</t>
  </si>
  <si>
    <t>Great Lakes</t>
  </si>
  <si>
    <t>Flag for user-defined home run trench length (0 = no; 1 = yes)</t>
  </si>
  <si>
    <t>Distance to interconnect (miles)</t>
  </si>
  <si>
    <t>y</t>
  </si>
  <si>
    <t>Road length adder (m)</t>
  </si>
  <si>
    <t>Percent of roads that will be constructed</t>
  </si>
  <si>
    <t>Crane width (m)</t>
  </si>
  <si>
    <t>Number of highway permits</t>
  </si>
  <si>
    <t>Number of access roads</t>
  </si>
  <si>
    <t>Overtime multiplier</t>
  </si>
  <si>
    <t>Allow same flag</t>
  </si>
  <si>
    <t>n</t>
  </si>
  <si>
    <t>Markup contingency</t>
  </si>
  <si>
    <t>Markup warranty management</t>
  </si>
  <si>
    <t>Markup sales and use tax</t>
  </si>
  <si>
    <t>Markup overhead</t>
  </si>
  <si>
    <t>Markup profit margin</t>
  </si>
  <si>
    <t>Crane breakdown fraction</t>
  </si>
  <si>
    <t>Labor cost multiplier</t>
  </si>
  <si>
    <t>Average Land Lease Payments ($/MW)</t>
  </si>
  <si>
    <t>*Regional Avg</t>
  </si>
  <si>
    <t>*National Avg</t>
  </si>
  <si>
    <t>Project Descriptive Data (from Step 1)</t>
  </si>
  <si>
    <r>
      <t xml:space="preserve">Utilize </t>
    </r>
    <r>
      <rPr>
        <b/>
        <i/>
        <sz val="10"/>
        <rFont val="Arial"/>
        <family val="2"/>
      </rPr>
      <t>Project Cost Data</t>
    </r>
    <r>
      <rPr>
        <b/>
        <sz val="10"/>
        <rFont val="Arial"/>
        <family val="2"/>
      </rPr>
      <t xml:space="preserve"> LandBOSSE calculated values in analysis? Choose "Y" to accept values below or "N" to over-ride default values and utilize new user defined values as entered below.  </t>
    </r>
    <r>
      <rPr>
        <b/>
        <i/>
        <sz val="10"/>
        <rFont val="Arial"/>
        <family val="2"/>
      </rPr>
      <t>See FAQ for related topics.</t>
    </r>
  </si>
  <si>
    <r>
      <t xml:space="preserve">If desired, default values (in cells below - based on </t>
    </r>
    <r>
      <rPr>
        <b/>
        <i/>
        <sz val="10"/>
        <rFont val="Arial"/>
        <family val="2"/>
      </rPr>
      <t>Project Descriptive Data</t>
    </r>
    <r>
      <rPr>
        <b/>
        <sz val="10"/>
        <rFont val="Arial"/>
        <family val="2"/>
      </rPr>
      <t xml:space="preserve"> entered in Step 1) may be restored by pressing the 'Restore Default Values' button.  </t>
    </r>
    <r>
      <rPr>
        <b/>
        <i/>
        <sz val="9"/>
        <rFont val="Arial"/>
        <family val="2"/>
      </rPr>
      <t>Note: it is not necessary to restore defaults to incorporate default Project Cost Data in system analysis - simply choose "Y" in cell B24 above.</t>
    </r>
    <r>
      <rPr>
        <b/>
        <sz val="10"/>
        <rFont val="Arial"/>
        <family val="2"/>
      </rPr>
      <t xml:space="preserve">  </t>
    </r>
  </si>
  <si>
    <t>Land Lease Payment Per Turbine</t>
  </si>
  <si>
    <t>Default LandBOSSE Inputs</t>
  </si>
  <si>
    <t>Total Equipment Cost ($/kW)</t>
  </si>
  <si>
    <t>Operations and Maintanence Costs ($/kW)</t>
  </si>
  <si>
    <t>Project Cost Information</t>
  </si>
  <si>
    <t>Total Installed Project Cost ($/kW)</t>
  </si>
  <si>
    <t>User Input Needed:</t>
  </si>
  <si>
    <t>Number of Projects (included in Total Project Size)</t>
  </si>
  <si>
    <t xml:space="preserve">INSTRUCTIONS:    Project Descriptive Data is shown below. To edit this data, changes must be made in Steps 1 and 2. </t>
  </si>
  <si>
    <t>Review and edit costs and local shares for Project Cost Data and O&amp;M Data. Then, make any changes to Financial Parameters.</t>
  </si>
  <si>
    <t>Once all inputs are complete, proceed to results page by pressing "View Summary Results" button.</t>
  </si>
  <si>
    <t>Project Description</t>
  </si>
  <si>
    <t>JEDI - LAND-BASED WIND</t>
  </si>
  <si>
    <t xml:space="preserve">  Land Lease Cost ($/per turbine)</t>
  </si>
  <si>
    <t>Turbines, % Labor</t>
  </si>
  <si>
    <t>Towers, % Labor</t>
  </si>
  <si>
    <t>Blades, % Labor</t>
  </si>
  <si>
    <t>DEFAULT</t>
  </si>
  <si>
    <t>Activate Local Shares Tier 1 Supply Chain</t>
  </si>
  <si>
    <t>Options</t>
  </si>
  <si>
    <t>Onsite Labor Impacts</t>
  </si>
  <si>
    <t>Induced Impacts</t>
  </si>
  <si>
    <t>Value Add</t>
  </si>
  <si>
    <t>Supply Chain Impacts</t>
  </si>
  <si>
    <t>O&amp;M Employment Curves for JEDI</t>
  </si>
  <si>
    <t>Megawatts</t>
  </si>
  <si>
    <t>* If &lt; 25 MW O&amp;M jobs = 0</t>
  </si>
  <si>
    <t>Regions</t>
  </si>
  <si>
    <t>Curve</t>
  </si>
  <si>
    <t>Total Onsite Labor</t>
  </si>
  <si>
    <t>Technician Labor</t>
  </si>
  <si>
    <t>Admin Labor</t>
  </si>
  <si>
    <t>Mgmt Labor</t>
  </si>
  <si>
    <t>4.037*LN(X)-12.145</t>
  </si>
  <si>
    <t>4.037*LN(X)-12.146</t>
  </si>
  <si>
    <t>4.1717*LN(X)-10.325</t>
  </si>
  <si>
    <t>4.017*LN(X)-11.026</t>
  </si>
  <si>
    <t>4.1917*LN(X)-11.445</t>
  </si>
  <si>
    <t>Total/MW</t>
  </si>
  <si>
    <t>State/region selected in Project Data</t>
  </si>
  <si>
    <t>Modified state if custom multipliers are used</t>
  </si>
  <si>
    <t>List of states and regions</t>
  </si>
  <si>
    <t>Selected region</t>
  </si>
  <si>
    <t>What are these numbers?</t>
  </si>
  <si>
    <t>Only the distributions that are appropriate for the project size will be populated - just take the sum</t>
  </si>
  <si>
    <t>Selected</t>
  </si>
  <si>
    <t>Levels</t>
  </si>
  <si>
    <t>Theoretical jobs  that are region agnostic</t>
  </si>
  <si>
    <t>Selected Region</t>
  </si>
  <si>
    <t>Selected Jobs</t>
  </si>
  <si>
    <t>Labor cost</t>
  </si>
  <si>
    <t>Hourly Payroll</t>
  </si>
  <si>
    <t>Annual Payroll</t>
  </si>
  <si>
    <t>Field Average</t>
  </si>
  <si>
    <t>Management Average</t>
  </si>
  <si>
    <t>Administrative Average</t>
  </si>
  <si>
    <t>No Data Points</t>
  </si>
  <si>
    <t>&lt;-- uses BLS</t>
  </si>
  <si>
    <t>&lt;-- BOSSE</t>
  </si>
  <si>
    <t>O&amp;M Equipment Cost Distribution</t>
  </si>
  <si>
    <t>Updated Equipment Costs</t>
  </si>
  <si>
    <t>During O&amp;M</t>
  </si>
  <si>
    <t>Outputs</t>
  </si>
  <si>
    <t>&lt;- If this is negative then it defaults to zero. Labor costs are based on capacity and this is based on $/kW so that's why it could be negative.</t>
  </si>
  <si>
    <t>Equipment estimates, updated 9/2020 from Cost of Energy Review</t>
  </si>
  <si>
    <t>$/kW</t>
  </si>
  <si>
    <t>Rotor Module</t>
  </si>
  <si>
    <t>Blades</t>
  </si>
  <si>
    <t>Pitch Assembly</t>
  </si>
  <si>
    <t>Hub Assembly</t>
  </si>
  <si>
    <t>Nacelle Module</t>
  </si>
  <si>
    <t>Nacelle structural assembly</t>
  </si>
  <si>
    <t>Drivetrain Assembly</t>
  </si>
  <si>
    <t>Nacelle electrical</t>
  </si>
  <si>
    <t>Yaw</t>
  </si>
  <si>
    <t>Tower Module</t>
  </si>
  <si>
    <t>Cost based on project size - these are linked in column B</t>
  </si>
  <si>
    <t>Source: https://www.nrel.gov/docs/fy20osti/74598.pdf</t>
  </si>
  <si>
    <t>Yes</t>
  </si>
  <si>
    <t>No</t>
  </si>
  <si>
    <t>Should default local share include in-state or in-region manufacturing?</t>
  </si>
  <si>
    <t>Development Cost Information</t>
  </si>
  <si>
    <t>Development Cost ($/kW)</t>
  </si>
  <si>
    <t>WARNINGS</t>
  </si>
  <si>
    <t>Interpreter_Win</t>
  </si>
  <si>
    <t>%LOCALAPPDATA%\landbosse-runtime\pythonw.exe</t>
  </si>
  <si>
    <t>Interpreter_Mac</t>
  </si>
  <si>
    <t>$HOME/landbosse-runtime/bin/python</t>
  </si>
  <si>
    <t>PYTHONPATH</t>
  </si>
  <si>
    <t>Conda Path</t>
  </si>
  <si>
    <t>Conda Env</t>
  </si>
  <si>
    <t>UDF Modules</t>
  </si>
  <si>
    <t>Debug UDFs</t>
  </si>
  <si>
    <t>Use UDF Server</t>
  </si>
  <si>
    <t>Show Console</t>
  </si>
  <si>
    <t>Instructions:</t>
  </si>
  <si>
    <t>If you want to rely on the settings in the addin or an xlwings.conf file, you can delete this sheet.</t>
  </si>
  <si>
    <t>Rename this sheet to "xlwings.conf" to activate it (remove the leading underscore).  The settings have to start in cell A1.</t>
  </si>
  <si>
    <t>When activated, these settings override the settings in the addin (.xlwings/xlwings.conf file in the user directory) and xlwings.conf in the same directory as this Excel file.</t>
  </si>
  <si>
    <t>If you delete a row from here, it will fall back to the first non-empty value xlwings finds in an xlwings.conf file and otherwise use the default values.</t>
  </si>
  <si>
    <t>Optional</t>
  </si>
  <si>
    <t>ARIZONA</t>
  </si>
  <si>
    <t>CALIFORNIA</t>
  </si>
  <si>
    <t>COLORADO</t>
  </si>
  <si>
    <t>VIRGINIA</t>
  </si>
  <si>
    <t>**You must click the "Proceed to Step 3" button to generate accurate equipment cost estimates**</t>
  </si>
  <si>
    <t>**You must click the "Proceed to Step 2" button to run LandBOSSE anytime changes are made to this page.**</t>
  </si>
  <si>
    <t xml:space="preserve">The most current version of the JEDI model is available on the Department of Energy web site at https://www.nrel.gov/analysis/jedi/wind.html. </t>
  </si>
  <si>
    <t>Here you will select to download the Land-Based Wind JEDI model for MacOS or Windows. The model will download as a .zip folder. For complete installation instructions, please</t>
  </si>
  <si>
    <t>refer to the Installation and Use Guide.pdf that can also be found on the website.</t>
  </si>
  <si>
    <t>Release Number: W10.30.2020</t>
  </si>
  <si>
    <t xml:space="preserve">Yes, for updates about new versions of the JEDI model, please email JEDIsupport@nrel.gov and state the type of updates you would like to receive. </t>
  </si>
  <si>
    <t>To view and/or download JEDI related publications please visit the JEDI page of the NREL website at https://www.nrel.gov/analysis/jedi/wind.html.</t>
  </si>
  <si>
    <t>Yes, technical support is available by contacting JEDIsupport@nrel.gov. From here, you will be directed to the best contact to help you with the model.</t>
  </si>
  <si>
    <t>Please WAIT until LANDBOSSE has completed running and Excel no longer says "Running…" at the bottom left hand corner (Windows users may see a spinning cursor.) This will allow the costs below to recalculate based on your inputs on Step 1.</t>
  </si>
  <si>
    <t>Where can I get more information on NREL's LandBOSSE Balance of System Cost Model?</t>
  </si>
  <si>
    <t>For more information about the LandBOSSE model, please visit https://www.nrel.gov/docs/fy19osti/72201.pdf, or for the GITHUB link, visit https://github.com/WISDEM/LandBOSSE.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</si>
</sst>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5" formatCode="&quot;$&quot;#,##0_);\(&quot;$&quot;#,##0\)"/>
    <numFmt numFmtId="7" formatCode="&quot;$&quot;#,##0.00_);\(&quot;$&quot;#,##0.00\)"/>
    <numFmt numFmtId="8" formatCode="&quot;$&quot;#,##0.00_);[Red]\(&quot;$&quot;#,##0.00\)"/>
    <numFmt numFmtId="44" formatCode="_(&quot;$&quot;* #,##0.00_);_(&quot;$&quot;* \(#,##0.00\);_(&quot;$&quot;* &quot;-&quot;??_);_(@_)"/>
    <numFmt numFmtId="43" formatCode="_(* #,##0.00_);_(* \(#,##0.00\);_(* &quot;-&quot;??_);_(@_)"/>
    <numFmt numFmtId="164" formatCode="0.0"/>
    <numFmt numFmtId="165" formatCode="&quot;$&quot;#,##0"/>
    <numFmt numFmtId="166" formatCode="#,##0.0"/>
    <numFmt numFmtId="167" formatCode="&quot;$&quot;#,##0.0"/>
    <numFmt numFmtId="168" formatCode="0.000"/>
    <numFmt numFmtId="169" formatCode="&quot;$&quot;#,##0.00"/>
    <numFmt numFmtId="170" formatCode="&quot;$&quot;#,##0.000"/>
    <numFmt numFmtId="171" formatCode="0.0%"/>
    <numFmt numFmtId="172" formatCode="0.0000"/>
    <numFmt numFmtId="173" formatCode="&quot;$&quot;#,##0.0000"/>
    <numFmt numFmtId="174" formatCode="_(&quot;$&quot;* #,##0_);_(&quot;$&quot;* \(#,##0\);_(&quot;$&quot;* &quot;-&quot;??_);_(@_)"/>
    <numFmt numFmtId="175" formatCode="_(* #,##0_);_(* \(#,##0\);_(* &quot;-&quot;??_);_(@_)"/>
    <numFmt numFmtId="176" formatCode="0.000%"/>
    <numFmt numFmtId="177" formatCode="_(* #,##0.0000_);_(* \(#,##0.0000\);_(* &quot;-&quot;??_);_(@_)"/>
    <numFmt numFmtId="178" formatCode="0.000000"/>
    <numFmt numFmtId="179" formatCode="0.00000"/>
    <numFmt numFmtId="180" formatCode="#,##0.0000"/>
  </numFmts>
  <fonts count="107" x14ac:knownFonts="1">
    <font>
      <sz val="10"/>
      <name val="Arial"/>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0"/>
      <name val="Arial"/>
      <family val="2"/>
    </font>
    <font>
      <b/>
      <sz val="10"/>
      <name val="Arial"/>
      <family val="2"/>
    </font>
    <font>
      <b/>
      <sz val="20"/>
      <name val="Arial"/>
      <family val="2"/>
    </font>
    <font>
      <sz val="10"/>
      <name val="Arial"/>
      <family val="2"/>
    </font>
    <font>
      <b/>
      <sz val="11"/>
      <name val="Arial"/>
      <family val="2"/>
    </font>
    <font>
      <b/>
      <sz val="12"/>
      <name val="Arial"/>
      <family val="2"/>
    </font>
    <font>
      <sz val="10"/>
      <name val="Arial Unicode MS"/>
      <family val="2"/>
    </font>
    <font>
      <u/>
      <sz val="10"/>
      <color indexed="12"/>
      <name val="Arial"/>
      <family val="2"/>
    </font>
    <font>
      <b/>
      <sz val="10"/>
      <name val="Arial Unicode MS"/>
      <family val="2"/>
    </font>
    <font>
      <sz val="8"/>
      <color indexed="81"/>
      <name val="Tahoma"/>
      <family val="2"/>
    </font>
    <font>
      <b/>
      <sz val="8"/>
      <color indexed="81"/>
      <name val="Tahoma"/>
      <family val="2"/>
    </font>
    <font>
      <b/>
      <sz val="8"/>
      <color indexed="10"/>
      <name val="Tahoma"/>
      <family val="2"/>
    </font>
    <font>
      <b/>
      <sz val="10"/>
      <color indexed="10"/>
      <name val="Arial"/>
      <family val="2"/>
    </font>
    <font>
      <sz val="8"/>
      <name val="Arial"/>
      <family val="2"/>
    </font>
    <font>
      <sz val="6"/>
      <name val="Arial"/>
      <family val="2"/>
    </font>
    <font>
      <b/>
      <sz val="9"/>
      <name val="Arial"/>
      <family val="2"/>
    </font>
    <font>
      <b/>
      <sz val="14"/>
      <name val="Arial"/>
      <family val="2"/>
    </font>
    <font>
      <sz val="10"/>
      <color indexed="10"/>
      <name val="Arial"/>
      <family val="2"/>
    </font>
    <font>
      <b/>
      <sz val="48"/>
      <name val="Arial"/>
      <family val="2"/>
    </font>
    <font>
      <b/>
      <sz val="18"/>
      <name val="Arial"/>
      <family val="2"/>
    </font>
    <font>
      <b/>
      <sz val="16"/>
      <name val="Arial"/>
      <family val="2"/>
    </font>
    <font>
      <i/>
      <sz val="10"/>
      <name val="Arial"/>
      <family val="2"/>
    </font>
    <font>
      <b/>
      <i/>
      <sz val="18"/>
      <name val="Arial"/>
      <family val="2"/>
    </font>
    <font>
      <sz val="10"/>
      <color indexed="12"/>
      <name val="Arial"/>
      <family val="2"/>
    </font>
    <font>
      <b/>
      <i/>
      <sz val="10"/>
      <name val="Arial"/>
      <family val="2"/>
    </font>
    <font>
      <sz val="10"/>
      <color indexed="9"/>
      <name val="Arial"/>
      <family val="2"/>
    </font>
    <font>
      <sz val="12"/>
      <name val="Times New Roman"/>
      <family val="1"/>
    </font>
    <font>
      <b/>
      <sz val="18"/>
      <color indexed="10"/>
      <name val="Arial"/>
      <family val="2"/>
    </font>
    <font>
      <b/>
      <sz val="12"/>
      <color indexed="10"/>
      <name val="Arial"/>
      <family val="2"/>
    </font>
    <font>
      <sz val="12"/>
      <name val="Arial"/>
      <family val="2"/>
    </font>
    <font>
      <sz val="10"/>
      <color indexed="8"/>
      <name val="Times New Roman"/>
      <family val="1"/>
    </font>
    <font>
      <b/>
      <i/>
      <sz val="9"/>
      <name val="Arial"/>
      <family val="2"/>
    </font>
    <font>
      <sz val="12"/>
      <name val="Times New Roman"/>
      <family val="1"/>
    </font>
    <font>
      <sz val="11"/>
      <name val="Arial"/>
      <family val="2"/>
    </font>
    <font>
      <b/>
      <sz val="10"/>
      <color indexed="53"/>
      <name val="Arial"/>
      <family val="2"/>
    </font>
    <font>
      <b/>
      <sz val="9"/>
      <color indexed="10"/>
      <name val="Arial"/>
      <family val="2"/>
    </font>
    <font>
      <b/>
      <i/>
      <sz val="10"/>
      <color indexed="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22"/>
      <color indexed="10"/>
      <name val="Arial"/>
      <family val="2"/>
    </font>
    <font>
      <b/>
      <sz val="14"/>
      <color rgb="FF000000"/>
      <name val="Arial"/>
      <family val="2"/>
    </font>
    <font>
      <sz val="14"/>
      <color rgb="FF000000"/>
      <name val="Arial"/>
      <family val="2"/>
    </font>
    <font>
      <sz val="10"/>
      <color rgb="FF000000"/>
      <name val="Arial"/>
      <family val="2"/>
    </font>
    <font>
      <sz val="11"/>
      <name val="Times New Roman"/>
      <family val="1"/>
    </font>
    <font>
      <sz val="11"/>
      <color indexed="12"/>
      <name val="Times New Roman"/>
      <family val="1"/>
    </font>
    <font>
      <u/>
      <sz val="11"/>
      <color indexed="12"/>
      <name val="Arial"/>
      <family val="2"/>
    </font>
    <font>
      <sz val="9"/>
      <color indexed="12"/>
      <name val="Arial"/>
      <family val="2"/>
    </font>
    <font>
      <sz val="9"/>
      <name val="Arial"/>
      <family val="2"/>
    </font>
    <font>
      <i/>
      <sz val="9"/>
      <name val="Arial"/>
      <family val="2"/>
    </font>
    <font>
      <sz val="12"/>
      <color indexed="12"/>
      <name val="Times New Roman"/>
      <family val="1"/>
    </font>
    <font>
      <u/>
      <sz val="12"/>
      <color indexed="12"/>
      <name val="Arial"/>
      <family val="2"/>
    </font>
    <font>
      <sz val="9"/>
      <color indexed="81"/>
      <name val="Tahoma"/>
      <family val="2"/>
    </font>
    <font>
      <b/>
      <sz val="9"/>
      <color indexed="81"/>
      <name val="Tahoma"/>
      <family val="2"/>
    </font>
    <font>
      <b/>
      <sz val="10"/>
      <color rgb="FFFF0000"/>
      <name val="Arial"/>
      <family val="2"/>
    </font>
    <font>
      <b/>
      <sz val="8"/>
      <color rgb="FF000000"/>
      <name val="Tahoma"/>
      <family val="2"/>
    </font>
    <font>
      <sz val="8"/>
      <color rgb="FF000000"/>
      <name val="Tahoma"/>
      <family val="2"/>
    </font>
    <font>
      <sz val="9"/>
      <color rgb="FF000000"/>
      <name val="Tahoma"/>
      <family val="2"/>
    </font>
    <font>
      <b/>
      <sz val="9"/>
      <color rgb="FF000000"/>
      <name val="Tahoma"/>
      <family val="2"/>
    </font>
    <font>
      <b/>
      <sz val="8"/>
      <color rgb="FFFF0000"/>
      <name val="Tahoma"/>
      <family val="2"/>
    </font>
    <font>
      <b/>
      <sz val="16"/>
      <color rgb="FF000000"/>
      <name val="Calibri"/>
      <family val="2"/>
    </font>
    <font>
      <sz val="11"/>
      <color theme="1"/>
      <name val="Calibri"/>
      <family val="2"/>
      <scheme val="minor"/>
    </font>
    <font>
      <b/>
      <sz val="20"/>
      <color theme="1"/>
      <name val="Calibri"/>
      <family val="2"/>
      <scheme val="minor"/>
    </font>
    <font>
      <b/>
      <sz val="11"/>
      <color theme="1"/>
      <name val="Calibri"/>
      <family val="2"/>
      <scheme val="minor"/>
    </font>
    <font>
      <b/>
      <sz val="16"/>
      <color theme="1"/>
      <name val="Calibri"/>
      <family val="2"/>
      <scheme val="minor"/>
    </font>
    <font>
      <b/>
      <sz val="8"/>
      <color theme="1"/>
      <name val="Calibri"/>
      <family val="2"/>
      <scheme val="minor"/>
    </font>
    <font>
      <b/>
      <i/>
      <sz val="8"/>
      <color rgb="FFFF0000"/>
      <name val="Tahoma"/>
      <family val="2"/>
    </font>
    <font>
      <b/>
      <sz val="14"/>
      <color theme="1"/>
      <name val="Calibri"/>
      <family val="2"/>
      <scheme val="minor"/>
    </font>
    <font>
      <u/>
      <sz val="11"/>
      <color theme="10"/>
      <name val="Calibri"/>
      <family val="2"/>
      <scheme val="minor"/>
    </font>
    <font>
      <sz val="12"/>
      <color rgb="FF000000"/>
      <name val="Calibri"/>
      <family val="2"/>
      <scheme val="minor"/>
    </font>
    <font>
      <sz val="14"/>
      <name val="Arial"/>
      <family val="2"/>
    </font>
    <font>
      <b/>
      <sz val="10"/>
      <color rgb="FF000000"/>
      <name val="Tahoma"/>
      <family val="2"/>
    </font>
    <font>
      <sz val="11"/>
      <color rgb="FFFF0000"/>
      <name val="Calibri"/>
      <family val="2"/>
      <scheme val="minor"/>
    </font>
    <font>
      <b/>
      <sz val="12"/>
      <color theme="1"/>
      <name val="Calibri"/>
      <family val="2"/>
      <scheme val="minor"/>
    </font>
    <font>
      <sz val="14"/>
      <color theme="1"/>
      <name val="Calibri"/>
      <family val="2"/>
      <scheme val="minor"/>
    </font>
    <font>
      <sz val="12"/>
      <name val="Calibri"/>
      <family val="2"/>
      <scheme val="minor"/>
    </font>
    <font>
      <b/>
      <sz val="14"/>
      <color rgb="FF000000"/>
      <name val="Calibri"/>
      <family val="2"/>
    </font>
    <font>
      <sz val="12"/>
      <color rgb="FF000000"/>
      <name val="Calibri"/>
      <family val="2"/>
    </font>
    <font>
      <b/>
      <sz val="10"/>
      <color theme="0" tint="-0.499984740745262"/>
      <name val="Arial"/>
      <family val="2"/>
    </font>
    <font>
      <b/>
      <sz val="10"/>
      <color indexed="8"/>
      <name val="Helvetica Neue"/>
      <family val="2"/>
    </font>
    <font>
      <sz val="10"/>
      <color indexed="8"/>
      <name val="Helvetica Neue"/>
      <family val="2"/>
    </font>
    <font>
      <sz val="11"/>
      <color rgb="FF000000"/>
      <name val="Calibri"/>
      <family val="2"/>
    </font>
    <font>
      <sz val="14"/>
      <color rgb="FF000000"/>
      <name val="Courier New"/>
      <family val="1"/>
    </font>
    <font>
      <b/>
      <sz val="11"/>
      <color theme="0"/>
      <name val="Calibri"/>
      <family val="2"/>
      <scheme val="minor"/>
    </font>
    <font>
      <b/>
      <sz val="12"/>
      <color theme="0"/>
      <name val="Calibri"/>
      <family val="2"/>
      <scheme val="minor"/>
    </font>
    <font>
      <b/>
      <sz val="12"/>
      <color rgb="FFFF0000"/>
      <name val="Calibri"/>
      <family val="2"/>
      <scheme val="minor"/>
    </font>
  </fonts>
  <fills count="4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5"/>
        <bgColor indexed="64"/>
      </patternFill>
    </fill>
    <fill>
      <patternFill patternType="solid">
        <fgColor indexed="35"/>
        <bgColor indexed="64"/>
      </patternFill>
    </fill>
    <fill>
      <patternFill patternType="solid">
        <fgColor indexed="13"/>
        <bgColor indexed="64"/>
      </patternFill>
    </fill>
    <fill>
      <patternFill patternType="solid">
        <fgColor indexed="9"/>
        <bgColor indexed="64"/>
      </patternFill>
    </fill>
    <fill>
      <patternFill patternType="solid">
        <fgColor rgb="FF00FFFF"/>
        <bgColor indexed="64"/>
      </patternFill>
    </fill>
    <fill>
      <patternFill patternType="solid">
        <fgColor theme="0"/>
        <bgColor indexed="64"/>
      </patternFill>
    </fill>
    <fill>
      <patternFill patternType="solid">
        <fgColor rgb="FFFFFF00"/>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rgb="FF92D050"/>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8"/>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FCF6F5"/>
        <bgColor indexed="64"/>
      </patternFill>
    </fill>
    <fill>
      <patternFill patternType="solid">
        <fgColor theme="7" tint="0.79998168889431442"/>
        <bgColor indexed="64"/>
      </patternFill>
    </fill>
    <fill>
      <patternFill patternType="solid">
        <fgColor theme="4" tint="0.59999389629810485"/>
        <bgColor indexed="64"/>
      </patternFill>
    </fill>
    <fill>
      <patternFill patternType="solid">
        <fgColor rgb="FFFF0000"/>
        <bgColor indexed="64"/>
      </patternFill>
    </fill>
  </fills>
  <borders count="4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diagonal/>
    </border>
    <border>
      <left style="medium">
        <color theme="8"/>
      </left>
      <right style="medium">
        <color theme="8"/>
      </right>
      <top style="medium">
        <color theme="8"/>
      </top>
      <bottom/>
      <diagonal/>
    </border>
    <border>
      <left style="medium">
        <color theme="8"/>
      </left>
      <right style="medium">
        <color theme="8"/>
      </right>
      <top/>
      <bottom/>
      <diagonal/>
    </border>
    <border>
      <left style="medium">
        <color theme="8"/>
      </left>
      <right style="medium">
        <color theme="8"/>
      </right>
      <top/>
      <bottom style="medium">
        <color theme="8"/>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indexed="64"/>
      </top>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s>
  <cellStyleXfs count="54">
    <xf numFmtId="178" fontId="0" fillId="0" borderId="0">
      <alignment horizontal="left" wrapText="1"/>
    </xf>
    <xf numFmtId="0" fontId="44" fillId="2" borderId="0" applyNumberFormat="0" applyBorder="0" applyAlignment="0" applyProtection="0"/>
    <xf numFmtId="0" fontId="44" fillId="3" borderId="0" applyNumberFormat="0" applyBorder="0" applyAlignment="0" applyProtection="0"/>
    <xf numFmtId="0" fontId="44" fillId="4" borderId="0" applyNumberFormat="0" applyBorder="0" applyAlignment="0" applyProtection="0"/>
    <xf numFmtId="0" fontId="44" fillId="5" borderId="0" applyNumberFormat="0" applyBorder="0" applyAlignment="0" applyProtection="0"/>
    <xf numFmtId="0" fontId="44" fillId="6" borderId="0" applyNumberFormat="0" applyBorder="0" applyAlignment="0" applyProtection="0"/>
    <xf numFmtId="0" fontId="44" fillId="7" borderId="0" applyNumberFormat="0" applyBorder="0" applyAlignment="0" applyProtection="0"/>
    <xf numFmtId="0" fontId="44" fillId="8" borderId="0" applyNumberFormat="0" applyBorder="0" applyAlignment="0" applyProtection="0"/>
    <xf numFmtId="0" fontId="44" fillId="9" borderId="0" applyNumberFormat="0" applyBorder="0" applyAlignment="0" applyProtection="0"/>
    <xf numFmtId="0" fontId="44" fillId="10" borderId="0" applyNumberFormat="0" applyBorder="0" applyAlignment="0" applyProtection="0"/>
    <xf numFmtId="0" fontId="44" fillId="5" borderId="0" applyNumberFormat="0" applyBorder="0" applyAlignment="0" applyProtection="0"/>
    <xf numFmtId="0" fontId="44" fillId="8" borderId="0" applyNumberFormat="0" applyBorder="0" applyAlignment="0" applyProtection="0"/>
    <xf numFmtId="0" fontId="44" fillId="11" borderId="0" applyNumberFormat="0" applyBorder="0" applyAlignment="0" applyProtection="0"/>
    <xf numFmtId="0" fontId="45" fillId="12" borderId="0" applyNumberFormat="0" applyBorder="0" applyAlignment="0" applyProtection="0"/>
    <xf numFmtId="0" fontId="45" fillId="9" borderId="0" applyNumberFormat="0" applyBorder="0" applyAlignment="0" applyProtection="0"/>
    <xf numFmtId="0" fontId="45" fillId="10" borderId="0" applyNumberFormat="0" applyBorder="0" applyAlignment="0" applyProtection="0"/>
    <xf numFmtId="0" fontId="45" fillId="13" borderId="0" applyNumberFormat="0" applyBorder="0" applyAlignment="0" applyProtection="0"/>
    <xf numFmtId="0" fontId="45" fillId="14" borderId="0" applyNumberFormat="0" applyBorder="0" applyAlignment="0" applyProtection="0"/>
    <xf numFmtId="0" fontId="45" fillId="15" borderId="0" applyNumberFormat="0" applyBorder="0" applyAlignment="0" applyProtection="0"/>
    <xf numFmtId="0" fontId="45" fillId="16" borderId="0" applyNumberFormat="0" applyBorder="0" applyAlignment="0" applyProtection="0"/>
    <xf numFmtId="0" fontId="45" fillId="17" borderId="0" applyNumberFormat="0" applyBorder="0" applyAlignment="0" applyProtection="0"/>
    <xf numFmtId="0" fontId="45" fillId="18" borderId="0" applyNumberFormat="0" applyBorder="0" applyAlignment="0" applyProtection="0"/>
    <xf numFmtId="0" fontId="45" fillId="13" borderId="0" applyNumberFormat="0" applyBorder="0" applyAlignment="0" applyProtection="0"/>
    <xf numFmtId="0" fontId="45" fillId="14" borderId="0" applyNumberFormat="0" applyBorder="0" applyAlignment="0" applyProtection="0"/>
    <xf numFmtId="0" fontId="45" fillId="19" borderId="0" applyNumberFormat="0" applyBorder="0" applyAlignment="0" applyProtection="0"/>
    <xf numFmtId="0" fontId="46" fillId="3" borderId="0" applyNumberFormat="0" applyBorder="0" applyAlignment="0" applyProtection="0"/>
    <xf numFmtId="0" fontId="47" fillId="20" borderId="1" applyNumberFormat="0" applyAlignment="0" applyProtection="0"/>
    <xf numFmtId="0" fontId="48" fillId="21" borderId="2" applyNumberFormat="0" applyAlignment="0" applyProtection="0"/>
    <xf numFmtId="43" fontId="7" fillId="0" borderId="0" applyFont="0" applyFill="0" applyBorder="0" applyAlignment="0" applyProtection="0"/>
    <xf numFmtId="44" fontId="7" fillId="0" borderId="0" applyFont="0" applyFill="0" applyBorder="0" applyAlignment="0" applyProtection="0"/>
    <xf numFmtId="0" fontId="49" fillId="0" borderId="0" applyNumberFormat="0" applyFill="0" applyBorder="0" applyAlignment="0" applyProtection="0"/>
    <xf numFmtId="0" fontId="50" fillId="4" borderId="0" applyNumberFormat="0" applyBorder="0" applyAlignment="0" applyProtection="0"/>
    <xf numFmtId="0" fontId="51" fillId="0" borderId="3" applyNumberFormat="0" applyFill="0" applyAlignment="0" applyProtection="0"/>
    <xf numFmtId="0" fontId="52" fillId="0" borderId="4" applyNumberFormat="0" applyFill="0" applyAlignment="0" applyProtection="0"/>
    <xf numFmtId="0" fontId="53" fillId="0" borderId="5" applyNumberFormat="0" applyFill="0" applyAlignment="0" applyProtection="0"/>
    <xf numFmtId="0" fontId="53" fillId="0" borderId="0" applyNumberFormat="0" applyFill="0" applyBorder="0" applyAlignment="0" applyProtection="0"/>
    <xf numFmtId="0" fontId="14" fillId="0" borderId="0" applyNumberFormat="0" applyFill="0" applyBorder="0" applyAlignment="0" applyProtection="0">
      <alignment vertical="top"/>
      <protection locked="0"/>
    </xf>
    <xf numFmtId="0" fontId="54" fillId="7" borderId="1" applyNumberFormat="0" applyAlignment="0" applyProtection="0"/>
    <xf numFmtId="0" fontId="55" fillId="0" borderId="6" applyNumberFormat="0" applyFill="0" applyAlignment="0" applyProtection="0"/>
    <xf numFmtId="0" fontId="56" fillId="22" borderId="0" applyNumberFormat="0" applyBorder="0" applyAlignment="0" applyProtection="0"/>
    <xf numFmtId="178" fontId="7" fillId="0" borderId="0">
      <alignment horizontal="left" wrapText="1"/>
    </xf>
    <xf numFmtId="0" fontId="10" fillId="23" borderId="7" applyNumberFormat="0" applyFont="0" applyAlignment="0" applyProtection="0"/>
    <xf numFmtId="0" fontId="57" fillId="20" borderId="8" applyNumberFormat="0" applyAlignment="0" applyProtection="0"/>
    <xf numFmtId="9" fontId="7" fillId="0" borderId="0" applyFont="0" applyFill="0" applyBorder="0" applyAlignment="0" applyProtection="0"/>
    <xf numFmtId="0" fontId="58" fillId="0" borderId="0" applyNumberFormat="0" applyFill="0" applyBorder="0" applyAlignment="0" applyProtection="0"/>
    <xf numFmtId="0" fontId="59" fillId="0" borderId="9" applyNumberFormat="0" applyFill="0" applyAlignment="0" applyProtection="0"/>
    <xf numFmtId="0" fontId="60" fillId="0" borderId="0" applyNumberFormat="0" applyFill="0" applyBorder="0" applyAlignment="0" applyProtection="0"/>
    <xf numFmtId="167" fontId="10" fillId="0" borderId="0">
      <alignment horizontal="left" wrapText="1"/>
    </xf>
    <xf numFmtId="178" fontId="7" fillId="0" borderId="0">
      <alignment horizontal="left" wrapText="1"/>
    </xf>
    <xf numFmtId="0" fontId="82" fillId="0" borderId="0"/>
    <xf numFmtId="44" fontId="82" fillId="0" borderId="0" applyFont="0" applyFill="0" applyBorder="0" applyAlignment="0" applyProtection="0"/>
    <xf numFmtId="9" fontId="82" fillId="0" borderId="0" applyFont="0" applyFill="0" applyBorder="0" applyAlignment="0" applyProtection="0"/>
    <xf numFmtId="0" fontId="6" fillId="0" borderId="0"/>
    <xf numFmtId="0" fontId="89" fillId="0" borderId="0" applyNumberFormat="0" applyFill="0" applyBorder="0" applyAlignment="0" applyProtection="0"/>
  </cellStyleXfs>
  <cellXfs count="728">
    <xf numFmtId="1" fontId="0" fillId="0" borderId="0" xfId="0" applyNumberFormat="1" applyAlignment="1"/>
    <xf numFmtId="1" fontId="8" fillId="0" borderId="0" xfId="0" applyNumberFormat="1" applyFont="1" applyAlignment="1"/>
    <xf numFmtId="1" fontId="10" fillId="0" borderId="0" xfId="0" applyNumberFormat="1" applyFont="1" applyAlignment="1" applyProtection="1"/>
    <xf numFmtId="1" fontId="11" fillId="0" borderId="0" xfId="0" applyNumberFormat="1" applyFont="1" applyAlignment="1"/>
    <xf numFmtId="1" fontId="11" fillId="0" borderId="0" xfId="0" applyNumberFormat="1" applyFont="1" applyAlignment="1" applyProtection="1"/>
    <xf numFmtId="1" fontId="13" fillId="0" borderId="0" xfId="0" applyNumberFormat="1" applyFont="1" applyAlignment="1">
      <alignment horizontal="center" vertical="top" wrapText="1"/>
    </xf>
    <xf numFmtId="1" fontId="13" fillId="0" borderId="0" xfId="0" applyNumberFormat="1" applyFont="1" applyAlignment="1">
      <alignment horizontal="left" vertical="top" wrapText="1"/>
    </xf>
    <xf numFmtId="9" fontId="0" fillId="0" borderId="0" xfId="0" applyNumberFormat="1" applyAlignment="1"/>
    <xf numFmtId="165" fontId="0" fillId="0" borderId="0" xfId="0" applyNumberFormat="1" applyAlignment="1"/>
    <xf numFmtId="167" fontId="0" fillId="0" borderId="0" xfId="0" applyNumberFormat="1" applyAlignment="1"/>
    <xf numFmtId="1" fontId="0" fillId="0" borderId="0" xfId="0" applyNumberFormat="1" applyAlignment="1">
      <alignment horizontal="center"/>
    </xf>
    <xf numFmtId="1" fontId="8" fillId="0" borderId="0" xfId="0" applyNumberFormat="1" applyFont="1" applyAlignment="1">
      <alignment horizontal="center"/>
    </xf>
    <xf numFmtId="3" fontId="0" fillId="0" borderId="0" xfId="0" applyNumberFormat="1" applyAlignment="1"/>
    <xf numFmtId="1" fontId="10" fillId="0" borderId="0" xfId="0" applyNumberFormat="1" applyFont="1" applyAlignment="1"/>
    <xf numFmtId="2" fontId="0" fillId="0" borderId="0" xfId="0" applyNumberFormat="1" applyAlignment="1"/>
    <xf numFmtId="9" fontId="0" fillId="0" borderId="0" xfId="0" applyNumberFormat="1" applyAlignment="1">
      <alignment horizontal="center"/>
    </xf>
    <xf numFmtId="168" fontId="0" fillId="0" borderId="0" xfId="0" applyNumberFormat="1" applyAlignment="1">
      <alignment horizontal="center"/>
    </xf>
    <xf numFmtId="1" fontId="8" fillId="0" borderId="0" xfId="0" quotePrefix="1" applyNumberFormat="1" applyFont="1" applyAlignment="1">
      <alignment horizontal="left"/>
    </xf>
    <xf numFmtId="170" fontId="0" fillId="0" borderId="0" xfId="0" applyNumberFormat="1" applyAlignment="1"/>
    <xf numFmtId="1" fontId="0" fillId="0" borderId="0" xfId="0" quotePrefix="1" applyNumberFormat="1" applyAlignment="1">
      <alignment horizontal="center"/>
    </xf>
    <xf numFmtId="169" fontId="0" fillId="0" borderId="0" xfId="0" applyNumberFormat="1" applyAlignment="1"/>
    <xf numFmtId="166" fontId="0" fillId="0" borderId="0" xfId="0" applyNumberFormat="1" applyAlignment="1"/>
    <xf numFmtId="164" fontId="0" fillId="0" borderId="0" xfId="0" applyNumberFormat="1" applyAlignment="1"/>
    <xf numFmtId="1" fontId="0" fillId="0" borderId="0" xfId="0" applyNumberFormat="1" applyAlignment="1" applyProtection="1"/>
    <xf numFmtId="1" fontId="0" fillId="0" borderId="0" xfId="0" quotePrefix="1" applyNumberFormat="1" applyAlignment="1">
      <alignment horizontal="left"/>
    </xf>
    <xf numFmtId="1" fontId="0" fillId="0" borderId="0" xfId="0" applyNumberFormat="1" applyAlignment="1">
      <alignment horizontal="right"/>
    </xf>
    <xf numFmtId="2" fontId="0" fillId="0" borderId="0" xfId="0" applyNumberFormat="1" applyAlignment="1">
      <alignment horizontal="left"/>
    </xf>
    <xf numFmtId="1" fontId="0" fillId="0" borderId="0" xfId="0" quotePrefix="1" applyNumberFormat="1" applyAlignment="1">
      <alignment horizontal="right"/>
    </xf>
    <xf numFmtId="2" fontId="0" fillId="0" borderId="0" xfId="0" applyNumberFormat="1" applyAlignment="1">
      <alignment horizontal="center"/>
    </xf>
    <xf numFmtId="1" fontId="11" fillId="0" borderId="0" xfId="0" quotePrefix="1" applyNumberFormat="1" applyFont="1" applyAlignment="1" applyProtection="1">
      <alignment horizontal="left"/>
    </xf>
    <xf numFmtId="1" fontId="8" fillId="0" borderId="0" xfId="0" applyNumberFormat="1" applyFont="1" applyAlignment="1">
      <alignment horizontal="left"/>
    </xf>
    <xf numFmtId="1" fontId="0" fillId="0" borderId="0" xfId="0" applyNumberFormat="1" applyAlignment="1">
      <alignment horizontal="left"/>
    </xf>
    <xf numFmtId="1" fontId="10" fillId="0" borderId="0" xfId="0" applyNumberFormat="1" applyFont="1" applyAlignment="1">
      <alignment horizontal="center"/>
    </xf>
    <xf numFmtId="1" fontId="10" fillId="0" borderId="0" xfId="0" quotePrefix="1" applyNumberFormat="1" applyFont="1" applyAlignment="1" applyProtection="1">
      <alignment horizontal="left"/>
    </xf>
    <xf numFmtId="4" fontId="0" fillId="0" borderId="0" xfId="0" applyNumberFormat="1" applyAlignment="1"/>
    <xf numFmtId="1" fontId="10" fillId="0" borderId="0" xfId="0" applyNumberFormat="1" applyFont="1" applyAlignment="1" applyProtection="1">
      <alignment horizontal="left"/>
    </xf>
    <xf numFmtId="170" fontId="10" fillId="0" borderId="0" xfId="0" applyNumberFormat="1" applyFont="1" applyAlignment="1">
      <alignment horizontal="center"/>
    </xf>
    <xf numFmtId="1" fontId="13" fillId="0" borderId="0" xfId="0" quotePrefix="1" applyNumberFormat="1" applyFont="1" applyAlignment="1">
      <alignment horizontal="left" vertical="top" wrapText="1"/>
    </xf>
    <xf numFmtId="168" fontId="0" fillId="0" borderId="0" xfId="0" applyNumberFormat="1" applyAlignment="1"/>
    <xf numFmtId="1" fontId="0" fillId="24" borderId="0" xfId="0" applyNumberFormat="1" applyFill="1" applyAlignment="1"/>
    <xf numFmtId="9" fontId="0" fillId="0" borderId="0" xfId="0" applyNumberFormat="1" applyFill="1" applyAlignment="1" applyProtection="1">
      <alignment horizontal="center"/>
      <protection locked="0"/>
    </xf>
    <xf numFmtId="165" fontId="0" fillId="0" borderId="0" xfId="0" applyNumberFormat="1" applyFill="1" applyAlignment="1" applyProtection="1">
      <protection locked="0"/>
    </xf>
    <xf numFmtId="172" fontId="0" fillId="0" borderId="0" xfId="0" applyNumberFormat="1" applyAlignment="1"/>
    <xf numFmtId="168" fontId="10" fillId="0" borderId="0" xfId="0" applyNumberFormat="1" applyFont="1" applyAlignment="1">
      <alignment horizontal="center"/>
    </xf>
    <xf numFmtId="173" fontId="0" fillId="0" borderId="0" xfId="0" applyNumberFormat="1" applyAlignment="1">
      <alignment horizontal="center"/>
    </xf>
    <xf numFmtId="165" fontId="0" fillId="0" borderId="0" xfId="0" applyNumberFormat="1" applyAlignment="1">
      <alignment horizontal="center"/>
    </xf>
    <xf numFmtId="1" fontId="12" fillId="0" borderId="0" xfId="0" quotePrefix="1" applyNumberFormat="1" applyFont="1" applyAlignment="1" applyProtection="1">
      <alignment horizontal="left"/>
    </xf>
    <xf numFmtId="1" fontId="12" fillId="0" borderId="0" xfId="0" quotePrefix="1" applyNumberFormat="1" applyFont="1" applyAlignment="1">
      <alignment horizontal="left"/>
    </xf>
    <xf numFmtId="1" fontId="12" fillId="0" borderId="0" xfId="0" applyNumberFormat="1" applyFont="1" applyAlignment="1" applyProtection="1"/>
    <xf numFmtId="1" fontId="8" fillId="0" borderId="0" xfId="0" applyNumberFormat="1" applyFont="1" applyFill="1" applyAlignment="1"/>
    <xf numFmtId="171" fontId="0" fillId="0" borderId="0" xfId="0" applyNumberFormat="1" applyAlignment="1">
      <alignment horizontal="center"/>
    </xf>
    <xf numFmtId="164" fontId="10" fillId="0" borderId="0" xfId="0" applyNumberFormat="1" applyFont="1" applyAlignment="1">
      <alignment horizontal="center"/>
    </xf>
    <xf numFmtId="2" fontId="10" fillId="0" borderId="0" xfId="0" applyNumberFormat="1" applyFont="1" applyAlignment="1">
      <alignment horizontal="center"/>
    </xf>
    <xf numFmtId="170" fontId="0" fillId="0" borderId="0" xfId="0" applyNumberFormat="1" applyAlignment="1">
      <alignment horizontal="center"/>
    </xf>
    <xf numFmtId="171" fontId="0" fillId="0" borderId="0" xfId="0" applyNumberFormat="1" applyAlignment="1"/>
    <xf numFmtId="1" fontId="12" fillId="0" borderId="0" xfId="0" applyNumberFormat="1" applyFont="1" applyAlignment="1"/>
    <xf numFmtId="174" fontId="0" fillId="0" borderId="0" xfId="29" applyNumberFormat="1" applyFont="1" applyAlignment="1">
      <alignment horizontal="center"/>
    </xf>
    <xf numFmtId="174" fontId="0" fillId="0" borderId="0" xfId="29" applyNumberFormat="1" applyFont="1"/>
    <xf numFmtId="9" fontId="0" fillId="0" borderId="0" xfId="43" applyFont="1"/>
    <xf numFmtId="1" fontId="10" fillId="0" borderId="0" xfId="0" quotePrefix="1" applyNumberFormat="1" applyFont="1" applyAlignment="1">
      <alignment horizontal="left"/>
    </xf>
    <xf numFmtId="5" fontId="0" fillId="0" borderId="0" xfId="29" applyNumberFormat="1" applyFont="1" applyAlignment="1">
      <alignment horizontal="right"/>
    </xf>
    <xf numFmtId="10" fontId="0" fillId="0" borderId="0" xfId="43" applyNumberFormat="1" applyFont="1"/>
    <xf numFmtId="1" fontId="10" fillId="0" borderId="0" xfId="0" applyNumberFormat="1" applyFont="1" applyAlignment="1">
      <alignment horizontal="left"/>
    </xf>
    <xf numFmtId="9" fontId="0" fillId="0" borderId="0" xfId="43" applyFont="1" applyAlignment="1">
      <alignment horizontal="center"/>
    </xf>
    <xf numFmtId="1" fontId="0" fillId="0" borderId="0" xfId="28" applyNumberFormat="1" applyFont="1" applyAlignment="1">
      <alignment horizontal="center"/>
    </xf>
    <xf numFmtId="1" fontId="11" fillId="0" borderId="0" xfId="0" applyNumberFormat="1" applyFont="1" applyFill="1" applyAlignment="1"/>
    <xf numFmtId="9" fontId="8" fillId="0" borderId="0" xfId="0" applyNumberFormat="1" applyFont="1" applyAlignment="1">
      <alignment horizontal="center"/>
    </xf>
    <xf numFmtId="7" fontId="0" fillId="0" borderId="0" xfId="29" applyNumberFormat="1" applyFont="1" applyAlignment="1">
      <alignment horizontal="center"/>
    </xf>
    <xf numFmtId="9" fontId="0" fillId="0" borderId="0" xfId="43" applyFont="1" applyAlignment="1">
      <alignment horizontal="right"/>
    </xf>
    <xf numFmtId="165" fontId="0" fillId="0" borderId="0" xfId="29" applyNumberFormat="1" applyFont="1"/>
    <xf numFmtId="176" fontId="0" fillId="0" borderId="0" xfId="43" applyNumberFormat="1" applyFont="1"/>
    <xf numFmtId="8" fontId="0" fillId="0" borderId="0" xfId="43" applyNumberFormat="1" applyFont="1"/>
    <xf numFmtId="3" fontId="0" fillId="0" borderId="0" xfId="0" applyNumberFormat="1" applyAlignment="1">
      <alignment horizontal="center"/>
    </xf>
    <xf numFmtId="7" fontId="0" fillId="0" borderId="0" xfId="29" applyNumberFormat="1" applyFont="1"/>
    <xf numFmtId="1" fontId="8" fillId="0" borderId="0" xfId="0" applyNumberFormat="1" applyFont="1" applyFill="1" applyAlignment="1">
      <alignment horizontal="left"/>
    </xf>
    <xf numFmtId="1" fontId="10" fillId="0" borderId="0" xfId="0" quotePrefix="1" applyNumberFormat="1" applyFont="1" applyFill="1" applyAlignment="1">
      <alignment horizontal="left"/>
    </xf>
    <xf numFmtId="1" fontId="8" fillId="0" borderId="0" xfId="0" quotePrefix="1" applyNumberFormat="1" applyFont="1" applyAlignment="1"/>
    <xf numFmtId="1" fontId="22" fillId="0" borderId="0" xfId="0" quotePrefix="1" applyNumberFormat="1" applyFont="1" applyAlignment="1">
      <alignment horizontal="left" vertical="top" wrapText="1"/>
    </xf>
    <xf numFmtId="1" fontId="22" fillId="0" borderId="0" xfId="0" quotePrefix="1" applyNumberFormat="1" applyFont="1" applyAlignment="1">
      <alignment horizontal="center" vertical="top" wrapText="1"/>
    </xf>
    <xf numFmtId="1" fontId="22" fillId="0" borderId="0" xfId="0" quotePrefix="1" applyNumberFormat="1" applyFont="1" applyAlignment="1">
      <alignment horizontal="left"/>
    </xf>
    <xf numFmtId="169" fontId="0" fillId="0" borderId="0" xfId="0" applyNumberFormat="1" applyAlignment="1">
      <alignment horizontal="center"/>
    </xf>
    <xf numFmtId="165" fontId="0" fillId="0" borderId="0" xfId="29" applyNumberFormat="1" applyFont="1" applyAlignment="1">
      <alignment horizontal="center"/>
    </xf>
    <xf numFmtId="1" fontId="0" fillId="0" borderId="0" xfId="0" quotePrefix="1" applyNumberFormat="1" applyFill="1" applyAlignment="1">
      <alignment horizontal="left"/>
    </xf>
    <xf numFmtId="43" fontId="0" fillId="0" borderId="0" xfId="28" applyFont="1" applyAlignment="1">
      <alignment horizontal="center"/>
    </xf>
    <xf numFmtId="5" fontId="0" fillId="0" borderId="0" xfId="28" applyNumberFormat="1" applyFont="1" applyAlignment="1">
      <alignment horizontal="center"/>
    </xf>
    <xf numFmtId="177" fontId="0" fillId="0" borderId="0" xfId="28" applyNumberFormat="1" applyFont="1"/>
    <xf numFmtId="168" fontId="0" fillId="0" borderId="0" xfId="0" applyNumberFormat="1" applyAlignment="1" applyProtection="1">
      <protection locked="0"/>
    </xf>
    <xf numFmtId="1" fontId="0" fillId="0" borderId="0" xfId="0" applyNumberFormat="1" applyFill="1" applyAlignment="1"/>
    <xf numFmtId="170" fontId="0" fillId="0" borderId="0" xfId="0" applyNumberFormat="1" applyAlignment="1" applyProtection="1"/>
    <xf numFmtId="1" fontId="8" fillId="0" borderId="0" xfId="0" applyNumberFormat="1" applyFont="1" applyAlignment="1">
      <alignment horizontal="right"/>
    </xf>
    <xf numFmtId="1" fontId="8" fillId="0" borderId="0" xfId="0" quotePrefix="1" applyNumberFormat="1" applyFont="1" applyFill="1" applyAlignment="1">
      <alignment horizontal="left"/>
    </xf>
    <xf numFmtId="1" fontId="8" fillId="0" borderId="0" xfId="0" quotePrefix="1" applyNumberFormat="1" applyFont="1" applyFill="1" applyAlignment="1">
      <alignment horizontal="center"/>
    </xf>
    <xf numFmtId="1" fontId="10" fillId="0" borderId="0" xfId="0" quotePrefix="1" applyNumberFormat="1" applyFont="1" applyFill="1" applyAlignment="1" applyProtection="1">
      <alignment horizontal="left"/>
    </xf>
    <xf numFmtId="7" fontId="0" fillId="0" borderId="0" xfId="28" applyNumberFormat="1" applyFont="1" applyFill="1" applyAlignment="1">
      <alignment horizontal="center"/>
    </xf>
    <xf numFmtId="165" fontId="0" fillId="0" borderId="0" xfId="0" applyNumberFormat="1" applyFill="1" applyAlignment="1">
      <alignment horizontal="center"/>
    </xf>
    <xf numFmtId="1" fontId="10" fillId="0" borderId="0" xfId="0" applyNumberFormat="1" applyFont="1" applyFill="1" applyAlignment="1" applyProtection="1"/>
    <xf numFmtId="1" fontId="0" fillId="0" borderId="0" xfId="0" applyNumberFormat="1" applyFill="1" applyAlignment="1" applyProtection="1">
      <protection locked="0"/>
    </xf>
    <xf numFmtId="168" fontId="10" fillId="0" borderId="0" xfId="0" applyNumberFormat="1" applyFont="1" applyAlignment="1"/>
    <xf numFmtId="1" fontId="24" fillId="0" borderId="0" xfId="0" applyNumberFormat="1" applyFont="1" applyAlignment="1"/>
    <xf numFmtId="1" fontId="10" fillId="0" borderId="0" xfId="0" quotePrefix="1" applyNumberFormat="1" applyFont="1" applyFill="1" applyAlignment="1">
      <alignment horizontal="right"/>
    </xf>
    <xf numFmtId="164" fontId="0" fillId="0" borderId="0" xfId="0" applyNumberFormat="1" applyAlignment="1">
      <alignment horizontal="center"/>
    </xf>
    <xf numFmtId="175" fontId="8" fillId="0" borderId="0" xfId="28" applyNumberFormat="1" applyFont="1" applyAlignment="1">
      <alignment horizontal="center"/>
    </xf>
    <xf numFmtId="1" fontId="8" fillId="0" borderId="0" xfId="0" applyNumberFormat="1" applyFont="1" applyAlignment="1" applyProtection="1">
      <alignment horizontal="left"/>
      <protection locked="0"/>
    </xf>
    <xf numFmtId="1" fontId="8" fillId="0" borderId="0" xfId="0" applyNumberFormat="1" applyFont="1" applyFill="1" applyAlignment="1">
      <alignment horizontal="center"/>
    </xf>
    <xf numFmtId="1" fontId="29" fillId="24" borderId="0" xfId="0" applyNumberFormat="1" applyFont="1" applyFill="1" applyAlignment="1">
      <alignment horizontal="center"/>
    </xf>
    <xf numFmtId="1" fontId="27" fillId="24" borderId="0" xfId="0" applyNumberFormat="1" applyFont="1" applyFill="1" applyAlignment="1">
      <alignment horizontal="center"/>
    </xf>
    <xf numFmtId="1" fontId="26" fillId="24" borderId="0" xfId="0" applyNumberFormat="1" applyFont="1" applyFill="1" applyAlignment="1">
      <alignment horizontal="center"/>
    </xf>
    <xf numFmtId="9" fontId="10" fillId="0" borderId="0" xfId="43" applyFont="1"/>
    <xf numFmtId="1" fontId="32" fillId="0" borderId="0" xfId="0" applyNumberFormat="1" applyFont="1" applyFill="1" applyAlignment="1" applyProtection="1"/>
    <xf numFmtId="1" fontId="8" fillId="0" borderId="0" xfId="0" applyNumberFormat="1" applyFont="1" applyFill="1" applyAlignment="1" applyProtection="1">
      <protection locked="0"/>
    </xf>
    <xf numFmtId="1" fontId="13" fillId="0" borderId="0" xfId="0" quotePrefix="1" applyNumberFormat="1" applyFont="1" applyAlignment="1">
      <alignment horizontal="left" vertical="top"/>
    </xf>
    <xf numFmtId="1" fontId="12" fillId="0" borderId="0" xfId="0" quotePrefix="1" applyNumberFormat="1" applyFont="1" applyFill="1" applyAlignment="1">
      <alignment horizontal="left"/>
    </xf>
    <xf numFmtId="1" fontId="19" fillId="0" borderId="0" xfId="0" applyNumberFormat="1" applyFont="1" applyFill="1" applyAlignment="1"/>
    <xf numFmtId="1" fontId="10" fillId="0" borderId="0" xfId="0" applyNumberFormat="1" applyFont="1" applyFill="1" applyAlignment="1"/>
    <xf numFmtId="165" fontId="8" fillId="0" borderId="0" xfId="0" applyNumberFormat="1" applyFont="1" applyFill="1" applyAlignment="1"/>
    <xf numFmtId="169" fontId="8" fillId="0" borderId="0" xfId="0" applyNumberFormat="1" applyFont="1" applyFill="1" applyAlignment="1"/>
    <xf numFmtId="7" fontId="0" fillId="0" borderId="0" xfId="29" quotePrefix="1" applyNumberFormat="1" applyFont="1" applyFill="1" applyAlignment="1">
      <alignment horizontal="left"/>
    </xf>
    <xf numFmtId="1" fontId="0" fillId="0" borderId="0" xfId="0" applyNumberFormat="1" applyFill="1" applyBorder="1" applyAlignment="1"/>
    <xf numFmtId="165" fontId="21" fillId="0" borderId="0" xfId="0" applyNumberFormat="1" applyFont="1" applyFill="1" applyAlignment="1">
      <alignment horizontal="center"/>
    </xf>
    <xf numFmtId="3" fontId="8" fillId="0" borderId="0" xfId="0" applyNumberFormat="1" applyFont="1" applyFill="1" applyAlignment="1">
      <alignment horizontal="center"/>
    </xf>
    <xf numFmtId="169" fontId="8" fillId="0" borderId="0" xfId="0" applyNumberFormat="1" applyFont="1" applyFill="1" applyAlignment="1">
      <alignment horizontal="center"/>
    </xf>
    <xf numFmtId="1" fontId="0" fillId="0" borderId="0" xfId="0" applyNumberFormat="1" applyFill="1" applyAlignment="1">
      <alignment horizontal="left"/>
    </xf>
    <xf numFmtId="3" fontId="0" fillId="0" borderId="0" xfId="0" applyNumberFormat="1" applyFill="1" applyAlignment="1">
      <alignment horizontal="center"/>
    </xf>
    <xf numFmtId="169" fontId="0" fillId="0" borderId="0" xfId="0" applyNumberFormat="1" applyFill="1" applyAlignment="1">
      <alignment horizontal="center"/>
    </xf>
    <xf numFmtId="169" fontId="0" fillId="0" borderId="0" xfId="0" applyNumberFormat="1" applyFill="1" applyAlignment="1"/>
    <xf numFmtId="1" fontId="20" fillId="0" borderId="0" xfId="0" quotePrefix="1" applyNumberFormat="1" applyFont="1" applyFill="1" applyAlignment="1">
      <alignment horizontal="left"/>
    </xf>
    <xf numFmtId="1" fontId="20" fillId="0" borderId="0" xfId="0" applyNumberFormat="1" applyFont="1" applyFill="1" applyAlignment="1">
      <alignment horizontal="left"/>
    </xf>
    <xf numFmtId="1" fontId="8" fillId="0" borderId="0" xfId="0" applyNumberFormat="1" applyFont="1" applyFill="1" applyAlignment="1">
      <alignment horizontal="right"/>
    </xf>
    <xf numFmtId="1" fontId="12" fillId="0" borderId="0" xfId="0" applyNumberFormat="1" applyFont="1" applyFill="1" applyAlignment="1"/>
    <xf numFmtId="9" fontId="8" fillId="0" borderId="0" xfId="43" applyFont="1" applyFill="1" applyAlignment="1">
      <alignment horizontal="center"/>
    </xf>
    <xf numFmtId="9" fontId="10" fillId="0" borderId="0" xfId="43" applyFont="1" applyFill="1" applyAlignment="1">
      <alignment horizontal="center"/>
    </xf>
    <xf numFmtId="165" fontId="0" fillId="0" borderId="0" xfId="0" applyNumberFormat="1" applyFill="1" applyAlignment="1"/>
    <xf numFmtId="165" fontId="8" fillId="0" borderId="0" xfId="0" applyNumberFormat="1" applyFont="1" applyFill="1" applyAlignment="1">
      <alignment horizontal="center"/>
    </xf>
    <xf numFmtId="9" fontId="0" fillId="0" borderId="0" xfId="43" applyFont="1" applyFill="1" applyAlignment="1">
      <alignment horizontal="center"/>
    </xf>
    <xf numFmtId="1" fontId="0" fillId="0" borderId="0" xfId="43" applyNumberFormat="1" applyFont="1" applyFill="1" applyAlignment="1">
      <alignment horizontal="center"/>
    </xf>
    <xf numFmtId="1" fontId="0" fillId="0" borderId="0" xfId="0" applyNumberFormat="1" applyFill="1" applyAlignment="1">
      <alignment horizontal="center"/>
    </xf>
    <xf numFmtId="171" fontId="0" fillId="0" borderId="0" xfId="43" applyNumberFormat="1" applyFont="1" applyFill="1" applyAlignment="1">
      <alignment horizontal="center"/>
    </xf>
    <xf numFmtId="165" fontId="0" fillId="0" borderId="0" xfId="43" applyNumberFormat="1" applyFont="1" applyFill="1" applyAlignment="1">
      <alignment horizontal="center"/>
    </xf>
    <xf numFmtId="1" fontId="0" fillId="0" borderId="0" xfId="0" applyNumberFormat="1" applyBorder="1" applyAlignment="1"/>
    <xf numFmtId="1" fontId="19" fillId="0" borderId="0" xfId="0" applyNumberFormat="1" applyFont="1" applyFill="1" applyBorder="1" applyAlignment="1"/>
    <xf numFmtId="1" fontId="28" fillId="24" borderId="0" xfId="0" applyNumberFormat="1" applyFont="1" applyFill="1" applyAlignment="1"/>
    <xf numFmtId="43" fontId="0" fillId="0" borderId="0" xfId="0" applyNumberFormat="1" applyAlignment="1"/>
    <xf numFmtId="43" fontId="0" fillId="0" borderId="0" xfId="29" applyNumberFormat="1" applyFont="1"/>
    <xf numFmtId="1" fontId="0" fillId="24" borderId="0" xfId="0" applyNumberFormat="1" applyFill="1" applyAlignment="1" applyProtection="1"/>
    <xf numFmtId="175" fontId="8" fillId="0" borderId="0" xfId="28" applyNumberFormat="1" applyFont="1" applyAlignment="1">
      <alignment horizontal="right"/>
    </xf>
    <xf numFmtId="1" fontId="13" fillId="0" borderId="0" xfId="0" applyNumberFormat="1" applyFont="1" applyAlignment="1" applyProtection="1">
      <alignment horizontal="left" vertical="top" wrapText="1"/>
      <protection hidden="1"/>
    </xf>
    <xf numFmtId="1" fontId="0" fillId="0" borderId="0" xfId="0" applyNumberFormat="1" applyFill="1" applyAlignment="1" applyProtection="1"/>
    <xf numFmtId="3" fontId="10" fillId="0" borderId="0" xfId="0" applyNumberFormat="1" applyFont="1" applyFill="1" applyAlignment="1">
      <alignment horizontal="center"/>
    </xf>
    <xf numFmtId="169" fontId="10" fillId="0" borderId="0" xfId="0" applyNumberFormat="1" applyFont="1" applyFill="1" applyAlignment="1">
      <alignment horizontal="center"/>
    </xf>
    <xf numFmtId="3" fontId="0" fillId="0" borderId="0" xfId="0" applyNumberFormat="1" applyFill="1" applyAlignment="1"/>
    <xf numFmtId="167" fontId="0" fillId="0" borderId="0" xfId="0" applyNumberFormat="1" applyAlignment="1">
      <alignment horizontal="center"/>
    </xf>
    <xf numFmtId="178" fontId="7" fillId="0" borderId="0" xfId="0" applyFont="1">
      <alignment horizontal="left" wrapText="1"/>
    </xf>
    <xf numFmtId="168" fontId="7" fillId="0" borderId="0" xfId="0" applyNumberFormat="1" applyFont="1" applyAlignment="1">
      <alignment horizontal="right" wrapText="1"/>
    </xf>
    <xf numFmtId="171" fontId="0" fillId="0" borderId="0" xfId="43" applyNumberFormat="1" applyFont="1"/>
    <xf numFmtId="1" fontId="10" fillId="0" borderId="0" xfId="0" applyNumberFormat="1" applyFont="1" applyFill="1" applyAlignment="1">
      <alignment horizontal="left"/>
    </xf>
    <xf numFmtId="43" fontId="0" fillId="0" borderId="0" xfId="28" applyFont="1"/>
    <xf numFmtId="1" fontId="0" fillId="25" borderId="0" xfId="0" applyNumberFormat="1" applyFill="1" applyAlignment="1" applyProtection="1">
      <alignment horizontal="center"/>
    </xf>
    <xf numFmtId="1" fontId="0" fillId="26" borderId="0" xfId="0" applyNumberFormat="1" applyFill="1" applyAlignment="1"/>
    <xf numFmtId="172" fontId="0" fillId="0" borderId="0" xfId="0" applyNumberFormat="1" applyAlignment="1">
      <alignment horizontal="right"/>
    </xf>
    <xf numFmtId="1" fontId="34" fillId="26" borderId="0" xfId="0" applyNumberFormat="1" applyFont="1" applyFill="1" applyAlignment="1">
      <alignment horizontal="center"/>
    </xf>
    <xf numFmtId="1" fontId="35" fillId="26" borderId="0" xfId="0" applyNumberFormat="1" applyFont="1" applyFill="1" applyAlignment="1">
      <alignment horizontal="center"/>
    </xf>
    <xf numFmtId="1" fontId="36" fillId="26" borderId="0" xfId="0" applyNumberFormat="1" applyFont="1" applyFill="1" applyAlignment="1"/>
    <xf numFmtId="178" fontId="7" fillId="0" borderId="0" xfId="0" applyFont="1" applyAlignment="1">
      <alignment horizontal="right" wrapText="1"/>
    </xf>
    <xf numFmtId="178" fontId="7" fillId="0" borderId="0" xfId="0" applyFont="1" applyFill="1">
      <alignment horizontal="left" wrapText="1"/>
    </xf>
    <xf numFmtId="167" fontId="0" fillId="0" borderId="0" xfId="0" applyNumberFormat="1" applyFill="1" applyAlignment="1">
      <alignment horizontal="center"/>
    </xf>
    <xf numFmtId="167" fontId="0" fillId="0" borderId="0" xfId="0" applyNumberFormat="1" applyFill="1" applyAlignment="1"/>
    <xf numFmtId="167" fontId="10" fillId="0" borderId="0" xfId="0" applyNumberFormat="1" applyFont="1" applyFill="1" applyAlignment="1">
      <alignment horizontal="center"/>
    </xf>
    <xf numFmtId="1" fontId="10" fillId="0" borderId="0" xfId="0" applyNumberFormat="1" applyFont="1" applyFill="1" applyAlignment="1">
      <alignment horizontal="center"/>
    </xf>
    <xf numFmtId="1" fontId="36" fillId="0" borderId="0" xfId="0" quotePrefix="1" applyNumberFormat="1" applyFont="1" applyFill="1" applyAlignment="1">
      <alignment horizontal="left"/>
    </xf>
    <xf numFmtId="165" fontId="37" fillId="27" borderId="10" xfId="0" applyNumberFormat="1" applyFont="1" applyFill="1" applyBorder="1" applyAlignment="1">
      <alignment horizontal="right" wrapText="1"/>
    </xf>
    <xf numFmtId="165" fontId="0" fillId="0" borderId="0" xfId="0" applyNumberFormat="1" applyFill="1" applyAlignment="1" applyProtection="1"/>
    <xf numFmtId="171" fontId="0" fillId="0" borderId="0" xfId="43" applyNumberFormat="1" applyFont="1" applyFill="1" applyAlignment="1" applyProtection="1">
      <alignment horizontal="center"/>
    </xf>
    <xf numFmtId="1" fontId="8" fillId="0" borderId="0" xfId="0" applyNumberFormat="1" applyFont="1" applyFill="1" applyAlignment="1" applyProtection="1"/>
    <xf numFmtId="9" fontId="0" fillId="0" borderId="0" xfId="0" applyNumberFormat="1" applyFill="1" applyAlignment="1" applyProtection="1">
      <alignment horizontal="center"/>
    </xf>
    <xf numFmtId="1" fontId="11" fillId="0" borderId="0" xfId="0" applyNumberFormat="1" applyFont="1" applyFill="1" applyAlignment="1" applyProtection="1"/>
    <xf numFmtId="9" fontId="0" fillId="0" borderId="0" xfId="0" applyNumberFormat="1" applyFill="1" applyAlignment="1" applyProtection="1"/>
    <xf numFmtId="1" fontId="12" fillId="0" borderId="0" xfId="0" quotePrefix="1" applyNumberFormat="1" applyFont="1" applyFill="1" applyAlignment="1" applyProtection="1">
      <alignment horizontal="left"/>
    </xf>
    <xf numFmtId="1" fontId="8" fillId="0" borderId="0" xfId="0" quotePrefix="1" applyNumberFormat="1" applyFont="1" applyFill="1" applyAlignment="1" applyProtection="1">
      <alignment horizontal="left"/>
    </xf>
    <xf numFmtId="1" fontId="12" fillId="0" borderId="0" xfId="0" applyNumberFormat="1" applyFont="1" applyFill="1" applyAlignment="1" applyProtection="1"/>
    <xf numFmtId="1" fontId="0" fillId="0" borderId="0" xfId="0" applyNumberFormat="1" applyFill="1" applyAlignment="1" applyProtection="1">
      <alignment horizontal="center"/>
    </xf>
    <xf numFmtId="169" fontId="0" fillId="0" borderId="0" xfId="0" applyNumberFormat="1" applyFill="1" applyAlignment="1" applyProtection="1">
      <alignment horizontal="center"/>
      <protection locked="0"/>
    </xf>
    <xf numFmtId="165" fontId="0" fillId="0" borderId="0" xfId="0" applyNumberFormat="1" applyFill="1" applyAlignment="1" applyProtection="1">
      <alignment horizontal="center"/>
    </xf>
    <xf numFmtId="1" fontId="7" fillId="0" borderId="0" xfId="0" applyNumberFormat="1" applyFont="1" applyAlignment="1">
      <alignment horizontal="center"/>
    </xf>
    <xf numFmtId="1" fontId="7" fillId="0" borderId="0" xfId="0" applyNumberFormat="1" applyFont="1" applyAlignment="1">
      <alignment horizontal="center" wrapText="1"/>
    </xf>
    <xf numFmtId="169" fontId="8" fillId="0" borderId="0" xfId="0" applyNumberFormat="1" applyFont="1" applyAlignment="1">
      <alignment horizontal="center"/>
    </xf>
    <xf numFmtId="1" fontId="8" fillId="0" borderId="0" xfId="0" applyNumberFormat="1" applyFont="1" applyAlignment="1" applyProtection="1"/>
    <xf numFmtId="1" fontId="8" fillId="0" borderId="0" xfId="0" quotePrefix="1" applyNumberFormat="1" applyFont="1" applyAlignment="1" applyProtection="1">
      <alignment horizontal="left"/>
    </xf>
    <xf numFmtId="1" fontId="11" fillId="0" borderId="0" xfId="0" applyNumberFormat="1" applyFont="1" applyAlignment="1" applyProtection="1">
      <alignment horizontal="left"/>
    </xf>
    <xf numFmtId="175" fontId="0" fillId="0" borderId="0" xfId="28" applyNumberFormat="1" applyFont="1"/>
    <xf numFmtId="1" fontId="8" fillId="0" borderId="0" xfId="0" applyNumberFormat="1" applyFont="1" applyFill="1" applyAlignment="1" applyProtection="1">
      <alignment horizontal="left"/>
    </xf>
    <xf numFmtId="44" fontId="0" fillId="0" borderId="0" xfId="29" applyFont="1" applyAlignment="1">
      <alignment horizontal="center"/>
    </xf>
    <xf numFmtId="165" fontId="24" fillId="0" borderId="0" xfId="29" applyNumberFormat="1" applyFont="1"/>
    <xf numFmtId="179" fontId="0" fillId="0" borderId="0" xfId="0" applyNumberFormat="1" applyAlignment="1"/>
    <xf numFmtId="168" fontId="10" fillId="0" borderId="0" xfId="0" applyNumberFormat="1" applyFont="1" applyAlignment="1">
      <alignment horizontal="right" wrapText="1"/>
    </xf>
    <xf numFmtId="1" fontId="10" fillId="0" borderId="0" xfId="0" applyNumberFormat="1" applyFont="1" applyAlignment="1">
      <alignment horizontal="center" wrapText="1"/>
    </xf>
    <xf numFmtId="168" fontId="10" fillId="0" borderId="0" xfId="0" applyNumberFormat="1" applyFont="1" applyAlignment="1">
      <alignment horizontal="left" wrapText="1"/>
    </xf>
    <xf numFmtId="0" fontId="39" fillId="0" borderId="0" xfId="0" applyNumberFormat="1" applyFont="1" applyAlignment="1">
      <alignment wrapText="1"/>
    </xf>
    <xf numFmtId="171" fontId="30" fillId="0" borderId="0" xfId="0" applyNumberFormat="1" applyFont="1" applyFill="1" applyAlignment="1">
      <alignment horizontal="left"/>
    </xf>
    <xf numFmtId="43" fontId="0" fillId="0" borderId="0" xfId="28" applyNumberFormat="1" applyFont="1" applyAlignment="1">
      <alignment horizontal="center"/>
    </xf>
    <xf numFmtId="1" fontId="40" fillId="0" borderId="0" xfId="0" applyNumberFormat="1" applyFont="1" applyAlignment="1" applyProtection="1"/>
    <xf numFmtId="164" fontId="7" fillId="0" borderId="0" xfId="0" applyNumberFormat="1" applyFont="1" applyAlignment="1">
      <alignment horizontal="center" wrapText="1"/>
    </xf>
    <xf numFmtId="1" fontId="7" fillId="0" borderId="0" xfId="0" applyNumberFormat="1" applyFont="1" applyAlignment="1">
      <alignment horizontal="right" wrapText="1"/>
    </xf>
    <xf numFmtId="8" fontId="7" fillId="0" borderId="0" xfId="0" applyNumberFormat="1" applyFont="1" applyBorder="1" applyAlignment="1">
      <alignment horizontal="center" wrapText="1"/>
    </xf>
    <xf numFmtId="178" fontId="7" fillId="0" borderId="0" xfId="0" applyFont="1" applyBorder="1">
      <alignment horizontal="left" wrapText="1"/>
    </xf>
    <xf numFmtId="2" fontId="7" fillId="0" borderId="0" xfId="0" applyNumberFormat="1" applyFont="1" applyAlignment="1">
      <alignment horizontal="center" wrapText="1"/>
    </xf>
    <xf numFmtId="178" fontId="7" fillId="0" borderId="0" xfId="40" applyFont="1" applyFill="1">
      <alignment horizontal="left" wrapText="1"/>
    </xf>
    <xf numFmtId="178" fontId="7" fillId="0" borderId="0" xfId="40" applyFill="1">
      <alignment horizontal="left" wrapText="1"/>
    </xf>
    <xf numFmtId="178" fontId="7" fillId="0" borderId="0" xfId="40" quotePrefix="1" applyFill="1" applyAlignment="1">
      <alignment horizontal="left"/>
    </xf>
    <xf numFmtId="171" fontId="7" fillId="0" borderId="0" xfId="40" applyNumberFormat="1" applyFill="1" applyAlignment="1" applyProtection="1">
      <alignment horizontal="right"/>
    </xf>
    <xf numFmtId="10" fontId="0" fillId="0" borderId="0" xfId="43" applyNumberFormat="1" applyFont="1" applyProtection="1"/>
    <xf numFmtId="10" fontId="0" fillId="0" borderId="0" xfId="43" applyNumberFormat="1" applyFont="1" applyAlignment="1" applyProtection="1">
      <alignment horizontal="right"/>
    </xf>
    <xf numFmtId="9" fontId="0" fillId="0" borderId="0" xfId="43" applyFont="1" applyProtection="1"/>
    <xf numFmtId="0" fontId="0" fillId="0" borderId="0" xfId="0" applyNumberFormat="1" applyFont="1" applyFill="1" applyBorder="1" applyAlignment="1" applyProtection="1"/>
    <xf numFmtId="169" fontId="7" fillId="0" borderId="0" xfId="0" applyNumberFormat="1" applyFont="1" applyAlignment="1">
      <alignment horizontal="center" wrapText="1"/>
    </xf>
    <xf numFmtId="169" fontId="0" fillId="0" borderId="0" xfId="29" applyNumberFormat="1" applyFont="1" applyBorder="1"/>
    <xf numFmtId="1" fontId="10" fillId="0" borderId="0" xfId="0" applyNumberFormat="1" applyFont="1" applyFill="1" applyBorder="1" applyAlignment="1" applyProtection="1"/>
    <xf numFmtId="3" fontId="8" fillId="0" borderId="0" xfId="0" applyNumberFormat="1" applyFont="1" applyFill="1" applyAlignment="1">
      <alignment horizontal="right"/>
    </xf>
    <xf numFmtId="171" fontId="0" fillId="0" borderId="0" xfId="43" applyNumberFormat="1" applyFont="1" applyFill="1" applyAlignment="1" applyProtection="1">
      <alignment horizontal="center"/>
      <protection locked="0"/>
    </xf>
    <xf numFmtId="1" fontId="10" fillId="0" borderId="0" xfId="0" applyNumberFormat="1" applyFont="1" applyBorder="1" applyAlignment="1" applyProtection="1"/>
    <xf numFmtId="172" fontId="0" fillId="0" borderId="0" xfId="0" applyNumberFormat="1" applyBorder="1" applyAlignment="1"/>
    <xf numFmtId="168" fontId="0" fillId="0" borderId="0" xfId="0" applyNumberFormat="1" applyFont="1" applyFill="1" applyBorder="1" applyAlignment="1" applyProtection="1"/>
    <xf numFmtId="178" fontId="7" fillId="0" borderId="0" xfId="0" applyFont="1" applyBorder="1" applyAlignment="1">
      <alignment horizontal="right" wrapText="1"/>
    </xf>
    <xf numFmtId="178" fontId="0" fillId="0" borderId="0" xfId="0" applyNumberFormat="1" applyAlignment="1"/>
    <xf numFmtId="1" fontId="10" fillId="0" borderId="0" xfId="0" applyNumberFormat="1" applyFont="1" applyFill="1" applyProtection="1">
      <alignment horizontal="left" wrapText="1"/>
    </xf>
    <xf numFmtId="178" fontId="7" fillId="0" borderId="0" xfId="0" applyFont="1" applyAlignment="1">
      <alignment horizontal="left"/>
    </xf>
    <xf numFmtId="171" fontId="0" fillId="0" borderId="0" xfId="43" applyNumberFormat="1" applyFont="1" applyAlignment="1">
      <alignment horizontal="center"/>
    </xf>
    <xf numFmtId="1" fontId="8" fillId="0" borderId="0" xfId="0" applyNumberFormat="1" applyFont="1" applyFill="1" applyProtection="1">
      <alignment horizontal="left" wrapText="1"/>
    </xf>
    <xf numFmtId="178" fontId="10" fillId="0" borderId="0" xfId="0" applyFont="1">
      <alignment horizontal="left" wrapText="1"/>
    </xf>
    <xf numFmtId="1" fontId="0" fillId="0" borderId="0" xfId="0" applyNumberFormat="1" applyAlignment="1"/>
    <xf numFmtId="178" fontId="10" fillId="0" borderId="0" xfId="47" applyNumberFormat="1" applyFont="1" applyFill="1" applyBorder="1" applyAlignment="1">
      <alignment horizontal="left" wrapText="1"/>
    </xf>
    <xf numFmtId="180" fontId="10" fillId="0" borderId="0" xfId="47" applyNumberFormat="1" applyFont="1" applyFill="1" applyBorder="1" applyAlignment="1">
      <alignment horizontal="right" wrapText="1"/>
    </xf>
    <xf numFmtId="168" fontId="10" fillId="0" borderId="0" xfId="47" applyNumberFormat="1" applyFont="1" applyFill="1" applyBorder="1" applyAlignment="1">
      <alignment horizontal="right" wrapText="1"/>
    </xf>
    <xf numFmtId="0" fontId="10" fillId="0" borderId="0" xfId="47" applyNumberFormat="1" applyFont="1" applyFill="1" applyBorder="1" applyAlignment="1">
      <alignment horizontal="left" wrapText="1"/>
    </xf>
    <xf numFmtId="1" fontId="10" fillId="0" borderId="0" xfId="47" quotePrefix="1" applyNumberFormat="1" applyAlignment="1">
      <alignment horizontal="left"/>
    </xf>
    <xf numFmtId="1" fontId="10" fillId="0" borderId="0" xfId="0" applyNumberFormat="1" applyFont="1" applyFill="1" applyBorder="1" applyAlignment="1">
      <alignment horizontal="center" wrapText="1"/>
    </xf>
    <xf numFmtId="1" fontId="10" fillId="0" borderId="0" xfId="0" applyNumberFormat="1" applyFont="1" applyAlignment="1">
      <alignment horizontal="right"/>
    </xf>
    <xf numFmtId="172" fontId="10" fillId="0" borderId="0" xfId="0" applyNumberFormat="1" applyFont="1" applyFill="1" applyBorder="1" applyAlignment="1">
      <alignment horizontal="right" wrapText="1"/>
    </xf>
    <xf numFmtId="172" fontId="10" fillId="0" borderId="0" xfId="0" applyNumberFormat="1" applyFont="1" applyFill="1" applyBorder="1">
      <alignment horizontal="left" wrapText="1"/>
    </xf>
    <xf numFmtId="1" fontId="10" fillId="0" borderId="0" xfId="0" applyNumberFormat="1" applyFont="1" applyFill="1" applyBorder="1" applyAlignment="1"/>
    <xf numFmtId="1" fontId="10" fillId="0" borderId="0" xfId="0" applyNumberFormat="1" applyFont="1" applyFill="1" applyAlignment="1" applyProtection="1">
      <alignment horizontal="left"/>
    </xf>
    <xf numFmtId="172" fontId="14" fillId="0" borderId="0" xfId="36" applyNumberFormat="1" applyAlignment="1" applyProtection="1"/>
    <xf numFmtId="1" fontId="0" fillId="0" borderId="0" xfId="0" applyNumberFormat="1" applyAlignment="1"/>
    <xf numFmtId="1" fontId="0" fillId="29" borderId="0" xfId="0" applyNumberFormat="1" applyFill="1" applyAlignment="1"/>
    <xf numFmtId="1" fontId="28" fillId="29" borderId="0" xfId="0" applyNumberFormat="1" applyFont="1" applyFill="1" applyAlignment="1"/>
    <xf numFmtId="1" fontId="0" fillId="28" borderId="0" xfId="0" applyNumberFormat="1" applyFill="1" applyAlignment="1"/>
    <xf numFmtId="1" fontId="26" fillId="29" borderId="0" xfId="0" applyNumberFormat="1" applyFont="1" applyFill="1" applyAlignment="1">
      <alignment horizontal="center"/>
    </xf>
    <xf numFmtId="1" fontId="23" fillId="29" borderId="0" xfId="0" applyNumberFormat="1" applyFont="1" applyFill="1" applyAlignment="1">
      <alignment horizontal="center"/>
    </xf>
    <xf numFmtId="1" fontId="7" fillId="0" borderId="0" xfId="0" applyNumberFormat="1" applyFont="1" applyFill="1" applyAlignment="1"/>
    <xf numFmtId="1" fontId="0" fillId="0" borderId="0" xfId="0" applyNumberFormat="1" applyAlignment="1"/>
    <xf numFmtId="1" fontId="13" fillId="0" borderId="0" xfId="0" applyNumberFormat="1" applyFont="1" applyAlignment="1"/>
    <xf numFmtId="1" fontId="15" fillId="0" borderId="0" xfId="0" applyNumberFormat="1" applyFont="1" applyAlignment="1"/>
    <xf numFmtId="1" fontId="7" fillId="0" borderId="0" xfId="0" applyNumberFormat="1" applyFont="1" applyAlignment="1">
      <alignment horizontal="left"/>
    </xf>
    <xf numFmtId="1" fontId="0" fillId="0" borderId="0" xfId="28" applyNumberFormat="1" applyFont="1" applyFill="1" applyAlignment="1" applyProtection="1">
      <alignment horizontal="right"/>
      <protection locked="0"/>
    </xf>
    <xf numFmtId="9" fontId="0" fillId="0" borderId="0" xfId="0" applyNumberFormat="1" applyFill="1" applyAlignment="1" applyProtection="1">
      <alignment horizontal="right"/>
      <protection locked="0"/>
    </xf>
    <xf numFmtId="9" fontId="0" fillId="0" borderId="0" xfId="43" applyFont="1" applyFill="1" applyAlignment="1" applyProtection="1">
      <alignment horizontal="right"/>
      <protection locked="0"/>
    </xf>
    <xf numFmtId="1" fontId="0" fillId="0" borderId="0" xfId="43" applyNumberFormat="1" applyFont="1" applyFill="1" applyAlignment="1" applyProtection="1">
      <alignment horizontal="right"/>
      <protection locked="0"/>
    </xf>
    <xf numFmtId="165" fontId="0" fillId="0" borderId="0" xfId="43" applyNumberFormat="1" applyFont="1" applyFill="1" applyAlignment="1" applyProtection="1">
      <alignment horizontal="right"/>
      <protection locked="0"/>
    </xf>
    <xf numFmtId="165" fontId="0" fillId="0" borderId="0" xfId="0" applyNumberFormat="1" applyFill="1" applyAlignment="1" applyProtection="1">
      <alignment horizontal="right"/>
      <protection locked="0"/>
    </xf>
    <xf numFmtId="1" fontId="7" fillId="0" borderId="0" xfId="0" quotePrefix="1" applyNumberFormat="1" applyFont="1" applyFill="1" applyAlignment="1">
      <alignment horizontal="left"/>
    </xf>
    <xf numFmtId="10" fontId="0" fillId="0" borderId="0" xfId="43" applyNumberFormat="1" applyFont="1" applyFill="1" applyAlignment="1" applyProtection="1">
      <alignment horizontal="right"/>
      <protection locked="0"/>
    </xf>
    <xf numFmtId="9" fontId="0" fillId="0" borderId="0" xfId="43" applyFont="1" applyFill="1" applyAlignment="1" applyProtection="1">
      <alignment horizontal="right"/>
    </xf>
    <xf numFmtId="1" fontId="0" fillId="0" borderId="0" xfId="0" applyNumberFormat="1" applyAlignment="1"/>
    <xf numFmtId="1" fontId="65" fillId="29" borderId="0" xfId="0" applyNumberFormat="1" applyFont="1" applyFill="1" applyAlignment="1"/>
    <xf numFmtId="1" fontId="66" fillId="29" borderId="0" xfId="36" applyNumberFormat="1" applyFont="1" applyFill="1" applyAlignment="1" applyProtection="1"/>
    <xf numFmtId="1" fontId="67" fillId="29" borderId="0" xfId="36" applyNumberFormat="1" applyFont="1" applyFill="1" applyAlignment="1" applyProtection="1"/>
    <xf numFmtId="1" fontId="65" fillId="29" borderId="0" xfId="0" applyNumberFormat="1" applyFont="1" applyFill="1" applyAlignment="1">
      <alignment horizontal="left"/>
    </xf>
    <xf numFmtId="1" fontId="66" fillId="29" borderId="0" xfId="36" applyNumberFormat="1" applyFont="1" applyFill="1" applyAlignment="1" applyProtection="1">
      <alignment horizontal="left"/>
    </xf>
    <xf numFmtId="1" fontId="40" fillId="29" borderId="0" xfId="0" applyNumberFormat="1" applyFont="1" applyFill="1" applyAlignment="1"/>
    <xf numFmtId="1" fontId="38" fillId="29" borderId="0" xfId="0" applyNumberFormat="1" applyFont="1" applyFill="1" applyAlignment="1"/>
    <xf numFmtId="1" fontId="68" fillId="29" borderId="0" xfId="0" applyNumberFormat="1" applyFont="1" applyFill="1" applyAlignment="1"/>
    <xf numFmtId="1" fontId="69" fillId="29" borderId="0" xfId="0" applyNumberFormat="1" applyFont="1" applyFill="1" applyBorder="1" applyAlignment="1"/>
    <xf numFmtId="1" fontId="68" fillId="29" borderId="0" xfId="36" applyNumberFormat="1" applyFont="1" applyFill="1" applyAlignment="1" applyProtection="1"/>
    <xf numFmtId="1" fontId="69" fillId="29" borderId="0" xfId="0" applyNumberFormat="1" applyFont="1" applyFill="1" applyAlignment="1"/>
    <xf numFmtId="1" fontId="70" fillId="29" borderId="0" xfId="0" applyNumberFormat="1" applyFont="1" applyFill="1" applyAlignment="1"/>
    <xf numFmtId="1" fontId="68" fillId="29" borderId="0" xfId="0" applyNumberFormat="1" applyFont="1" applyFill="1" applyAlignment="1">
      <alignment horizontal="left" indent="4"/>
    </xf>
    <xf numFmtId="1" fontId="7" fillId="0" borderId="0" xfId="0" applyNumberFormat="1" applyFont="1" applyFill="1" applyAlignment="1">
      <alignment horizontal="center"/>
    </xf>
    <xf numFmtId="165" fontId="7" fillId="0" borderId="0" xfId="43" applyNumberFormat="1" applyFont="1" applyFill="1" applyAlignment="1">
      <alignment horizontal="left"/>
    </xf>
    <xf numFmtId="9" fontId="8" fillId="0" borderId="0" xfId="43" applyFont="1" applyFill="1" applyAlignment="1"/>
    <xf numFmtId="1" fontId="0" fillId="0" borderId="0" xfId="0" applyNumberFormat="1" applyAlignment="1"/>
    <xf numFmtId="1" fontId="7" fillId="25" borderId="0" xfId="48" applyNumberFormat="1" applyFill="1" applyAlignment="1" applyProtection="1">
      <alignment horizontal="center"/>
    </xf>
    <xf numFmtId="168" fontId="7" fillId="0" borderId="0" xfId="48" applyNumberFormat="1" applyAlignment="1" applyProtection="1">
      <protection locked="0"/>
    </xf>
    <xf numFmtId="1" fontId="0" fillId="0" borderId="0" xfId="0" applyNumberFormat="1" applyAlignment="1"/>
    <xf numFmtId="1" fontId="0" fillId="30" borderId="0" xfId="0" applyNumberFormat="1" applyFill="1" applyAlignment="1"/>
    <xf numFmtId="1" fontId="7" fillId="0" borderId="0" xfId="0" applyNumberFormat="1" applyFont="1" applyAlignment="1"/>
    <xf numFmtId="1" fontId="36" fillId="29" borderId="0" xfId="0" applyNumberFormat="1" applyFont="1" applyFill="1" applyAlignment="1"/>
    <xf numFmtId="1" fontId="31" fillId="29" borderId="0" xfId="0" applyNumberFormat="1" applyFont="1" applyFill="1" applyAlignment="1"/>
    <xf numFmtId="1" fontId="30" fillId="29" borderId="0" xfId="0" applyNumberFormat="1" applyFont="1" applyFill="1" applyAlignment="1"/>
    <xf numFmtId="1" fontId="7" fillId="29" borderId="0" xfId="0" applyNumberFormat="1" applyFont="1" applyFill="1" applyBorder="1" applyAlignment="1"/>
    <xf numFmtId="1" fontId="30" fillId="29" borderId="0" xfId="36" applyNumberFormat="1" applyFont="1" applyFill="1" applyAlignment="1" applyProtection="1"/>
    <xf numFmtId="1" fontId="7" fillId="29" borderId="0" xfId="0" applyNumberFormat="1" applyFont="1" applyFill="1" applyAlignment="1"/>
    <xf numFmtId="1" fontId="30" fillId="29" borderId="0" xfId="0" applyNumberFormat="1" applyFont="1" applyFill="1" applyAlignment="1">
      <alignment horizontal="left" indent="4"/>
    </xf>
    <xf numFmtId="1" fontId="33" fillId="29" borderId="0" xfId="0" applyNumberFormat="1" applyFont="1" applyFill="1" applyAlignment="1"/>
    <xf numFmtId="1" fontId="71" fillId="29" borderId="0" xfId="36" applyNumberFormat="1" applyFont="1" applyFill="1" applyAlignment="1" applyProtection="1"/>
    <xf numFmtId="1" fontId="72" fillId="29" borderId="0" xfId="36" applyNumberFormat="1" applyFont="1" applyFill="1" applyAlignment="1" applyProtection="1"/>
    <xf numFmtId="1" fontId="33" fillId="29" borderId="0" xfId="0" applyNumberFormat="1" applyFont="1" applyFill="1" applyAlignment="1">
      <alignment horizontal="left"/>
    </xf>
    <xf numFmtId="1" fontId="71" fillId="29" borderId="0" xfId="36" applyNumberFormat="1" applyFont="1" applyFill="1" applyAlignment="1" applyProtection="1">
      <alignment horizontal="left"/>
    </xf>
    <xf numFmtId="1" fontId="0" fillId="0" borderId="0" xfId="0" applyNumberFormat="1" applyAlignment="1"/>
    <xf numFmtId="9" fontId="0" fillId="0" borderId="0" xfId="43" applyFont="1" applyAlignment="1"/>
    <xf numFmtId="169" fontId="0" fillId="0" borderId="0" xfId="29" applyNumberFormat="1" applyFont="1"/>
    <xf numFmtId="1" fontId="7" fillId="0" borderId="0" xfId="0" quotePrefix="1" applyNumberFormat="1" applyFont="1" applyAlignment="1">
      <alignment horizontal="left"/>
    </xf>
    <xf numFmtId="165" fontId="7" fillId="0" borderId="0" xfId="0" applyNumberFormat="1" applyFont="1" applyAlignment="1">
      <alignment horizontal="center"/>
    </xf>
    <xf numFmtId="10" fontId="0" fillId="0" borderId="0" xfId="43" applyNumberFormat="1" applyFont="1" applyAlignment="1">
      <alignment horizontal="center"/>
    </xf>
    <xf numFmtId="1" fontId="7" fillId="0" borderId="0" xfId="47" quotePrefix="1" applyNumberFormat="1" applyFont="1" applyFill="1" applyAlignment="1">
      <alignment horizontal="left"/>
    </xf>
    <xf numFmtId="169" fontId="0" fillId="0" borderId="0" xfId="43" applyNumberFormat="1" applyFont="1" applyFill="1" applyAlignment="1" applyProtection="1">
      <alignment horizontal="right"/>
      <protection locked="0"/>
    </xf>
    <xf numFmtId="169" fontId="0" fillId="0" borderId="0" xfId="43" applyNumberFormat="1" applyFont="1" applyAlignment="1">
      <alignment horizontal="center"/>
    </xf>
    <xf numFmtId="175" fontId="0" fillId="0" borderId="0" xfId="28" applyNumberFormat="1" applyFont="1" applyFill="1" applyProtection="1"/>
    <xf numFmtId="168" fontId="0" fillId="0" borderId="0" xfId="0" applyNumberFormat="1" applyAlignment="1">
      <alignment horizontal="right"/>
    </xf>
    <xf numFmtId="1" fontId="8" fillId="0" borderId="0" xfId="0" quotePrefix="1" applyNumberFormat="1" applyFont="1" applyAlignment="1">
      <alignment horizontal="right"/>
    </xf>
    <xf numFmtId="2" fontId="0" fillId="0" borderId="0" xfId="0" applyNumberFormat="1" applyAlignment="1">
      <alignment horizontal="right"/>
    </xf>
    <xf numFmtId="179" fontId="0" fillId="0" borderId="0" xfId="0" applyNumberFormat="1" applyAlignment="1">
      <alignment horizontal="right"/>
    </xf>
    <xf numFmtId="1" fontId="0" fillId="0" borderId="0" xfId="0" applyNumberFormat="1" applyAlignment="1"/>
    <xf numFmtId="168" fontId="33" fillId="0" borderId="0" xfId="0" applyNumberFormat="1" applyFont="1" applyAlignment="1">
      <alignment horizontal="right"/>
    </xf>
    <xf numFmtId="1" fontId="7" fillId="0" borderId="0" xfId="47" quotePrefix="1" applyNumberFormat="1" applyFont="1" applyAlignment="1">
      <alignment horizontal="left"/>
    </xf>
    <xf numFmtId="171" fontId="7" fillId="0" borderId="0" xfId="43" applyNumberFormat="1" applyFont="1" applyAlignment="1"/>
    <xf numFmtId="1" fontId="7" fillId="0" borderId="0" xfId="0" quotePrefix="1" applyNumberFormat="1" applyFont="1" applyAlignment="1"/>
    <xf numFmtId="174" fontId="0" fillId="0" borderId="0" xfId="29" applyNumberFormat="1" applyFont="1" applyAlignment="1"/>
    <xf numFmtId="165" fontId="0" fillId="0" borderId="0" xfId="28" applyNumberFormat="1" applyFont="1" applyFill="1" applyAlignment="1">
      <alignment horizontal="center"/>
    </xf>
    <xf numFmtId="0" fontId="82" fillId="0" borderId="0" xfId="49"/>
    <xf numFmtId="0" fontId="82" fillId="0" borderId="16" xfId="49" applyBorder="1"/>
    <xf numFmtId="1" fontId="23" fillId="0" borderId="0" xfId="0" quotePrefix="1" applyNumberFormat="1" applyFont="1" applyFill="1" applyAlignment="1">
      <alignment horizontal="left"/>
    </xf>
    <xf numFmtId="1" fontId="23" fillId="31" borderId="0" xfId="0" quotePrefix="1" applyNumberFormat="1" applyFont="1" applyFill="1" applyAlignment="1">
      <alignment horizontal="left"/>
    </xf>
    <xf numFmtId="1" fontId="20" fillId="31" borderId="0" xfId="0" quotePrefix="1" applyNumberFormat="1" applyFont="1" applyFill="1" applyAlignment="1">
      <alignment horizontal="left"/>
    </xf>
    <xf numFmtId="1" fontId="0" fillId="31" borderId="0" xfId="0" applyNumberFormat="1" applyFill="1" applyAlignment="1"/>
    <xf numFmtId="1" fontId="23" fillId="34" borderId="0" xfId="0" applyNumberFormat="1" applyFont="1" applyFill="1" applyAlignment="1"/>
    <xf numFmtId="1" fontId="91" fillId="34" borderId="0" xfId="0" applyNumberFormat="1" applyFont="1" applyFill="1" applyAlignment="1"/>
    <xf numFmtId="165" fontId="23" fillId="34" borderId="0" xfId="0" applyNumberFormat="1" applyFont="1" applyFill="1" applyAlignment="1">
      <alignment horizontal="center"/>
    </xf>
    <xf numFmtId="1" fontId="23" fillId="37" borderId="0" xfId="0" quotePrefix="1" applyNumberFormat="1" applyFont="1" applyFill="1" applyAlignment="1">
      <alignment horizontal="left"/>
    </xf>
    <xf numFmtId="1" fontId="23" fillId="37" borderId="0" xfId="0" applyNumberFormat="1" applyFont="1" applyFill="1" applyAlignment="1">
      <alignment horizontal="center"/>
    </xf>
    <xf numFmtId="1" fontId="23" fillId="0" borderId="0" xfId="0" applyNumberFormat="1" applyFont="1" applyFill="1" applyAlignment="1">
      <alignment horizontal="center"/>
    </xf>
    <xf numFmtId="1" fontId="91" fillId="0" borderId="0" xfId="0" applyNumberFormat="1" applyFont="1" applyAlignment="1"/>
    <xf numFmtId="1" fontId="8" fillId="38" borderId="0" xfId="0" applyNumberFormat="1" applyFont="1" applyFill="1" applyAlignment="1"/>
    <xf numFmtId="1" fontId="0" fillId="38" borderId="0" xfId="0" applyNumberFormat="1" applyFill="1" applyAlignment="1"/>
    <xf numFmtId="9" fontId="10" fillId="38" borderId="0" xfId="43" applyFont="1" applyFill="1" applyAlignment="1">
      <alignment horizontal="center"/>
    </xf>
    <xf numFmtId="9" fontId="8" fillId="38" borderId="0" xfId="43" applyFont="1" applyFill="1" applyAlignment="1">
      <alignment horizontal="center"/>
    </xf>
    <xf numFmtId="1" fontId="0" fillId="33" borderId="18" xfId="0" applyNumberFormat="1" applyFill="1" applyBorder="1" applyAlignment="1"/>
    <xf numFmtId="1" fontId="61" fillId="33" borderId="19" xfId="0" applyNumberFormat="1" applyFont="1" applyFill="1" applyBorder="1" applyAlignment="1">
      <alignment horizontal="center"/>
    </xf>
    <xf numFmtId="1" fontId="25" fillId="33" borderId="19" xfId="0" applyNumberFormat="1" applyFont="1" applyFill="1" applyBorder="1" applyAlignment="1">
      <alignment horizontal="center"/>
    </xf>
    <xf numFmtId="1" fontId="9" fillId="33" borderId="19" xfId="0" quotePrefix="1" applyNumberFormat="1" applyFont="1" applyFill="1" applyBorder="1" applyAlignment="1">
      <alignment horizontal="center"/>
    </xf>
    <xf numFmtId="1" fontId="0" fillId="33" borderId="19" xfId="0" applyNumberFormat="1" applyFill="1" applyBorder="1" applyAlignment="1"/>
    <xf numFmtId="1" fontId="0" fillId="33" borderId="20" xfId="0" applyNumberFormat="1" applyFill="1" applyBorder="1" applyAlignment="1"/>
    <xf numFmtId="1" fontId="0" fillId="0" borderId="0" xfId="0" applyNumberFormat="1" applyFill="1" applyAlignment="1" applyProtection="1">
      <alignment horizontal="right"/>
      <protection locked="0"/>
    </xf>
    <xf numFmtId="1" fontId="13" fillId="0" borderId="0" xfId="0" applyNumberFormat="1" applyFont="1" applyFill="1" applyAlignment="1" applyProtection="1">
      <alignment horizontal="left" vertical="top" wrapText="1"/>
      <protection hidden="1"/>
    </xf>
    <xf numFmtId="1" fontId="0" fillId="33" borderId="0" xfId="0" applyNumberFormat="1" applyFill="1" applyAlignment="1" applyProtection="1">
      <protection locked="0"/>
    </xf>
    <xf numFmtId="1" fontId="0" fillId="33" borderId="0" xfId="0" applyNumberFormat="1" applyFill="1" applyAlignment="1" applyProtection="1"/>
    <xf numFmtId="165" fontId="8" fillId="33" borderId="0" xfId="29" applyNumberFormat="1" applyFont="1" applyFill="1" applyAlignment="1" applyProtection="1">
      <alignment horizontal="center"/>
      <protection locked="0"/>
    </xf>
    <xf numFmtId="169" fontId="8" fillId="33" borderId="0" xfId="29" applyNumberFormat="1" applyFont="1" applyFill="1" applyAlignment="1" applyProtection="1">
      <alignment horizontal="center"/>
      <protection locked="0"/>
    </xf>
    <xf numFmtId="1" fontId="8" fillId="33" borderId="0" xfId="0" applyNumberFormat="1" applyFont="1" applyFill="1" applyAlignment="1" applyProtection="1">
      <alignment horizontal="center"/>
      <protection locked="0"/>
    </xf>
    <xf numFmtId="1" fontId="43" fillId="33" borderId="0" xfId="0" applyNumberFormat="1" applyFont="1" applyFill="1" applyAlignment="1" applyProtection="1"/>
    <xf numFmtId="1" fontId="0" fillId="40" borderId="0" xfId="0" applyNumberFormat="1" applyFill="1" applyAlignment="1"/>
    <xf numFmtId="1" fontId="8" fillId="40" borderId="0" xfId="0" applyNumberFormat="1" applyFont="1" applyFill="1" applyAlignment="1">
      <alignment horizontal="center"/>
    </xf>
    <xf numFmtId="1" fontId="11" fillId="40" borderId="0" xfId="0" applyNumberFormat="1" applyFont="1" applyFill="1" applyAlignment="1"/>
    <xf numFmtId="1" fontId="8" fillId="40" borderId="0" xfId="0" applyNumberFormat="1" applyFont="1" applyFill="1" applyAlignment="1" applyProtection="1"/>
    <xf numFmtId="165" fontId="0" fillId="40" borderId="0" xfId="0" applyNumberFormat="1" applyFill="1" applyAlignment="1"/>
    <xf numFmtId="9" fontId="0" fillId="40" borderId="0" xfId="0" applyNumberFormat="1" applyFill="1" applyAlignment="1" applyProtection="1">
      <alignment horizontal="center"/>
    </xf>
    <xf numFmtId="1" fontId="7" fillId="40" borderId="0" xfId="0" quotePrefix="1" applyNumberFormat="1" applyFont="1" applyFill="1" applyAlignment="1" applyProtection="1">
      <alignment horizontal="left"/>
    </xf>
    <xf numFmtId="1" fontId="10" fillId="40" borderId="0" xfId="0" applyNumberFormat="1" applyFont="1" applyFill="1" applyAlignment="1" applyProtection="1"/>
    <xf numFmtId="1" fontId="10" fillId="40" borderId="0" xfId="0" quotePrefix="1" applyNumberFormat="1" applyFont="1" applyFill="1" applyAlignment="1" applyProtection="1">
      <alignment horizontal="left"/>
    </xf>
    <xf numFmtId="1" fontId="8" fillId="40" borderId="0" xfId="0" applyNumberFormat="1" applyFont="1" applyFill="1" applyAlignment="1" applyProtection="1">
      <alignment horizontal="left"/>
    </xf>
    <xf numFmtId="165" fontId="0" fillId="40" borderId="0" xfId="0" applyNumberFormat="1" applyFill="1" applyAlignment="1" applyProtection="1"/>
    <xf numFmtId="171" fontId="0" fillId="40" borderId="0" xfId="43" applyNumberFormat="1" applyFont="1" applyFill="1" applyAlignment="1" applyProtection="1">
      <alignment horizontal="center"/>
    </xf>
    <xf numFmtId="165" fontId="0" fillId="40" borderId="0" xfId="0" applyNumberFormat="1" applyFill="1" applyAlignment="1" applyProtection="1">
      <alignment horizontal="center"/>
    </xf>
    <xf numFmtId="1" fontId="10" fillId="40" borderId="0" xfId="0" applyNumberFormat="1" applyFont="1" applyFill="1" applyAlignment="1" applyProtection="1">
      <alignment horizontal="left"/>
    </xf>
    <xf numFmtId="1" fontId="11" fillId="40" borderId="0" xfId="0" applyNumberFormat="1" applyFont="1" applyFill="1" applyAlignment="1" applyProtection="1"/>
    <xf numFmtId="1" fontId="0" fillId="41" borderId="0" xfId="0" applyNumberFormat="1" applyFill="1" applyAlignment="1" applyProtection="1">
      <alignment horizontal="center"/>
    </xf>
    <xf numFmtId="1" fontId="8" fillId="41" borderId="0" xfId="0" applyNumberFormat="1" applyFont="1" applyFill="1" applyAlignment="1" applyProtection="1"/>
    <xf numFmtId="9" fontId="0" fillId="41" borderId="0" xfId="0" applyNumberFormat="1" applyFill="1" applyAlignment="1" applyProtection="1"/>
    <xf numFmtId="175" fontId="0" fillId="41" borderId="0" xfId="28" applyNumberFormat="1" applyFont="1" applyFill="1" applyProtection="1"/>
    <xf numFmtId="1" fontId="0" fillId="41" borderId="0" xfId="0" applyNumberFormat="1" applyFill="1" applyAlignment="1" applyProtection="1"/>
    <xf numFmtId="1" fontId="10" fillId="41" borderId="0" xfId="0" applyNumberFormat="1" applyFont="1" applyFill="1" applyAlignment="1" applyProtection="1"/>
    <xf numFmtId="1" fontId="10" fillId="41" borderId="0" xfId="0" quotePrefix="1" applyNumberFormat="1" applyFont="1" applyFill="1" applyAlignment="1" applyProtection="1">
      <alignment horizontal="left"/>
    </xf>
    <xf numFmtId="1" fontId="12" fillId="35" borderId="0" xfId="0" applyNumberFormat="1" applyFont="1" applyFill="1" applyAlignment="1" applyProtection="1"/>
    <xf numFmtId="1" fontId="12" fillId="42" borderId="0" xfId="0" quotePrefix="1" applyNumberFormat="1" applyFont="1" applyFill="1" applyAlignment="1" applyProtection="1">
      <alignment horizontal="left"/>
    </xf>
    <xf numFmtId="9" fontId="0" fillId="42" borderId="0" xfId="0" applyNumberFormat="1" applyFill="1" applyAlignment="1" applyProtection="1"/>
    <xf numFmtId="1" fontId="8" fillId="36" borderId="0" xfId="0" applyNumberFormat="1" applyFont="1" applyFill="1" applyAlignment="1">
      <alignment horizontal="center"/>
    </xf>
    <xf numFmtId="1" fontId="8" fillId="36" borderId="0" xfId="0" quotePrefix="1" applyNumberFormat="1" applyFont="1" applyFill="1" applyAlignment="1" applyProtection="1">
      <alignment horizontal="left"/>
    </xf>
    <xf numFmtId="1" fontId="10" fillId="36" borderId="0" xfId="0" applyNumberFormat="1" applyFont="1" applyFill="1" applyAlignment="1" applyProtection="1"/>
    <xf numFmtId="9" fontId="0" fillId="36" borderId="0" xfId="0" applyNumberFormat="1" applyFill="1" applyAlignment="1" applyProtection="1">
      <alignment horizontal="center"/>
    </xf>
    <xf numFmtId="1" fontId="11" fillId="36" borderId="0" xfId="0" applyNumberFormat="1" applyFont="1" applyFill="1" applyAlignment="1" applyProtection="1"/>
    <xf numFmtId="1" fontId="8" fillId="36" borderId="0" xfId="0" applyNumberFormat="1" applyFont="1" applyFill="1" applyProtection="1">
      <alignment horizontal="left" wrapText="1"/>
    </xf>
    <xf numFmtId="9" fontId="8" fillId="40" borderId="0" xfId="43" applyFont="1" applyFill="1" applyAlignment="1">
      <alignment horizontal="center"/>
    </xf>
    <xf numFmtId="9" fontId="10" fillId="40" borderId="0" xfId="43" applyFont="1" applyFill="1" applyAlignment="1">
      <alignment horizontal="center"/>
    </xf>
    <xf numFmtId="165" fontId="8" fillId="40" borderId="0" xfId="0" applyNumberFormat="1" applyFont="1" applyFill="1" applyAlignment="1">
      <alignment horizontal="center"/>
    </xf>
    <xf numFmtId="1" fontId="0" fillId="0" borderId="0" xfId="0" applyNumberFormat="1" applyAlignment="1"/>
    <xf numFmtId="0" fontId="6" fillId="0" borderId="0" xfId="52" applyFill="1" applyBorder="1"/>
    <xf numFmtId="0" fontId="6" fillId="0" borderId="0" xfId="52" applyFill="1" applyBorder="1" applyAlignment="1">
      <alignment horizontal="left"/>
    </xf>
    <xf numFmtId="11" fontId="6" fillId="0" borderId="0" xfId="52" applyNumberFormat="1" applyFill="1" applyBorder="1" applyAlignment="1">
      <alignment horizontal="left"/>
    </xf>
    <xf numFmtId="0" fontId="90" fillId="0" borderId="0" xfId="52" applyFont="1" applyFill="1" applyBorder="1"/>
    <xf numFmtId="9" fontId="6" fillId="0" borderId="0" xfId="52" applyNumberFormat="1" applyFill="1" applyBorder="1" applyAlignment="1">
      <alignment horizontal="left"/>
    </xf>
    <xf numFmtId="0" fontId="90" fillId="0" borderId="0" xfId="52" applyFont="1" applyFill="1" applyBorder="1" applyAlignment="1">
      <alignment horizontal="left"/>
    </xf>
    <xf numFmtId="0" fontId="82" fillId="29" borderId="0" xfId="49" applyFill="1"/>
    <xf numFmtId="0" fontId="82" fillId="29" borderId="12" xfId="49" applyFill="1" applyBorder="1"/>
    <xf numFmtId="0" fontId="82" fillId="29" borderId="13" xfId="49" applyFill="1" applyBorder="1"/>
    <xf numFmtId="0" fontId="82" fillId="29" borderId="14" xfId="49" applyFill="1" applyBorder="1"/>
    <xf numFmtId="0" fontId="82" fillId="29" borderId="0" xfId="49" applyFill="1" applyBorder="1"/>
    <xf numFmtId="0" fontId="82" fillId="0" borderId="0" xfId="49" applyFill="1"/>
    <xf numFmtId="0" fontId="84" fillId="31" borderId="0" xfId="49" applyFont="1" applyFill="1" applyBorder="1"/>
    <xf numFmtId="0" fontId="82" fillId="31" borderId="0" xfId="49" applyFill="1" applyBorder="1"/>
    <xf numFmtId="0" fontId="93" fillId="29" borderId="13" xfId="49" applyFont="1" applyFill="1" applyBorder="1"/>
    <xf numFmtId="0" fontId="82" fillId="32" borderId="26" xfId="49" applyFill="1" applyBorder="1"/>
    <xf numFmtId="165" fontId="82" fillId="32" borderId="26" xfId="49" applyNumberFormat="1" applyFill="1" applyBorder="1"/>
    <xf numFmtId="0" fontId="82" fillId="29" borderId="29" xfId="49" applyFill="1" applyBorder="1"/>
    <xf numFmtId="0" fontId="82" fillId="29" borderId="27" xfId="49" applyFill="1" applyBorder="1"/>
    <xf numFmtId="0" fontId="84" fillId="34" borderId="0" xfId="49" applyFont="1" applyFill="1" applyBorder="1" applyAlignment="1">
      <alignment horizontal="center" vertical="center" wrapText="1"/>
    </xf>
    <xf numFmtId="0" fontId="84" fillId="34" borderId="0" xfId="49" applyFont="1" applyFill="1" applyBorder="1"/>
    <xf numFmtId="0" fontId="84" fillId="34" borderId="17" xfId="49" applyFont="1" applyFill="1" applyBorder="1"/>
    <xf numFmtId="0" fontId="5" fillId="29" borderId="0" xfId="49" applyFont="1" applyFill="1" applyBorder="1"/>
    <xf numFmtId="0" fontId="95" fillId="34" borderId="24" xfId="49" applyFont="1" applyFill="1" applyBorder="1"/>
    <xf numFmtId="0" fontId="95" fillId="34" borderId="31" xfId="49" applyFont="1" applyFill="1" applyBorder="1"/>
    <xf numFmtId="165" fontId="95" fillId="34" borderId="31" xfId="49" applyNumberFormat="1" applyFont="1" applyFill="1" applyBorder="1"/>
    <xf numFmtId="9" fontId="91" fillId="34" borderId="32" xfId="51" applyFont="1" applyFill="1" applyBorder="1"/>
    <xf numFmtId="1" fontId="8" fillId="29" borderId="0" xfId="0" applyNumberFormat="1" applyFont="1" applyFill="1" applyAlignment="1">
      <alignment horizontal="center"/>
    </xf>
    <xf numFmtId="9" fontId="0" fillId="29" borderId="0" xfId="0" applyNumberFormat="1" applyFill="1" applyAlignment="1"/>
    <xf numFmtId="165" fontId="0" fillId="29" borderId="0" xfId="0" applyNumberFormat="1" applyFill="1" applyAlignment="1"/>
    <xf numFmtId="1" fontId="11" fillId="29" borderId="0" xfId="0" applyNumberFormat="1" applyFont="1" applyFill="1" applyAlignment="1"/>
    <xf numFmtId="0" fontId="94" fillId="31" borderId="0" xfId="49" applyFont="1" applyFill="1" applyBorder="1" applyAlignment="1"/>
    <xf numFmtId="0" fontId="5" fillId="32" borderId="0" xfId="49" applyFont="1" applyFill="1" applyBorder="1"/>
    <xf numFmtId="1" fontId="11" fillId="29" borderId="0" xfId="0" applyNumberFormat="1" applyFont="1" applyFill="1" applyAlignment="1" applyProtection="1"/>
    <xf numFmtId="9" fontId="0" fillId="29" borderId="0" xfId="0" applyNumberFormat="1" applyFill="1" applyAlignment="1" applyProtection="1"/>
    <xf numFmtId="1" fontId="8" fillId="29" borderId="0" xfId="0" quotePrefix="1" applyNumberFormat="1" applyFont="1" applyFill="1" applyAlignment="1">
      <alignment horizontal="left"/>
    </xf>
    <xf numFmtId="169" fontId="0" fillId="29" borderId="0" xfId="0" applyNumberFormat="1" applyFill="1" applyAlignment="1">
      <alignment horizontal="center"/>
    </xf>
    <xf numFmtId="1" fontId="10" fillId="29" borderId="0" xfId="0" applyNumberFormat="1" applyFont="1" applyFill="1" applyAlignment="1" applyProtection="1"/>
    <xf numFmtId="1" fontId="0" fillId="29" borderId="0" xfId="0" quotePrefix="1" applyNumberFormat="1" applyFill="1" applyAlignment="1">
      <alignment horizontal="left"/>
    </xf>
    <xf numFmtId="0" fontId="4" fillId="32" borderId="0" xfId="49" applyFont="1" applyFill="1" applyBorder="1"/>
    <xf numFmtId="0" fontId="96" fillId="43" borderId="23" xfId="49" applyFont="1" applyFill="1" applyBorder="1"/>
    <xf numFmtId="0" fontId="96" fillId="43" borderId="0" xfId="49" applyFont="1" applyFill="1" applyBorder="1"/>
    <xf numFmtId="165" fontId="96" fillId="43" borderId="11" xfId="49" applyNumberFormat="1" applyFont="1" applyFill="1" applyBorder="1" applyAlignment="1">
      <alignment horizontal="center" vertical="center"/>
    </xf>
    <xf numFmtId="0" fontId="5" fillId="40" borderId="23" xfId="49" applyFont="1" applyFill="1" applyBorder="1"/>
    <xf numFmtId="0" fontId="5" fillId="40" borderId="0" xfId="49" applyFont="1" applyFill="1" applyBorder="1"/>
    <xf numFmtId="165" fontId="5" fillId="40" borderId="11" xfId="49" applyNumberFormat="1" applyFont="1" applyFill="1" applyBorder="1" applyAlignment="1">
      <alignment horizontal="center" vertical="center"/>
    </xf>
    <xf numFmtId="171" fontId="36" fillId="40" borderId="11" xfId="51" applyNumberFormat="1" applyFont="1" applyFill="1" applyBorder="1"/>
    <xf numFmtId="0" fontId="5" fillId="44" borderId="23" xfId="49" applyFont="1" applyFill="1" applyBorder="1"/>
    <xf numFmtId="0" fontId="5" fillId="44" borderId="0" xfId="49" applyFont="1" applyFill="1" applyBorder="1"/>
    <xf numFmtId="165" fontId="5" fillId="44" borderId="11" xfId="49" applyNumberFormat="1" applyFont="1" applyFill="1" applyBorder="1" applyAlignment="1">
      <alignment horizontal="center" vertical="center"/>
    </xf>
    <xf numFmtId="171" fontId="36" fillId="44" borderId="11" xfId="51" applyNumberFormat="1" applyFont="1" applyFill="1" applyBorder="1"/>
    <xf numFmtId="1" fontId="0" fillId="29" borderId="0" xfId="0" applyNumberFormat="1" applyFill="1" applyAlignment="1">
      <alignment horizontal="right"/>
    </xf>
    <xf numFmtId="1" fontId="19" fillId="29" borderId="0" xfId="0" applyNumberFormat="1" applyFont="1" applyFill="1" applyAlignment="1"/>
    <xf numFmtId="1" fontId="0" fillId="29" borderId="0" xfId="0" applyNumberFormat="1" applyFill="1" applyAlignment="1">
      <alignment horizontal="center"/>
    </xf>
    <xf numFmtId="1" fontId="0" fillId="29" borderId="0" xfId="0" applyNumberFormat="1" applyFill="1" applyAlignment="1" applyProtection="1">
      <alignment horizontal="right"/>
    </xf>
    <xf numFmtId="1" fontId="0" fillId="29" borderId="0" xfId="0" applyNumberFormat="1" applyFill="1" applyBorder="1" applyAlignment="1"/>
    <xf numFmtId="1" fontId="10" fillId="29" borderId="0" xfId="0" applyNumberFormat="1" applyFont="1" applyFill="1" applyAlignment="1">
      <alignment horizontal="left"/>
    </xf>
    <xf numFmtId="1" fontId="10" fillId="29" borderId="0" xfId="0" applyNumberFormat="1" applyFont="1" applyFill="1" applyAlignment="1"/>
    <xf numFmtId="1" fontId="7" fillId="29" borderId="0" xfId="0" quotePrefix="1" applyNumberFormat="1" applyFont="1" applyFill="1" applyAlignment="1">
      <alignment horizontal="left"/>
    </xf>
    <xf numFmtId="165" fontId="0" fillId="29" borderId="0" xfId="0" applyNumberFormat="1" applyFill="1" applyAlignment="1">
      <alignment horizontal="right"/>
    </xf>
    <xf numFmtId="165" fontId="7" fillId="29" borderId="0" xfId="0" applyNumberFormat="1" applyFont="1" applyFill="1" applyAlignment="1">
      <alignment horizontal="left"/>
    </xf>
    <xf numFmtId="165" fontId="0" fillId="29" borderId="0" xfId="0" applyNumberFormat="1" applyFill="1" applyAlignment="1">
      <alignment horizontal="center"/>
    </xf>
    <xf numFmtId="1" fontId="14" fillId="29" borderId="0" xfId="36" applyNumberFormat="1" applyFill="1" applyAlignment="1" applyProtection="1">
      <alignment horizontal="right"/>
    </xf>
    <xf numFmtId="1" fontId="7" fillId="29" borderId="0" xfId="0" applyNumberFormat="1" applyFont="1" applyFill="1" applyAlignment="1">
      <alignment horizontal="left"/>
    </xf>
    <xf numFmtId="169" fontId="0" fillId="29" borderId="0" xfId="0" applyNumberFormat="1" applyFill="1" applyAlignment="1">
      <alignment horizontal="right"/>
    </xf>
    <xf numFmtId="2" fontId="14" fillId="29" borderId="0" xfId="36" applyNumberFormat="1" applyFill="1" applyAlignment="1" applyProtection="1">
      <alignment horizontal="right"/>
    </xf>
    <xf numFmtId="7" fontId="0" fillId="29" borderId="0" xfId="29" quotePrefix="1" applyNumberFormat="1" applyFont="1" applyFill="1" applyAlignment="1">
      <alignment horizontal="left"/>
    </xf>
    <xf numFmtId="0" fontId="0" fillId="29" borderId="0" xfId="29" applyNumberFormat="1" applyFont="1" applyFill="1" applyAlignment="1">
      <alignment horizontal="right"/>
    </xf>
    <xf numFmtId="1" fontId="10" fillId="29" borderId="0" xfId="0" quotePrefix="1" applyNumberFormat="1" applyFont="1" applyFill="1" applyAlignment="1">
      <alignment horizontal="left"/>
    </xf>
    <xf numFmtId="165" fontId="21" fillId="29" borderId="0" xfId="0" applyNumberFormat="1" applyFont="1" applyFill="1" applyAlignment="1">
      <alignment horizontal="center"/>
    </xf>
    <xf numFmtId="1" fontId="19" fillId="29" borderId="0" xfId="0" applyNumberFormat="1" applyFont="1" applyFill="1" applyBorder="1" applyAlignment="1"/>
    <xf numFmtId="1" fontId="91" fillId="29" borderId="0" xfId="0" applyNumberFormat="1" applyFont="1" applyFill="1" applyAlignment="1"/>
    <xf numFmtId="3" fontId="0" fillId="29" borderId="0" xfId="0" applyNumberFormat="1" applyFill="1" applyAlignment="1">
      <alignment horizontal="center"/>
    </xf>
    <xf numFmtId="167" fontId="0" fillId="29" borderId="0" xfId="0" applyNumberFormat="1" applyFill="1" applyAlignment="1">
      <alignment horizontal="center"/>
    </xf>
    <xf numFmtId="4" fontId="0" fillId="29" borderId="0" xfId="0" applyNumberFormat="1" applyFill="1" applyAlignment="1">
      <alignment horizontal="center"/>
    </xf>
    <xf numFmtId="170" fontId="0" fillId="29" borderId="0" xfId="0" applyNumberFormat="1" applyFill="1" applyAlignment="1">
      <alignment horizontal="center"/>
    </xf>
    <xf numFmtId="166" fontId="0" fillId="29" borderId="0" xfId="0" applyNumberFormat="1" applyFill="1" applyAlignment="1">
      <alignment horizontal="center"/>
    </xf>
    <xf numFmtId="2" fontId="0" fillId="29" borderId="0" xfId="0" applyNumberFormat="1" applyFill="1" applyAlignment="1"/>
    <xf numFmtId="1" fontId="8" fillId="29" borderId="0" xfId="0" applyNumberFormat="1" applyFont="1" applyFill="1" applyAlignment="1"/>
    <xf numFmtId="9" fontId="10" fillId="29" borderId="0" xfId="43" applyFont="1" applyFill="1" applyAlignment="1">
      <alignment horizontal="center"/>
    </xf>
    <xf numFmtId="178" fontId="8" fillId="29" borderId="0" xfId="0" applyFont="1" applyFill="1" applyAlignment="1">
      <alignment horizontal="left"/>
    </xf>
    <xf numFmtId="165" fontId="8" fillId="29" borderId="0" xfId="0" applyNumberFormat="1" applyFont="1" applyFill="1" applyAlignment="1"/>
    <xf numFmtId="165" fontId="8" fillId="29" borderId="0" xfId="0" applyNumberFormat="1" applyFont="1" applyFill="1" applyAlignment="1">
      <alignment horizontal="center"/>
    </xf>
    <xf numFmtId="9" fontId="8" fillId="29" borderId="0" xfId="43" applyFont="1" applyFill="1" applyAlignment="1">
      <alignment horizontal="center"/>
    </xf>
    <xf numFmtId="9" fontId="0" fillId="29" borderId="0" xfId="43" applyFont="1" applyFill="1" applyAlignment="1">
      <alignment horizontal="center"/>
    </xf>
    <xf numFmtId="171" fontId="0" fillId="29" borderId="0" xfId="43" applyNumberFormat="1" applyFont="1" applyFill="1" applyAlignment="1">
      <alignment horizontal="center"/>
    </xf>
    <xf numFmtId="1" fontId="0" fillId="29" borderId="0" xfId="0" applyNumberFormat="1" applyFill="1" applyAlignment="1">
      <alignment horizontal="left"/>
    </xf>
    <xf numFmtId="178" fontId="7" fillId="29" borderId="0" xfId="0" applyFont="1" applyFill="1" applyAlignment="1">
      <alignment horizontal="left"/>
    </xf>
    <xf numFmtId="1" fontId="8" fillId="29" borderId="0" xfId="0" applyNumberFormat="1" applyFont="1" applyFill="1" applyAlignment="1">
      <alignment horizontal="left"/>
    </xf>
    <xf numFmtId="1" fontId="8" fillId="29" borderId="0" xfId="0" quotePrefix="1" applyNumberFormat="1" applyFont="1" applyFill="1" applyAlignment="1">
      <alignment horizontal="center"/>
    </xf>
    <xf numFmtId="3" fontId="8" fillId="29" borderId="0" xfId="0" applyNumberFormat="1" applyFont="1" applyFill="1" applyAlignment="1">
      <alignment horizontal="right"/>
    </xf>
    <xf numFmtId="1" fontId="10" fillId="29" borderId="0" xfId="0" quotePrefix="1" applyNumberFormat="1" applyFont="1" applyFill="1" applyAlignment="1" applyProtection="1">
      <alignment horizontal="left"/>
    </xf>
    <xf numFmtId="178" fontId="7" fillId="29" borderId="0" xfId="0" applyFont="1" applyFill="1">
      <alignment horizontal="left" wrapText="1"/>
    </xf>
    <xf numFmtId="3" fontId="8" fillId="29" borderId="0" xfId="0" applyNumberFormat="1" applyFont="1" applyFill="1" applyAlignment="1">
      <alignment horizontal="center"/>
    </xf>
    <xf numFmtId="167" fontId="8" fillId="29" borderId="0" xfId="0" applyNumberFormat="1" applyFont="1" applyFill="1" applyAlignment="1">
      <alignment horizontal="center"/>
    </xf>
    <xf numFmtId="167" fontId="0" fillId="29" borderId="0" xfId="0" applyNumberFormat="1" applyFill="1" applyAlignment="1"/>
    <xf numFmtId="1" fontId="20" fillId="29" borderId="0" xfId="0" quotePrefix="1" applyNumberFormat="1" applyFont="1" applyFill="1" applyAlignment="1">
      <alignment horizontal="left"/>
    </xf>
    <xf numFmtId="169" fontId="8" fillId="29" borderId="0" xfId="0" applyNumberFormat="1" applyFont="1" applyFill="1" applyAlignment="1">
      <alignment horizontal="center"/>
    </xf>
    <xf numFmtId="1" fontId="20" fillId="29" borderId="0" xfId="0" applyNumberFormat="1" applyFont="1" applyFill="1" applyAlignment="1">
      <alignment horizontal="left"/>
    </xf>
    <xf numFmtId="0" fontId="5" fillId="29" borderId="28" xfId="49" applyFont="1" applyFill="1" applyBorder="1"/>
    <xf numFmtId="0" fontId="82" fillId="33" borderId="11" xfId="49" applyFill="1" applyBorder="1"/>
    <xf numFmtId="0" fontId="82" fillId="33" borderId="25" xfId="49" applyFill="1" applyBorder="1"/>
    <xf numFmtId="169" fontId="0" fillId="29" borderId="0" xfId="43" applyNumberFormat="1" applyFont="1" applyFill="1" applyAlignment="1">
      <alignment horizontal="center"/>
    </xf>
    <xf numFmtId="1" fontId="0" fillId="0" borderId="0" xfId="0" applyNumberFormat="1" applyAlignment="1"/>
    <xf numFmtId="9" fontId="82" fillId="0" borderId="0" xfId="43" applyFont="1"/>
    <xf numFmtId="178" fontId="100" fillId="0" borderId="0" xfId="0" applyFont="1" applyAlignment="1">
      <alignment vertical="top" wrapText="1"/>
    </xf>
    <xf numFmtId="178" fontId="0" fillId="0" borderId="0" xfId="0" applyAlignment="1">
      <alignment vertical="top" wrapText="1"/>
    </xf>
    <xf numFmtId="178" fontId="101" fillId="32" borderId="0" xfId="0" applyFont="1" applyFill="1" applyAlignment="1">
      <alignment vertical="top" wrapText="1"/>
    </xf>
    <xf numFmtId="178" fontId="101" fillId="45" borderId="0" xfId="0" applyFont="1" applyFill="1" applyAlignment="1">
      <alignment vertical="top" wrapText="1"/>
    </xf>
    <xf numFmtId="178" fontId="101" fillId="0" borderId="0" xfId="0" applyFont="1" applyAlignment="1">
      <alignment vertical="top" wrapText="1"/>
    </xf>
    <xf numFmtId="1" fontId="7" fillId="32" borderId="0" xfId="0" quotePrefix="1" applyNumberFormat="1" applyFont="1" applyFill="1" applyAlignment="1">
      <alignment horizontal="left"/>
    </xf>
    <xf numFmtId="1" fontId="7" fillId="45" borderId="0" xfId="0" applyNumberFormat="1" applyFont="1" applyFill="1" applyAlignment="1">
      <alignment horizontal="left"/>
    </xf>
    <xf numFmtId="1" fontId="7" fillId="46" borderId="0" xfId="0" applyNumberFormat="1" applyFont="1" applyFill="1" applyAlignment="1"/>
    <xf numFmtId="10" fontId="0" fillId="45" borderId="0" xfId="0" applyNumberFormat="1" applyFill="1" applyAlignment="1">
      <alignment vertical="top" wrapText="1"/>
    </xf>
    <xf numFmtId="10" fontId="0" fillId="46" borderId="0" xfId="0" applyNumberFormat="1" applyFill="1" applyAlignment="1">
      <alignment vertical="top" wrapText="1"/>
    </xf>
    <xf numFmtId="10" fontId="0" fillId="32" borderId="0" xfId="0" applyNumberFormat="1" applyFill="1" applyAlignment="1">
      <alignment vertical="top" wrapText="1"/>
    </xf>
    <xf numFmtId="10" fontId="0" fillId="32" borderId="0" xfId="0" applyNumberFormat="1" applyFill="1" applyAlignment="1"/>
    <xf numFmtId="10" fontId="0" fillId="45" borderId="0" xfId="0" applyNumberFormat="1" applyFill="1" applyAlignment="1"/>
    <xf numFmtId="10" fontId="0" fillId="46" borderId="0" xfId="0" applyNumberFormat="1" applyFill="1" applyAlignment="1"/>
    <xf numFmtId="9" fontId="7" fillId="0" borderId="0" xfId="43" applyFont="1" applyAlignment="1"/>
    <xf numFmtId="44" fontId="7" fillId="0" borderId="0" xfId="29" applyNumberFormat="1" applyFont="1" applyAlignment="1"/>
    <xf numFmtId="44" fontId="0" fillId="0" borderId="0" xfId="29" applyNumberFormat="1" applyFont="1" applyAlignment="1"/>
    <xf numFmtId="1" fontId="0" fillId="0" borderId="0" xfId="0" applyNumberFormat="1" applyAlignment="1"/>
    <xf numFmtId="9" fontId="101" fillId="32" borderId="0" xfId="43" applyNumberFormat="1" applyFont="1" applyFill="1" applyAlignment="1">
      <alignment vertical="top" wrapText="1"/>
    </xf>
    <xf numFmtId="9" fontId="0" fillId="45" borderId="0" xfId="43" applyNumberFormat="1" applyFont="1" applyFill="1" applyAlignment="1">
      <alignment vertical="top" wrapText="1"/>
    </xf>
    <xf numFmtId="9" fontId="7" fillId="46" borderId="0" xfId="43" applyNumberFormat="1" applyFont="1" applyFill="1" applyAlignment="1"/>
    <xf numFmtId="1" fontId="0" fillId="0" borderId="0" xfId="0" applyNumberFormat="1" applyAlignment="1"/>
    <xf numFmtId="2" fontId="7" fillId="0" borderId="0" xfId="0" applyNumberFormat="1" applyFont="1" applyAlignment="1"/>
    <xf numFmtId="1" fontId="8" fillId="0" borderId="0" xfId="0" applyNumberFormat="1" applyFont="1" applyFill="1" applyAlignment="1" applyProtection="1">
      <alignment horizontal="left"/>
      <protection locked="0"/>
    </xf>
    <xf numFmtId="1" fontId="102" fillId="0" borderId="14" xfId="0" applyNumberFormat="1" applyFont="1" applyBorder="1" applyAlignment="1"/>
    <xf numFmtId="1" fontId="102" fillId="0" borderId="0" xfId="0" applyNumberFormat="1" applyFont="1" applyAlignment="1"/>
    <xf numFmtId="1" fontId="102" fillId="0" borderId="15" xfId="0" applyNumberFormat="1" applyFont="1" applyBorder="1" applyAlignment="1"/>
    <xf numFmtId="1" fontId="102" fillId="0" borderId="16" xfId="0" applyNumberFormat="1" applyFont="1" applyBorder="1" applyAlignment="1"/>
    <xf numFmtId="1" fontId="7" fillId="30" borderId="0" xfId="0" applyNumberFormat="1" applyFont="1" applyFill="1" applyAlignment="1"/>
    <xf numFmtId="169" fontId="0" fillId="0" borderId="0" xfId="29" applyNumberFormat="1" applyFont="1" applyAlignment="1"/>
    <xf numFmtId="169" fontId="7" fillId="0" borderId="0" xfId="29" applyNumberFormat="1" applyFont="1" applyAlignment="1"/>
    <xf numFmtId="44" fontId="0" fillId="0" borderId="0" xfId="0" applyNumberFormat="1" applyAlignment="1"/>
    <xf numFmtId="1" fontId="0" fillId="0" borderId="0" xfId="0" applyNumberFormat="1" applyAlignment="1"/>
    <xf numFmtId="165" fontId="0" fillId="0" borderId="25" xfId="0" applyNumberFormat="1" applyBorder="1" applyAlignment="1"/>
    <xf numFmtId="165" fontId="0" fillId="0" borderId="33" xfId="0" applyNumberFormat="1" applyBorder="1" applyAlignment="1"/>
    <xf numFmtId="165" fontId="0" fillId="0" borderId="26" xfId="0" applyNumberFormat="1" applyBorder="1" applyAlignment="1"/>
    <xf numFmtId="9" fontId="0" fillId="0" borderId="0" xfId="43" applyFont="1" applyFill="1" applyProtection="1">
      <protection locked="0"/>
    </xf>
    <xf numFmtId="0" fontId="3" fillId="32" borderId="0" xfId="49" applyFont="1" applyFill="1" applyBorder="1"/>
    <xf numFmtId="178" fontId="0" fillId="0" borderId="0" xfId="0" applyAlignment="1">
      <alignment vertical="center"/>
    </xf>
    <xf numFmtId="1" fontId="103" fillId="0" borderId="0" xfId="0" applyNumberFormat="1" applyFont="1" applyAlignment="1"/>
    <xf numFmtId="178" fontId="94" fillId="0" borderId="0" xfId="0" applyFont="1" applyAlignment="1">
      <alignment vertical="center"/>
    </xf>
    <xf numFmtId="1" fontId="0" fillId="0" borderId="0" xfId="0" applyNumberFormat="1" applyAlignment="1"/>
    <xf numFmtId="9" fontId="7" fillId="0" borderId="0" xfId="43" applyFont="1"/>
    <xf numFmtId="169" fontId="7" fillId="0" borderId="0" xfId="29" applyNumberFormat="1" applyFont="1"/>
    <xf numFmtId="169" fontId="7" fillId="0" borderId="0" xfId="0" applyNumberFormat="1" applyFont="1" applyAlignment="1"/>
    <xf numFmtId="1" fontId="23" fillId="39" borderId="0" xfId="0" quotePrefix="1" applyNumberFormat="1" applyFont="1" applyFill="1" applyAlignment="1" applyProtection="1">
      <alignment horizontal="left"/>
    </xf>
    <xf numFmtId="1" fontId="0" fillId="39" borderId="0" xfId="0" applyNumberFormat="1" applyFill="1" applyAlignment="1" applyProtection="1"/>
    <xf numFmtId="1" fontId="0" fillId="29" borderId="0" xfId="0" applyNumberFormat="1" applyFill="1" applyAlignment="1" applyProtection="1"/>
    <xf numFmtId="1" fontId="23" fillId="33" borderId="0" xfId="0" quotePrefix="1" applyNumberFormat="1" applyFont="1" applyFill="1" applyAlignment="1" applyProtection="1">
      <alignment horizontal="left"/>
    </xf>
    <xf numFmtId="1" fontId="8" fillId="33" borderId="0" xfId="0" quotePrefix="1" applyNumberFormat="1" applyFont="1" applyFill="1" applyAlignment="1" applyProtection="1">
      <alignment horizontal="left"/>
    </xf>
    <xf numFmtId="1" fontId="28" fillId="33" borderId="0" xfId="0" applyNumberFormat="1" applyFont="1" applyFill="1" applyAlignment="1" applyProtection="1"/>
    <xf numFmtId="1" fontId="75" fillId="33" borderId="0" xfId="0" applyNumberFormat="1" applyFont="1" applyFill="1" applyAlignment="1" applyProtection="1"/>
    <xf numFmtId="1" fontId="12" fillId="32" borderId="0" xfId="0" applyNumberFormat="1" applyFont="1" applyFill="1" applyAlignment="1" applyProtection="1"/>
    <xf numFmtId="1" fontId="0" fillId="32" borderId="0" xfId="0" applyNumberFormat="1" applyFill="1" applyAlignment="1" applyProtection="1"/>
    <xf numFmtId="1" fontId="19" fillId="32" borderId="0" xfId="0" applyNumberFormat="1" applyFont="1" applyFill="1" applyAlignment="1" applyProtection="1"/>
    <xf numFmtId="1" fontId="8" fillId="33" borderId="0" xfId="0" applyNumberFormat="1" applyFont="1" applyFill="1" applyAlignment="1" applyProtection="1"/>
    <xf numFmtId="178" fontId="99" fillId="33" borderId="0" xfId="0" applyFont="1" applyFill="1" applyAlignment="1" applyProtection="1">
      <alignment horizontal="left"/>
    </xf>
    <xf numFmtId="3" fontId="8" fillId="33" borderId="0" xfId="0" applyNumberFormat="1" applyFont="1" applyFill="1" applyAlignment="1" applyProtection="1">
      <alignment horizontal="center"/>
    </xf>
    <xf numFmtId="1" fontId="19" fillId="33" borderId="0" xfId="0" applyNumberFormat="1" applyFont="1" applyFill="1" applyAlignment="1" applyProtection="1"/>
    <xf numFmtId="1" fontId="8" fillId="33" borderId="0" xfId="0" applyNumberFormat="1" applyFont="1" applyFill="1" applyAlignment="1" applyProtection="1">
      <alignment horizontal="left"/>
    </xf>
    <xf numFmtId="1" fontId="10" fillId="29" borderId="0" xfId="0" applyNumberFormat="1" applyFont="1" applyFill="1" applyAlignment="1" applyProtection="1">
      <alignment horizontal="left" vertical="top" wrapText="1"/>
      <protection hidden="1"/>
    </xf>
    <xf numFmtId="1" fontId="41" fillId="33" borderId="0" xfId="0" applyNumberFormat="1" applyFont="1" applyFill="1" applyAlignment="1" applyProtection="1"/>
    <xf numFmtId="166" fontId="8" fillId="33" borderId="0" xfId="0" applyNumberFormat="1" applyFont="1" applyFill="1" applyAlignment="1" applyProtection="1">
      <alignment horizontal="center"/>
    </xf>
    <xf numFmtId="1" fontId="19" fillId="33" borderId="0" xfId="0" applyNumberFormat="1" applyFont="1" applyFill="1" applyAlignment="1" applyProtection="1">
      <alignment horizontal="left"/>
    </xf>
    <xf numFmtId="1" fontId="19" fillId="33" borderId="0" xfId="0" applyNumberFormat="1" applyFont="1" applyFill="1" applyAlignment="1" applyProtection="1">
      <alignment horizontal="center"/>
    </xf>
    <xf numFmtId="1" fontId="19" fillId="29" borderId="0" xfId="0" applyNumberFormat="1" applyFont="1" applyFill="1" applyAlignment="1" applyProtection="1">
      <alignment horizontal="center"/>
    </xf>
    <xf numFmtId="1" fontId="12" fillId="34" borderId="0" xfId="0" quotePrefix="1" applyNumberFormat="1" applyFont="1" applyFill="1" applyAlignment="1" applyProtection="1">
      <alignment horizontal="left"/>
    </xf>
    <xf numFmtId="1" fontId="0" fillId="34" borderId="0" xfId="0" applyNumberFormat="1" applyFill="1" applyAlignment="1" applyProtection="1"/>
    <xf numFmtId="1" fontId="0" fillId="40" borderId="0" xfId="0" applyNumberFormat="1" applyFill="1" applyAlignment="1" applyProtection="1"/>
    <xf numFmtId="1" fontId="8" fillId="40" borderId="0" xfId="0" applyNumberFormat="1" applyFont="1" applyFill="1" applyAlignment="1" applyProtection="1">
      <alignment horizontal="center"/>
    </xf>
    <xf numFmtId="1" fontId="8" fillId="40" borderId="0" xfId="0" quotePrefix="1" applyNumberFormat="1" applyFont="1" applyFill="1" applyAlignment="1" applyProtection="1">
      <alignment horizontal="left"/>
    </xf>
    <xf numFmtId="1" fontId="8" fillId="0" borderId="0" xfId="0" applyNumberFormat="1" applyFont="1" applyFill="1" applyAlignment="1" applyProtection="1">
      <alignment horizontal="center"/>
    </xf>
    <xf numFmtId="1" fontId="8" fillId="40" borderId="0" xfId="0" applyNumberFormat="1" applyFont="1" applyFill="1" applyAlignment="1" applyProtection="1">
      <alignment horizontal="right"/>
    </xf>
    <xf numFmtId="1" fontId="7" fillId="0" borderId="0" xfId="0" applyNumberFormat="1" applyFont="1" applyFill="1" applyAlignment="1" applyProtection="1"/>
    <xf numFmtId="9" fontId="0" fillId="29" borderId="0" xfId="43" applyFont="1" applyFill="1" applyProtection="1"/>
    <xf numFmtId="1" fontId="7" fillId="29" borderId="0" xfId="0" applyNumberFormat="1" applyFont="1" applyFill="1" applyAlignment="1" applyProtection="1"/>
    <xf numFmtId="1" fontId="42" fillId="40" borderId="0" xfId="0" applyNumberFormat="1" applyFont="1" applyFill="1" applyAlignment="1" applyProtection="1"/>
    <xf numFmtId="1" fontId="42" fillId="0" borderId="0" xfId="0" applyNumberFormat="1" applyFont="1" applyFill="1" applyAlignment="1" applyProtection="1"/>
    <xf numFmtId="172" fontId="0" fillId="40" borderId="0" xfId="0" applyNumberFormat="1" applyFill="1" applyAlignment="1" applyProtection="1"/>
    <xf numFmtId="170" fontId="0" fillId="40" borderId="0" xfId="0" applyNumberFormat="1" applyFill="1" applyAlignment="1" applyProtection="1"/>
    <xf numFmtId="170" fontId="0" fillId="0" borderId="0" xfId="0" applyNumberFormat="1" applyFill="1" applyAlignment="1" applyProtection="1"/>
    <xf numFmtId="165" fontId="0" fillId="29" borderId="0" xfId="0" applyNumberFormat="1" applyFill="1" applyAlignment="1" applyProtection="1"/>
    <xf numFmtId="165" fontId="0" fillId="42" borderId="0" xfId="0" applyNumberFormat="1" applyFill="1" applyAlignment="1" applyProtection="1"/>
    <xf numFmtId="1" fontId="0" fillId="42" borderId="0" xfId="0" applyNumberFormat="1" applyFill="1" applyAlignment="1" applyProtection="1"/>
    <xf numFmtId="1" fontId="19" fillId="36" borderId="0" xfId="0" applyNumberFormat="1" applyFont="1" applyFill="1" applyAlignment="1" applyProtection="1"/>
    <xf numFmtId="1" fontId="0" fillId="36" borderId="0" xfId="0" applyNumberFormat="1" applyFill="1" applyAlignment="1" applyProtection="1"/>
    <xf numFmtId="1" fontId="8" fillId="36" borderId="0" xfId="0" applyNumberFormat="1" applyFont="1" applyFill="1" applyAlignment="1" applyProtection="1">
      <alignment horizontal="center"/>
    </xf>
    <xf numFmtId="1" fontId="8" fillId="36" borderId="0" xfId="0" applyNumberFormat="1" applyFont="1" applyFill="1" applyAlignment="1" applyProtection="1">
      <alignment horizontal="right"/>
    </xf>
    <xf numFmtId="1" fontId="8" fillId="36" borderId="0" xfId="0" applyNumberFormat="1" applyFont="1" applyFill="1" applyAlignment="1" applyProtection="1">
      <alignment horizontal="center" wrapText="1"/>
    </xf>
    <xf numFmtId="1" fontId="8" fillId="0" borderId="0" xfId="0" applyNumberFormat="1" applyFont="1" applyFill="1" applyAlignment="1" applyProtection="1">
      <alignment horizontal="right"/>
    </xf>
    <xf numFmtId="1" fontId="42" fillId="36" borderId="0" xfId="0" applyNumberFormat="1" applyFont="1" applyFill="1" applyAlignment="1" applyProtection="1"/>
    <xf numFmtId="1" fontId="7" fillId="36" borderId="0" xfId="0" applyNumberFormat="1" applyFont="1" applyFill="1" applyAlignment="1" applyProtection="1"/>
    <xf numFmtId="169" fontId="0" fillId="36" borderId="0" xfId="0" applyNumberFormat="1" applyFill="1" applyAlignment="1" applyProtection="1">
      <alignment horizontal="center"/>
    </xf>
    <xf numFmtId="171" fontId="0" fillId="36" borderId="0" xfId="43" applyNumberFormat="1" applyFont="1" applyFill="1" applyAlignment="1" applyProtection="1">
      <alignment horizontal="center"/>
    </xf>
    <xf numFmtId="169" fontId="0" fillId="0" borderId="0" xfId="0" applyNumberFormat="1" applyFill="1" applyAlignment="1" applyProtection="1">
      <alignment horizontal="center"/>
    </xf>
    <xf numFmtId="165" fontId="0" fillId="36" borderId="0" xfId="0" applyNumberFormat="1" applyFill="1" applyAlignment="1" applyProtection="1"/>
    <xf numFmtId="1" fontId="8" fillId="29" borderId="0" xfId="0" applyNumberFormat="1" applyFont="1" applyFill="1" applyAlignment="1" applyProtection="1">
      <alignment horizontal="center"/>
    </xf>
    <xf numFmtId="178" fontId="7" fillId="36" borderId="0" xfId="40" applyFont="1" applyFill="1" applyProtection="1">
      <alignment horizontal="left" wrapText="1"/>
    </xf>
    <xf numFmtId="9" fontId="0" fillId="36" borderId="0" xfId="0" applyNumberFormat="1" applyFill="1" applyAlignment="1" applyProtection="1"/>
    <xf numFmtId="178" fontId="7" fillId="36" borderId="0" xfId="40" applyFill="1" applyProtection="1">
      <alignment horizontal="left" wrapText="1"/>
    </xf>
    <xf numFmtId="178" fontId="7" fillId="36" borderId="0" xfId="40" quotePrefix="1" applyFill="1" applyAlignment="1" applyProtection="1">
      <alignment horizontal="left"/>
    </xf>
    <xf numFmtId="1" fontId="0" fillId="0" borderId="0" xfId="0" quotePrefix="1" applyNumberFormat="1" applyFill="1" applyAlignment="1" applyProtection="1">
      <alignment horizontal="left"/>
    </xf>
    <xf numFmtId="1" fontId="0" fillId="36" borderId="0" xfId="0" applyNumberFormat="1" applyFill="1" applyAlignment="1" applyProtection="1">
      <alignment horizontal="left"/>
    </xf>
    <xf numFmtId="1" fontId="8" fillId="36" borderId="0" xfId="0" applyNumberFormat="1" applyFont="1" applyFill="1" applyAlignment="1" applyProtection="1"/>
    <xf numFmtId="1" fontId="8" fillId="29" borderId="0" xfId="0" quotePrefix="1" applyNumberFormat="1" applyFont="1" applyFill="1" applyAlignment="1" applyProtection="1">
      <alignment horizontal="left"/>
    </xf>
    <xf numFmtId="169" fontId="8" fillId="29" borderId="0" xfId="0" applyNumberFormat="1" applyFont="1" applyFill="1" applyAlignment="1" applyProtection="1"/>
    <xf numFmtId="169" fontId="0" fillId="29" borderId="0" xfId="0" applyNumberFormat="1" applyFill="1" applyAlignment="1" applyProtection="1">
      <alignment horizontal="center"/>
    </xf>
    <xf numFmtId="169" fontId="8" fillId="0" borderId="0" xfId="0" applyNumberFormat="1" applyFont="1" applyFill="1" applyAlignment="1" applyProtection="1"/>
    <xf numFmtId="1" fontId="0" fillId="35" borderId="0" xfId="0" applyNumberFormat="1" applyFill="1" applyAlignment="1" applyProtection="1"/>
    <xf numFmtId="9" fontId="0" fillId="35" borderId="0" xfId="0" applyNumberFormat="1" applyFill="1" applyAlignment="1" applyProtection="1"/>
    <xf numFmtId="1" fontId="8" fillId="35" borderId="0" xfId="0" applyNumberFormat="1" applyFont="1" applyFill="1" applyAlignment="1" applyProtection="1"/>
    <xf numFmtId="1" fontId="8" fillId="35" borderId="0" xfId="0" applyNumberFormat="1" applyFont="1" applyFill="1" applyAlignment="1" applyProtection="1">
      <alignment horizontal="center"/>
    </xf>
    <xf numFmtId="1" fontId="8" fillId="41" borderId="0" xfId="0" applyNumberFormat="1" applyFont="1" applyFill="1" applyAlignment="1" applyProtection="1">
      <alignment horizontal="center"/>
    </xf>
    <xf numFmtId="9" fontId="0" fillId="0" borderId="0" xfId="0" applyNumberFormat="1" applyFill="1" applyAlignment="1" applyProtection="1">
      <alignment horizontal="right"/>
    </xf>
    <xf numFmtId="1" fontId="0" fillId="0" borderId="0" xfId="28" applyNumberFormat="1" applyFont="1" applyFill="1" applyAlignment="1" applyProtection="1">
      <alignment horizontal="right"/>
    </xf>
    <xf numFmtId="1" fontId="8" fillId="41" borderId="0" xfId="0" quotePrefix="1" applyNumberFormat="1" applyFont="1" applyFill="1" applyAlignment="1" applyProtection="1">
      <alignment horizontal="left"/>
    </xf>
    <xf numFmtId="1" fontId="8" fillId="41" borderId="0" xfId="0" applyNumberFormat="1" applyFont="1" applyFill="1" applyAlignment="1" applyProtection="1">
      <alignment horizontal="right"/>
    </xf>
    <xf numFmtId="9" fontId="10" fillId="0" borderId="0" xfId="43" applyFont="1" applyFill="1" applyAlignment="1" applyProtection="1">
      <alignment horizontal="right"/>
    </xf>
    <xf numFmtId="1" fontId="0" fillId="0" borderId="0" xfId="43" applyNumberFormat="1" applyFont="1" applyFill="1" applyAlignment="1" applyProtection="1">
      <alignment horizontal="right"/>
    </xf>
    <xf numFmtId="9" fontId="0" fillId="41" borderId="0" xfId="0" applyNumberFormat="1" applyFill="1" applyAlignment="1" applyProtection="1">
      <alignment horizontal="right"/>
    </xf>
    <xf numFmtId="1" fontId="7" fillId="41" borderId="0" xfId="0" quotePrefix="1" applyNumberFormat="1" applyFont="1" applyFill="1" applyAlignment="1" applyProtection="1">
      <alignment horizontal="left"/>
    </xf>
    <xf numFmtId="169" fontId="0" fillId="0" borderId="0" xfId="43" applyNumberFormat="1" applyFont="1" applyFill="1" applyAlignment="1" applyProtection="1">
      <alignment horizontal="right"/>
    </xf>
    <xf numFmtId="1" fontId="7" fillId="0" borderId="0" xfId="0" quotePrefix="1" applyNumberFormat="1" applyFont="1" applyFill="1" applyAlignment="1" applyProtection="1">
      <alignment horizontal="left"/>
    </xf>
    <xf numFmtId="1" fontId="0" fillId="41" borderId="0" xfId="0" quotePrefix="1" applyNumberFormat="1" applyFill="1" applyAlignment="1" applyProtection="1">
      <alignment horizontal="left"/>
    </xf>
    <xf numFmtId="9" fontId="75" fillId="41" borderId="0" xfId="0" applyNumberFormat="1" applyFont="1" applyFill="1" applyAlignment="1" applyProtection="1"/>
    <xf numFmtId="1" fontId="0" fillId="0" borderId="0" xfId="0" applyNumberFormat="1" applyFill="1" applyAlignment="1" applyProtection="1">
      <alignment horizontal="right"/>
    </xf>
    <xf numFmtId="165" fontId="0" fillId="0" borderId="0" xfId="43" applyNumberFormat="1" applyFont="1" applyFill="1" applyAlignment="1" applyProtection="1">
      <alignment horizontal="right"/>
    </xf>
    <xf numFmtId="43" fontId="0" fillId="41" borderId="0" xfId="28" applyFont="1" applyFill="1" applyProtection="1"/>
    <xf numFmtId="43" fontId="0" fillId="0" borderId="0" xfId="28" applyFont="1" applyFill="1" applyProtection="1"/>
    <xf numFmtId="1" fontId="0" fillId="41" borderId="0" xfId="0" applyNumberFormat="1" applyFill="1" applyAlignment="1" applyProtection="1">
      <alignment horizontal="left"/>
    </xf>
    <xf numFmtId="178" fontId="8" fillId="41" borderId="0" xfId="0" applyFont="1" applyFill="1" applyAlignment="1" applyProtection="1">
      <alignment horizontal="left"/>
    </xf>
    <xf numFmtId="1" fontId="0" fillId="0" borderId="0" xfId="0" applyNumberFormat="1" applyFill="1" applyAlignment="1" applyProtection="1">
      <alignment horizontal="left"/>
    </xf>
    <xf numFmtId="178" fontId="8" fillId="0" borderId="0" xfId="0" applyFont="1" applyFill="1" applyAlignment="1" applyProtection="1">
      <alignment horizontal="left"/>
    </xf>
    <xf numFmtId="165" fontId="0" fillId="41" borderId="0" xfId="0" applyNumberFormat="1" applyFill="1" applyAlignment="1" applyProtection="1"/>
    <xf numFmtId="10" fontId="0" fillId="0" borderId="0" xfId="43" applyNumberFormat="1" applyFont="1" applyFill="1" applyAlignment="1" applyProtection="1">
      <alignment horizontal="right"/>
    </xf>
    <xf numFmtId="1" fontId="0" fillId="41" borderId="0" xfId="0" applyNumberFormat="1" applyFill="1" applyAlignment="1" applyProtection="1">
      <alignment horizontal="right"/>
    </xf>
    <xf numFmtId="1" fontId="10" fillId="41" borderId="0" xfId="0" applyNumberFormat="1" applyFont="1" applyFill="1" applyAlignment="1" applyProtection="1">
      <alignment horizontal="left"/>
    </xf>
    <xf numFmtId="3" fontId="0" fillId="41" borderId="0" xfId="0" applyNumberFormat="1" applyFill="1" applyAlignment="1" applyProtection="1">
      <alignment horizontal="right"/>
    </xf>
    <xf numFmtId="3" fontId="0" fillId="0" borderId="0" xfId="0" applyNumberFormat="1" applyFill="1" applyAlignment="1" applyProtection="1">
      <alignment horizontal="right"/>
    </xf>
    <xf numFmtId="165" fontId="0" fillId="0" borderId="0" xfId="0" applyNumberFormat="1" applyFill="1" applyAlignment="1" applyProtection="1">
      <alignment horizontal="right"/>
    </xf>
    <xf numFmtId="1" fontId="7" fillId="0" borderId="0" xfId="0" applyNumberFormat="1" applyFont="1" applyFill="1" applyAlignment="1" applyProtection="1">
      <alignment horizontal="right"/>
    </xf>
    <xf numFmtId="1" fontId="8" fillId="41" borderId="0" xfId="0" applyNumberFormat="1" applyFont="1" applyFill="1" applyAlignment="1" applyProtection="1">
      <alignment horizontal="left"/>
    </xf>
    <xf numFmtId="1" fontId="42" fillId="41" borderId="0" xfId="0" applyNumberFormat="1" applyFont="1" applyFill="1" applyAlignment="1" applyProtection="1">
      <alignment horizontal="left"/>
    </xf>
    <xf numFmtId="9" fontId="0" fillId="41" borderId="0" xfId="0" applyNumberFormat="1" applyFill="1" applyAlignment="1" applyProtection="1">
      <alignment horizontal="center"/>
    </xf>
    <xf numFmtId="1" fontId="42" fillId="0" borderId="0" xfId="0" applyNumberFormat="1" applyFont="1" applyFill="1" applyAlignment="1" applyProtection="1">
      <alignment horizontal="left"/>
    </xf>
    <xf numFmtId="3" fontId="8" fillId="41" borderId="0" xfId="0" applyNumberFormat="1" applyFont="1" applyFill="1" applyAlignment="1" applyProtection="1">
      <alignment horizontal="right"/>
    </xf>
    <xf numFmtId="3" fontId="8" fillId="0" borderId="0" xfId="0" applyNumberFormat="1" applyFont="1" applyFill="1" applyAlignment="1" applyProtection="1">
      <alignment horizontal="center"/>
    </xf>
    <xf numFmtId="1" fontId="42" fillId="41" borderId="0" xfId="0" applyNumberFormat="1" applyFont="1" applyFill="1" applyAlignment="1" applyProtection="1"/>
    <xf numFmtId="1" fontId="42" fillId="29" borderId="0" xfId="0" applyNumberFormat="1" applyFont="1" applyFill="1" applyAlignment="1" applyProtection="1"/>
    <xf numFmtId="1" fontId="0" fillId="29" borderId="0" xfId="0" quotePrefix="1" applyNumberFormat="1" applyFill="1" applyAlignment="1" applyProtection="1">
      <alignment horizontal="left"/>
    </xf>
    <xf numFmtId="1" fontId="19" fillId="29" borderId="0" xfId="0" applyNumberFormat="1" applyFont="1" applyFill="1" applyAlignment="1" applyProtection="1"/>
    <xf numFmtId="9" fontId="10" fillId="29" borderId="11" xfId="43" applyFont="1" applyFill="1" applyBorder="1" applyAlignment="1" applyProtection="1">
      <alignment horizontal="right"/>
      <protection locked="0"/>
    </xf>
    <xf numFmtId="9" fontId="0" fillId="29" borderId="11" xfId="43" applyFont="1" applyFill="1" applyBorder="1" applyAlignment="1" applyProtection="1">
      <alignment horizontal="right"/>
      <protection locked="0"/>
    </xf>
    <xf numFmtId="165" fontId="82" fillId="0" borderId="11" xfId="29" applyNumberFormat="1" applyFont="1" applyBorder="1" applyProtection="1">
      <protection locked="0"/>
    </xf>
    <xf numFmtId="5" fontId="82" fillId="0" borderId="11" xfId="49" applyNumberFormat="1" applyBorder="1" applyProtection="1">
      <protection locked="0"/>
    </xf>
    <xf numFmtId="0" fontId="82" fillId="0" borderId="25" xfId="49" applyBorder="1" applyProtection="1">
      <protection locked="0"/>
    </xf>
    <xf numFmtId="1" fontId="5" fillId="29" borderId="11" xfId="49" applyNumberFormat="1" applyFont="1" applyFill="1" applyBorder="1" applyProtection="1">
      <protection locked="0"/>
    </xf>
    <xf numFmtId="0" fontId="5" fillId="29" borderId="11" xfId="49" applyFont="1" applyFill="1" applyBorder="1" applyAlignment="1" applyProtection="1">
      <alignment horizontal="right"/>
      <protection locked="0"/>
    </xf>
    <xf numFmtId="164" fontId="5" fillId="29" borderId="11" xfId="49" applyNumberFormat="1" applyFont="1" applyFill="1" applyBorder="1" applyProtection="1">
      <protection locked="0"/>
    </xf>
    <xf numFmtId="0" fontId="5" fillId="29" borderId="11" xfId="49" applyFont="1" applyFill="1" applyBorder="1" applyProtection="1">
      <protection locked="0"/>
    </xf>
    <xf numFmtId="9" fontId="5" fillId="29" borderId="11" xfId="49" applyNumberFormat="1" applyFont="1" applyFill="1" applyBorder="1" applyProtection="1">
      <protection locked="0"/>
    </xf>
    <xf numFmtId="11" fontId="5" fillId="29" borderId="11" xfId="49" applyNumberFormat="1" applyFont="1" applyFill="1" applyBorder="1" applyProtection="1">
      <protection locked="0"/>
    </xf>
    <xf numFmtId="44" fontId="82" fillId="29" borderId="11" xfId="29" applyFont="1" applyFill="1" applyBorder="1" applyProtection="1">
      <protection locked="0"/>
    </xf>
    <xf numFmtId="174" fontId="7" fillId="0" borderId="0" xfId="29" applyNumberFormat="1" applyFont="1"/>
    <xf numFmtId="0" fontId="5" fillId="0" borderId="11" xfId="49" applyFont="1" applyFill="1" applyBorder="1" applyAlignment="1" applyProtection="1">
      <alignment horizontal="right"/>
      <protection locked="0"/>
    </xf>
    <xf numFmtId="0" fontId="82" fillId="29" borderId="34" xfId="49" applyFill="1" applyBorder="1"/>
    <xf numFmtId="0" fontId="82" fillId="29" borderId="23" xfId="49" applyFill="1" applyBorder="1"/>
    <xf numFmtId="0" fontId="82" fillId="0" borderId="23" xfId="49" applyFill="1" applyBorder="1"/>
    <xf numFmtId="0" fontId="82" fillId="0" borderId="23" xfId="49" applyBorder="1"/>
    <xf numFmtId="0" fontId="88" fillId="29" borderId="0" xfId="49" applyFont="1" applyFill="1" applyBorder="1"/>
    <xf numFmtId="165" fontId="96" fillId="43" borderId="11" xfId="50" applyNumberFormat="1" applyFont="1" applyFill="1" applyBorder="1" applyAlignment="1" applyProtection="1">
      <alignment horizontal="center" vertical="center"/>
      <protection locked="0"/>
    </xf>
    <xf numFmtId="165" fontId="5" fillId="40" borderId="11" xfId="49" applyNumberFormat="1" applyFont="1" applyFill="1" applyBorder="1" applyAlignment="1" applyProtection="1">
      <alignment horizontal="center" vertical="center"/>
      <protection locked="0"/>
    </xf>
    <xf numFmtId="165" fontId="5" fillId="44" borderId="11" xfId="49" applyNumberFormat="1" applyFont="1" applyFill="1" applyBorder="1" applyAlignment="1" applyProtection="1">
      <alignment horizontal="center" vertical="center"/>
      <protection locked="0"/>
    </xf>
    <xf numFmtId="0" fontId="2" fillId="29" borderId="11" xfId="49" applyFont="1" applyFill="1" applyBorder="1" applyAlignment="1" applyProtection="1">
      <alignment horizontal="right"/>
      <protection locked="0"/>
    </xf>
    <xf numFmtId="1" fontId="12" fillId="25" borderId="0" xfId="0" applyNumberFormat="1" applyFont="1" applyFill="1" applyAlignment="1" applyProtection="1"/>
    <xf numFmtId="1" fontId="0" fillId="25" borderId="0" xfId="0" applyNumberFormat="1" applyFill="1" applyAlignment="1" applyProtection="1"/>
    <xf numFmtId="1" fontId="8" fillId="25" borderId="0" xfId="0" quotePrefix="1" applyNumberFormat="1" applyFont="1" applyFill="1" applyAlignment="1" applyProtection="1">
      <alignment horizontal="left"/>
    </xf>
    <xf numFmtId="1" fontId="8" fillId="25" borderId="0" xfId="0" applyNumberFormat="1" applyFont="1" applyFill="1" applyAlignment="1" applyProtection="1">
      <alignment horizontal="center"/>
    </xf>
    <xf numFmtId="1" fontId="24" fillId="25" borderId="0" xfId="0" applyNumberFormat="1" applyFont="1" applyFill="1" applyAlignment="1" applyProtection="1"/>
    <xf numFmtId="1" fontId="8" fillId="25" borderId="0" xfId="0" applyNumberFormat="1" applyFont="1" applyFill="1" applyAlignment="1" applyProtection="1">
      <alignment horizontal="left"/>
    </xf>
    <xf numFmtId="1" fontId="7" fillId="25" borderId="0" xfId="0" applyNumberFormat="1" applyFont="1" applyFill="1" applyAlignment="1" applyProtection="1"/>
    <xf numFmtId="1" fontId="8" fillId="25" borderId="0" xfId="0" applyNumberFormat="1" applyFont="1" applyFill="1" applyAlignment="1" applyProtection="1"/>
    <xf numFmtId="1" fontId="22" fillId="25" borderId="0" xfId="0" quotePrefix="1" applyNumberFormat="1" applyFont="1" applyFill="1" applyAlignment="1" applyProtection="1">
      <alignment horizontal="left"/>
    </xf>
    <xf numFmtId="1" fontId="13" fillId="25" borderId="0" xfId="0" applyNumberFormat="1" applyFont="1" applyFill="1" applyAlignment="1" applyProtection="1">
      <alignment horizontal="left" vertical="top" wrapText="1"/>
    </xf>
    <xf numFmtId="168" fontId="0" fillId="25" borderId="0" xfId="0" applyNumberFormat="1" applyFill="1" applyAlignment="1" applyProtection="1"/>
    <xf numFmtId="1" fontId="0" fillId="25" borderId="0" xfId="0" applyNumberFormat="1" applyFill="1" applyAlignment="1" applyProtection="1">
      <alignment horizontal="right"/>
    </xf>
    <xf numFmtId="172" fontId="0" fillId="25" borderId="0" xfId="0" applyNumberFormat="1" applyFill="1" applyAlignment="1" applyProtection="1"/>
    <xf numFmtId="1" fontId="22" fillId="25" borderId="0" xfId="0" quotePrefix="1" applyNumberFormat="1" applyFont="1" applyFill="1" applyAlignment="1" applyProtection="1">
      <alignment horizontal="center" vertical="top" wrapText="1"/>
    </xf>
    <xf numFmtId="1" fontId="13" fillId="25" borderId="0" xfId="0" applyNumberFormat="1" applyFont="1" applyFill="1" applyAlignment="1" applyProtection="1">
      <alignment horizontal="center" vertical="top" wrapText="1"/>
    </xf>
    <xf numFmtId="1" fontId="22" fillId="25" borderId="0" xfId="0" quotePrefix="1" applyNumberFormat="1" applyFont="1" applyFill="1" applyAlignment="1" applyProtection="1">
      <alignment horizontal="left" vertical="top" wrapText="1"/>
    </xf>
    <xf numFmtId="1" fontId="8" fillId="25" borderId="0" xfId="0" quotePrefix="1" applyNumberFormat="1" applyFont="1" applyFill="1" applyAlignment="1" applyProtection="1"/>
    <xf numFmtId="1" fontId="8" fillId="25" borderId="0" xfId="48" quotePrefix="1" applyNumberFormat="1" applyFont="1" applyFill="1" applyAlignment="1" applyProtection="1"/>
    <xf numFmtId="168" fontId="7" fillId="25" borderId="0" xfId="48" applyNumberFormat="1" applyFill="1" applyAlignment="1" applyProtection="1"/>
    <xf numFmtId="1" fontId="22" fillId="25" borderId="0" xfId="48" quotePrefix="1" applyNumberFormat="1" applyFont="1" applyFill="1" applyAlignment="1" applyProtection="1">
      <alignment horizontal="left" vertical="top" wrapText="1"/>
    </xf>
    <xf numFmtId="1" fontId="13" fillId="25" borderId="0" xfId="48" applyNumberFormat="1" applyFont="1" applyFill="1" applyAlignment="1" applyProtection="1">
      <alignment horizontal="left" vertical="top" wrapText="1"/>
    </xf>
    <xf numFmtId="1" fontId="7" fillId="25" borderId="0" xfId="48" applyNumberFormat="1" applyFill="1" applyAlignment="1" applyProtection="1"/>
    <xf numFmtId="0" fontId="5" fillId="29" borderId="0" xfId="49" applyFont="1" applyFill="1" applyBorder="1" applyProtection="1">
      <protection locked="0"/>
    </xf>
    <xf numFmtId="0" fontId="82" fillId="29" borderId="17" xfId="49" applyFill="1" applyBorder="1"/>
    <xf numFmtId="165" fontId="82" fillId="29" borderId="0" xfId="49" applyNumberFormat="1" applyFill="1"/>
    <xf numFmtId="165" fontId="1" fillId="44" borderId="11" xfId="50" applyNumberFormat="1" applyFont="1" applyFill="1" applyBorder="1" applyAlignment="1" applyProtection="1">
      <alignment horizontal="center" vertical="center"/>
      <protection locked="0"/>
    </xf>
    <xf numFmtId="171" fontId="36" fillId="43" borderId="11" xfId="51" applyNumberFormat="1" applyFont="1" applyFill="1" applyBorder="1"/>
    <xf numFmtId="1" fontId="15" fillId="33" borderId="0" xfId="0" applyNumberFormat="1" applyFont="1" applyFill="1" applyAlignment="1" applyProtection="1">
      <alignment horizontal="center" vertical="top" wrapText="1"/>
    </xf>
    <xf numFmtId="1" fontId="8" fillId="33" borderId="0" xfId="0" applyNumberFormat="1" applyFont="1" applyFill="1" applyBorder="1" applyAlignment="1" applyProtection="1">
      <alignment horizontal="center" wrapText="1"/>
    </xf>
    <xf numFmtId="3" fontId="8" fillId="33" borderId="0" xfId="28" applyNumberFormat="1" applyFont="1" applyFill="1" applyAlignment="1" applyProtection="1">
      <alignment horizontal="center" wrapText="1"/>
    </xf>
    <xf numFmtId="3" fontId="8" fillId="33" borderId="0" xfId="0" applyNumberFormat="1" applyFont="1" applyFill="1" applyBorder="1" applyAlignment="1" applyProtection="1">
      <alignment horizontal="center"/>
    </xf>
    <xf numFmtId="1" fontId="0" fillId="0" borderId="0" xfId="0" applyNumberFormat="1" applyAlignment="1"/>
    <xf numFmtId="0" fontId="83" fillId="31" borderId="0" xfId="49" applyFont="1" applyFill="1" applyBorder="1" applyAlignment="1">
      <alignment horizontal="center"/>
    </xf>
    <xf numFmtId="0" fontId="94" fillId="29" borderId="11" xfId="49" applyFont="1" applyFill="1" applyBorder="1" applyAlignment="1">
      <alignment horizontal="left"/>
    </xf>
    <xf numFmtId="0" fontId="94" fillId="31" borderId="0" xfId="49" applyFont="1" applyFill="1" applyBorder="1" applyAlignment="1">
      <alignment horizontal="left"/>
    </xf>
    <xf numFmtId="0" fontId="104" fillId="47" borderId="35" xfId="49" applyFont="1" applyFill="1" applyBorder="1" applyAlignment="1">
      <alignment horizontal="center" vertical="center" wrapText="1"/>
    </xf>
    <xf numFmtId="0" fontId="104" fillId="47" borderId="36" xfId="49" applyFont="1" applyFill="1" applyBorder="1" applyAlignment="1">
      <alignment horizontal="center" vertical="center" wrapText="1"/>
    </xf>
    <xf numFmtId="0" fontId="104" fillId="47" borderId="37" xfId="49" applyFont="1" applyFill="1" applyBorder="1" applyAlignment="1">
      <alignment horizontal="center" vertical="center" wrapText="1"/>
    </xf>
    <xf numFmtId="0" fontId="104" fillId="47" borderId="38" xfId="49" applyFont="1" applyFill="1" applyBorder="1" applyAlignment="1">
      <alignment horizontal="center" vertical="center" wrapText="1"/>
    </xf>
    <xf numFmtId="0" fontId="105" fillId="47" borderId="21" xfId="49" applyFont="1" applyFill="1" applyBorder="1" applyAlignment="1">
      <alignment horizontal="center" vertical="center"/>
    </xf>
    <xf numFmtId="0" fontId="105" fillId="47" borderId="30" xfId="49" applyFont="1" applyFill="1" applyBorder="1" applyAlignment="1">
      <alignment horizontal="center" vertical="center"/>
    </xf>
    <xf numFmtId="0" fontId="105" fillId="47" borderId="22" xfId="49" applyFont="1" applyFill="1" applyBorder="1" applyAlignment="1">
      <alignment horizontal="center" vertical="center"/>
    </xf>
    <xf numFmtId="0" fontId="105" fillId="47" borderId="24" xfId="49" applyFont="1" applyFill="1" applyBorder="1" applyAlignment="1">
      <alignment horizontal="center" vertical="center"/>
    </xf>
    <xf numFmtId="0" fontId="105" fillId="47" borderId="31" xfId="49" applyFont="1" applyFill="1" applyBorder="1" applyAlignment="1">
      <alignment horizontal="center" vertical="center"/>
    </xf>
    <xf numFmtId="0" fontId="105" fillId="47" borderId="32" xfId="49" applyFont="1" applyFill="1" applyBorder="1" applyAlignment="1">
      <alignment horizontal="center" vertical="center"/>
    </xf>
    <xf numFmtId="0" fontId="83" fillId="34" borderId="21" xfId="49" applyFont="1" applyFill="1" applyBorder="1" applyAlignment="1">
      <alignment horizontal="center"/>
    </xf>
    <xf numFmtId="0" fontId="83" fillId="34" borderId="30" xfId="49" applyFont="1" applyFill="1" applyBorder="1" applyAlignment="1">
      <alignment horizontal="center"/>
    </xf>
    <xf numFmtId="0" fontId="83" fillId="34" borderId="22" xfId="49" applyFont="1" applyFill="1" applyBorder="1" applyAlignment="1">
      <alignment horizontal="center"/>
    </xf>
    <xf numFmtId="0" fontId="88" fillId="29" borderId="29" xfId="49" applyFont="1" applyFill="1" applyBorder="1" applyAlignment="1">
      <alignment horizontal="left"/>
    </xf>
    <xf numFmtId="0" fontId="88" fillId="29" borderId="27" xfId="49" applyFont="1" applyFill="1" applyBorder="1" applyAlignment="1">
      <alignment horizontal="left"/>
    </xf>
    <xf numFmtId="0" fontId="106" fillId="29" borderId="39" xfId="49" applyFont="1" applyFill="1" applyBorder="1" applyAlignment="1">
      <alignment horizontal="center" vertical="center" wrapText="1"/>
    </xf>
    <xf numFmtId="0" fontId="106" fillId="29" borderId="40" xfId="49" applyFont="1" applyFill="1" applyBorder="1" applyAlignment="1">
      <alignment horizontal="center" vertical="center" wrapText="1"/>
    </xf>
    <xf numFmtId="0" fontId="106" fillId="29" borderId="41" xfId="49" applyFont="1" applyFill="1" applyBorder="1" applyAlignment="1">
      <alignment horizontal="center" vertical="center" wrapText="1"/>
    </xf>
    <xf numFmtId="0" fontId="85" fillId="34" borderId="23" xfId="49" applyFont="1" applyFill="1" applyBorder="1" applyAlignment="1">
      <alignment horizontal="left" wrapText="1"/>
    </xf>
    <xf numFmtId="0" fontId="85" fillId="34" borderId="0" xfId="49" applyFont="1" applyFill="1" applyBorder="1" applyAlignment="1">
      <alignment horizontal="left" wrapText="1"/>
    </xf>
    <xf numFmtId="0" fontId="95" fillId="34" borderId="23" xfId="49" applyFont="1" applyFill="1" applyBorder="1" applyAlignment="1">
      <alignment horizontal="left"/>
    </xf>
    <xf numFmtId="0" fontId="95" fillId="34" borderId="0" xfId="49" applyFont="1" applyFill="1" applyBorder="1" applyAlignment="1">
      <alignment horizontal="left"/>
    </xf>
    <xf numFmtId="0" fontId="95" fillId="34" borderId="17" xfId="49" applyFont="1" applyFill="1" applyBorder="1" applyAlignment="1">
      <alignment horizontal="left"/>
    </xf>
    <xf numFmtId="0" fontId="85" fillId="39" borderId="11" xfId="49" applyFont="1" applyFill="1" applyBorder="1" applyAlignment="1">
      <alignment horizontal="left"/>
    </xf>
    <xf numFmtId="178" fontId="8" fillId="33" borderId="0" xfId="0" applyFont="1" applyFill="1" applyAlignment="1" applyProtection="1">
      <alignment vertical="center" wrapText="1"/>
    </xf>
    <xf numFmtId="1" fontId="0" fillId="33" borderId="0" xfId="0" applyNumberFormat="1" applyFill="1" applyAlignment="1" applyProtection="1">
      <alignment vertical="center" wrapText="1"/>
    </xf>
    <xf numFmtId="178" fontId="8" fillId="33" borderId="0" xfId="0" quotePrefix="1" applyFont="1" applyFill="1" applyAlignment="1" applyProtection="1">
      <alignment horizontal="left" vertical="top" wrapText="1"/>
    </xf>
    <xf numFmtId="178" fontId="8" fillId="33" borderId="0" xfId="0" applyFont="1" applyFill="1" applyAlignment="1" applyProtection="1">
      <alignment vertical="top" wrapText="1"/>
    </xf>
    <xf numFmtId="1" fontId="8" fillId="40" borderId="0" xfId="0" applyNumberFormat="1" applyFont="1" applyFill="1" applyAlignment="1" applyProtection="1">
      <alignment horizontal="center" wrapText="1"/>
    </xf>
    <xf numFmtId="1" fontId="13" fillId="0" borderId="0" xfId="0" quotePrefix="1" applyNumberFormat="1" applyFont="1" applyAlignment="1">
      <alignment horizontal="left" vertical="top" wrapText="1"/>
    </xf>
    <xf numFmtId="1" fontId="0" fillId="0" borderId="0" xfId="0" applyNumberFormat="1" applyAlignment="1"/>
  </cellXfs>
  <cellStyles count="54">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Currency" xfId="29" builtinId="4"/>
    <cellStyle name="Currency 2" xfId="50" xr:uid="{548CDC06-BB43-1C41-8650-3F455B417204}"/>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Hyperlink 2" xfId="53" xr:uid="{20794554-5D71-824C-9E6A-31E76B5040E2}"/>
    <cellStyle name="Input" xfId="37" builtinId="20" customBuiltin="1"/>
    <cellStyle name="Linked Cell" xfId="38" builtinId="24" customBuiltin="1"/>
    <cellStyle name="Neutral" xfId="39" builtinId="28" customBuiltin="1"/>
    <cellStyle name="Normal" xfId="0" builtinId="0"/>
    <cellStyle name="Normal 2" xfId="49" xr:uid="{E92938E8-BCA1-C440-94C5-9A2C20AC993E}"/>
    <cellStyle name="Normal 2 2" xfId="52" xr:uid="{5661AB20-3BA5-F646-A711-5D7D6AF786AD}"/>
    <cellStyle name="Normal_Deflators" xfId="47" xr:uid="{00000000-0005-0000-0000-000028000000}"/>
    <cellStyle name="Normal_JEDI" xfId="40" xr:uid="{00000000-0005-0000-0000-000029000000}"/>
    <cellStyle name="Normal_Sheet2" xfId="48" xr:uid="{00000000-0005-0000-0000-00002A000000}"/>
    <cellStyle name="Note" xfId="41" builtinId="10" customBuiltin="1"/>
    <cellStyle name="Output" xfId="42" builtinId="21" customBuiltin="1"/>
    <cellStyle name="Percent" xfId="43" builtinId="5"/>
    <cellStyle name="Percent 2" xfId="51" xr:uid="{38BEE283-ECA9-1346-B537-E8E0B9F06548}"/>
    <cellStyle name="Title" xfId="44" builtinId="15" customBuiltin="1"/>
    <cellStyle name="Total" xfId="45" builtinId="25" customBuiltin="1"/>
    <cellStyle name="Warning Text" xfId="46" builtinId="11" customBuiltin="1"/>
  </cellStyles>
  <dxfs count="67">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numFmt numFmtId="171" formatCode="0.0%"/>
      <fill>
        <patternFill>
          <bgColor rgb="FF00FFFF"/>
        </patternFill>
      </fill>
    </dxf>
    <dxf>
      <numFmt numFmtId="169" formatCode="&quot;$&quot;#,##0.00"/>
      <fill>
        <patternFill>
          <bgColor rgb="FF00FFFF"/>
        </patternFill>
      </fill>
    </dxf>
    <dxf>
      <numFmt numFmtId="165" formatCode="&quot;$&quot;#,##0"/>
      <fill>
        <patternFill>
          <bgColor rgb="FF00FFFF"/>
        </patternFill>
      </fill>
    </dxf>
    <dxf>
      <numFmt numFmtId="30" formatCode="@"/>
      <fill>
        <patternFill>
          <bgColor rgb="FF00FFFF"/>
        </patternFill>
      </fill>
    </dxf>
    <dxf>
      <numFmt numFmtId="165" formatCode="&quot;$&quot;#,##0"/>
      <fill>
        <patternFill>
          <bgColor rgb="FF00FFFF"/>
        </patternFill>
      </fill>
    </dxf>
    <dxf>
      <numFmt numFmtId="165" formatCode="&quot;$&quot;#,##0"/>
      <fill>
        <patternFill>
          <bgColor rgb="FF00FFFF"/>
        </patternFill>
      </fill>
    </dxf>
    <dxf>
      <numFmt numFmtId="165" formatCode="&quot;$&quot;#,##0"/>
      <fill>
        <patternFill>
          <bgColor rgb="FF00FFFF"/>
        </patternFill>
      </fill>
    </dxf>
    <dxf>
      <numFmt numFmtId="0" formatCode="General"/>
      <fill>
        <patternFill>
          <bgColor rgb="FF00FFFF"/>
        </patternFill>
      </fill>
    </dxf>
    <dxf>
      <numFmt numFmtId="165" formatCode="&quot;$&quot;#,##0"/>
      <fill>
        <patternFill>
          <bgColor rgb="FF00FFFF"/>
        </patternFill>
      </fill>
    </dxf>
    <dxf>
      <numFmt numFmtId="0" formatCode="General"/>
      <fill>
        <patternFill>
          <bgColor rgb="FF00FFFF"/>
        </patternFill>
      </fill>
    </dxf>
    <dxf>
      <numFmt numFmtId="165" formatCode="&quot;$&quot;#,##0"/>
      <fill>
        <patternFill>
          <bgColor rgb="FF00FFFF"/>
        </patternFill>
      </fill>
    </dxf>
    <dxf>
      <numFmt numFmtId="14" formatCode="0.00%"/>
      <fill>
        <patternFill>
          <bgColor rgb="FF00FFFF"/>
        </patternFill>
      </fill>
    </dxf>
    <dxf>
      <numFmt numFmtId="165" formatCode="&quot;$&quot;#,##0"/>
      <fill>
        <patternFill>
          <bgColor rgb="FF00FFFF"/>
        </patternFill>
      </fill>
    </dxf>
    <dxf>
      <numFmt numFmtId="1" formatCode="0"/>
      <fill>
        <patternFill>
          <bgColor rgb="FF00FFFF"/>
        </patternFill>
      </fill>
    </dxf>
    <dxf>
      <numFmt numFmtId="13" formatCode="0%"/>
      <fill>
        <patternFill>
          <bgColor rgb="FF00FFFF"/>
        </patternFill>
      </fill>
    </dxf>
    <dxf>
      <numFmt numFmtId="13" formatCode="0%"/>
      <fill>
        <patternFill>
          <bgColor rgb="FF00FFFF"/>
        </patternFill>
      </fill>
    </dxf>
    <dxf>
      <numFmt numFmtId="165" formatCode="&quot;$&quot;#,##0"/>
      <fill>
        <patternFill>
          <bgColor rgb="FF00FFFF"/>
        </patternFill>
      </fill>
    </dxf>
    <dxf>
      <numFmt numFmtId="1" formatCode="0"/>
      <fill>
        <patternFill>
          <bgColor rgb="FF00FFFF"/>
        </patternFill>
      </fill>
    </dxf>
    <dxf>
      <numFmt numFmtId="13" formatCode="0%"/>
      <fill>
        <patternFill>
          <bgColor rgb="FF00FFFF"/>
        </patternFill>
      </fill>
    </dxf>
    <dxf>
      <numFmt numFmtId="13" formatCode="0%"/>
      <fill>
        <patternFill>
          <bgColor rgb="FF00FFFF"/>
        </patternFill>
      </fill>
    </dxf>
    <dxf>
      <numFmt numFmtId="165" formatCode="&quot;$&quot;#,##0"/>
      <fill>
        <patternFill>
          <bgColor rgb="FF00FFFF"/>
        </patternFill>
      </fill>
    </dxf>
    <dxf>
      <numFmt numFmtId="165" formatCode="&quot;$&quot;#,##0"/>
      <fill>
        <patternFill>
          <bgColor rgb="FF00FFFF"/>
        </patternFill>
      </fill>
    </dxf>
    <dxf>
      <numFmt numFmtId="165" formatCode="&quot;$&quot;#,##0"/>
      <fill>
        <patternFill>
          <bgColor rgb="FF00FFFF"/>
        </patternFill>
      </fill>
    </dxf>
    <dxf>
      <numFmt numFmtId="165" formatCode="&quot;$&quot;#,##0"/>
      <fill>
        <patternFill>
          <bgColor rgb="FF00FFFF"/>
        </patternFill>
      </fill>
    </dxf>
    <dxf>
      <numFmt numFmtId="165" formatCode="&quot;$&quot;#,##0"/>
      <fill>
        <patternFill>
          <bgColor rgb="FF00FFFF"/>
        </patternFill>
      </fill>
    </dxf>
    <dxf>
      <numFmt numFmtId="165" formatCode="&quot;$&quot;#,##0"/>
      <fill>
        <patternFill>
          <bgColor rgb="FF00FFFF"/>
        </patternFill>
      </fill>
    </dxf>
    <dxf>
      <numFmt numFmtId="165" formatCode="&quot;$&quot;#,##0"/>
      <fill>
        <patternFill>
          <bgColor rgb="FF00FFFF"/>
        </patternFill>
      </fill>
    </dxf>
    <dxf>
      <numFmt numFmtId="165" formatCode="&quot;$&quot;#,##0"/>
      <fill>
        <patternFill>
          <bgColor rgb="FF00FFFF"/>
        </patternFill>
      </fill>
    </dxf>
    <dxf>
      <numFmt numFmtId="165" formatCode="&quot;$&quot;#,##0"/>
      <fill>
        <patternFill>
          <bgColor rgb="FF00FFFF"/>
        </patternFill>
      </fill>
    </dxf>
    <dxf>
      <numFmt numFmtId="165" formatCode="&quot;$&quot;#,##0"/>
      <fill>
        <patternFill>
          <bgColor rgb="FF00FFFF"/>
        </patternFill>
      </fill>
    </dxf>
    <dxf>
      <numFmt numFmtId="165" formatCode="&quot;$&quot;#,##0"/>
      <fill>
        <patternFill>
          <bgColor rgb="FF00FFFF"/>
        </patternFill>
      </fill>
    </dxf>
    <dxf>
      <numFmt numFmtId="30" formatCode="@"/>
      <fill>
        <patternFill>
          <bgColor rgb="FF00FFFF"/>
        </patternFill>
      </fill>
    </dxf>
    <dxf>
      <numFmt numFmtId="0" formatCode="General"/>
      <fill>
        <patternFill>
          <bgColor rgb="FF00FFFF"/>
        </patternFill>
      </fill>
    </dxf>
    <dxf>
      <numFmt numFmtId="165" formatCode="&quot;$&quot;#,##0"/>
      <fill>
        <patternFill>
          <bgColor rgb="FF00FFFF"/>
        </patternFill>
      </fill>
    </dxf>
    <dxf>
      <numFmt numFmtId="0" formatCode="General"/>
      <fill>
        <patternFill>
          <bgColor rgb="FF00FFFF"/>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
      <numFmt numFmtId="165" formatCode="&quot;$&quot;#,##0"/>
      <fill>
        <patternFill>
          <bgColor rgb="FF00FFFF"/>
        </patternFill>
      </fill>
    </dxf>
    <dxf>
      <numFmt numFmtId="165" formatCode="&quot;$&quot;#,##0"/>
      <fill>
        <patternFill>
          <bgColor rgb="FF00FFFF"/>
        </patternFill>
      </fill>
    </dxf>
    <dxf>
      <numFmt numFmtId="165" formatCode="&quot;$&quot;#,##0"/>
      <fill>
        <patternFill>
          <bgColor rgb="FF00FFFF"/>
        </patternFill>
      </fill>
    </dxf>
    <dxf>
      <numFmt numFmtId="14" formatCode="0.00%"/>
      <fill>
        <patternFill>
          <bgColor rgb="FF00FFFF"/>
        </patternFill>
      </fill>
    </dxf>
    <dxf>
      <numFmt numFmtId="1" formatCode="0"/>
      <fill>
        <patternFill>
          <bgColor rgb="FF00FFFF"/>
        </patternFill>
      </fill>
    </dxf>
    <dxf>
      <numFmt numFmtId="13" formatCode="0%"/>
      <fill>
        <patternFill>
          <bgColor rgb="FF00FFFF"/>
        </patternFill>
      </fill>
    </dxf>
    <dxf>
      <numFmt numFmtId="1" formatCode="0"/>
      <fill>
        <patternFill>
          <bgColor rgb="FF00FFFF"/>
        </patternFill>
      </fill>
    </dxf>
    <dxf>
      <numFmt numFmtId="13" formatCode="0%"/>
      <fill>
        <patternFill>
          <bgColor rgb="FF00FFFF"/>
        </patternFill>
      </fill>
    </dxf>
    <dxf>
      <numFmt numFmtId="13" formatCode="0%"/>
      <fill>
        <patternFill>
          <bgColor rgb="FF00FFFF"/>
        </patternFill>
      </fill>
    </dxf>
    <dxf>
      <numFmt numFmtId="171" formatCode="0.0%"/>
      <fill>
        <patternFill>
          <bgColor rgb="FF00FFFF"/>
        </patternFill>
      </fill>
    </dxf>
    <dxf>
      <numFmt numFmtId="169" formatCode="&quot;$&quot;#,##0.00"/>
      <fill>
        <patternFill>
          <bgColor rgb="FF00FFFF"/>
        </patternFill>
      </fill>
    </dxf>
    <dxf>
      <numFmt numFmtId="165" formatCode="&quot;$&quot;#,##0"/>
      <fill>
        <patternFill>
          <bgColor rgb="FF00FFFF"/>
        </patternFill>
      </fill>
    </dxf>
    <dxf>
      <numFmt numFmtId="13" formatCode="0%"/>
      <fill>
        <patternFill>
          <bgColor rgb="FF00FFFF"/>
        </patternFill>
      </fill>
    </dxf>
    <dxf>
      <numFmt numFmtId="13" formatCode="0%"/>
      <fill>
        <patternFill>
          <bgColor rgb="FF00FFFF"/>
        </patternFill>
      </fill>
    </dxf>
    <dxf>
      <numFmt numFmtId="13" formatCode="0%"/>
      <fill>
        <patternFill>
          <bgColor rgb="FF00FFFF"/>
        </patternFill>
      </fill>
    </dxf>
    <dxf>
      <numFmt numFmtId="165" formatCode="&quot;$&quot;#,##0"/>
      <fill>
        <patternFill>
          <bgColor rgb="FF00FFFF"/>
        </patternFill>
      </fill>
    </dxf>
    <dxf>
      <font>
        <color rgb="FF00FFFF"/>
      </font>
      <fill>
        <patternFill>
          <bgColor rgb="FF00FFFF"/>
        </patternFill>
      </fill>
      <border>
        <left style="thin">
          <color rgb="FF00FFFF"/>
        </left>
        <right style="thin">
          <color rgb="FF00FFFF"/>
        </right>
        <top style="thin">
          <color rgb="FF00FFFF"/>
        </top>
        <bottom style="thin">
          <color rgb="FF00FFFF"/>
        </bottom>
        <vertical/>
        <horizontal/>
      </border>
    </dxf>
    <dxf>
      <font>
        <color rgb="FF00FFFF"/>
      </font>
      <fill>
        <patternFill>
          <bgColor rgb="FF00FFFF"/>
        </patternFill>
      </fill>
    </dxf>
    <dxf>
      <font>
        <color rgb="FF00FFFF"/>
      </font>
      <fill>
        <patternFill>
          <bgColor rgb="FF00FFFF"/>
        </patternFill>
      </fill>
    </dxf>
    <dxf>
      <font>
        <color rgb="FF00FFFF"/>
      </font>
      <fill>
        <patternFill>
          <bgColor rgb="FF00FFFF"/>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s>
  <tableStyles count="0" defaultTableStyle="TableStyleMedium9" defaultPivotStyle="PivotStyleLight16"/>
  <colors>
    <mruColors>
      <color rgb="FFFCF6F5"/>
      <color rgb="FFF9EDE7"/>
      <color rgb="FFEDEBAC"/>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Balance</a:t>
            </a:r>
            <a:r>
              <a:rPr lang="en-US" baseline="0"/>
              <a:t> of System Costs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44C-4142-9EFF-7C4E596A71D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44C-4142-9EFF-7C4E596A71D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44C-4142-9EFF-7C4E596A71D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44C-4142-9EFF-7C4E596A71D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44C-4142-9EFF-7C4E596A71D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44C-4142-9EFF-7C4E596A71D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B44C-4142-9EFF-7C4E596A71D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B44C-4142-9EFF-7C4E596A71DC}"/>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'STEP 2 - Cost Information'!$B$139:$B$146</c:f>
              <c:strCache>
                <c:ptCount val="8"/>
                <c:pt idx="0">
                  <c:v>Development Costs</c:v>
                </c:pt>
                <c:pt idx="1">
                  <c:v>Site Preparation Costs</c:v>
                </c:pt>
                <c:pt idx="2">
                  <c:v>Foundation Costs</c:v>
                </c:pt>
                <c:pt idx="3">
                  <c:v>Erection Costs</c:v>
                </c:pt>
                <c:pt idx="4">
                  <c:v>Collection Costs</c:v>
                </c:pt>
                <c:pt idx="5">
                  <c:v>Grid Connection Costs</c:v>
                </c:pt>
                <c:pt idx="6">
                  <c:v>Substation Costs</c:v>
                </c:pt>
                <c:pt idx="7">
                  <c:v>Management Costs</c:v>
                </c:pt>
              </c:strCache>
            </c:strRef>
          </c:cat>
          <c:val>
            <c:numRef>
              <c:f>'STEP 2 - Cost Information'!$C$139:$C$146</c:f>
              <c:numCache>
                <c:formatCode>0%</c:formatCode>
                <c:ptCount val="8"/>
                <c:pt idx="0">
                  <c:v>9.6022945240592419E-2</c:v>
                </c:pt>
                <c:pt idx="1">
                  <c:v>6.9596420294428848E-2</c:v>
                </c:pt>
                <c:pt idx="2">
                  <c:v>0.22332832043646919</c:v>
                </c:pt>
                <c:pt idx="3">
                  <c:v>0.18117718053854157</c:v>
                </c:pt>
                <c:pt idx="4">
                  <c:v>0.14039982649832072</c:v>
                </c:pt>
                <c:pt idx="5">
                  <c:v>2.94447988838419E-2</c:v>
                </c:pt>
                <c:pt idx="6">
                  <c:v>0.12476308785306262</c:v>
                </c:pt>
                <c:pt idx="7">
                  <c:v>0.24785560213757524</c:v>
                </c:pt>
              </c:numCache>
            </c:numRef>
          </c:val>
          <c:extLst>
            <c:ext xmlns:c16="http://schemas.microsoft.com/office/drawing/2014/chart" uri="{C3380CC4-5D6E-409C-BE32-E72D297353CC}">
              <c16:uniqueId val="{00000010-B44C-4142-9EFF-7C4E596A71DC}"/>
            </c:ext>
          </c:extLst>
        </c:ser>
        <c:dLbls>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Local Economic Impact - </a:t>
            </a:r>
          </a:p>
          <a:p>
            <a:pPr>
              <a:defRPr/>
            </a:pPr>
            <a:r>
              <a:rPr lang="en-US"/>
              <a:t># of Jobs Created </a:t>
            </a:r>
          </a:p>
          <a:p>
            <a:pPr>
              <a:defRPr/>
            </a:pPr>
            <a:r>
              <a:rPr lang="en-US"/>
              <a:t>During Construction Period</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SummaryResults!$AT$16</c:f>
              <c:strCache>
                <c:ptCount val="1"/>
                <c:pt idx="0">
                  <c:v>Onsite Labor Impacts</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SummaryResults!$AU$15</c:f>
              <c:strCache>
                <c:ptCount val="1"/>
                <c:pt idx="0">
                  <c:v>Jobs</c:v>
                </c:pt>
              </c:strCache>
            </c:strRef>
          </c:cat>
          <c:val>
            <c:numRef>
              <c:f>SummaryResults!$AU$16</c:f>
              <c:numCache>
                <c:formatCode>0</c:formatCode>
                <c:ptCount val="1"/>
                <c:pt idx="0">
                  <c:v>80.108577481530801</c:v>
                </c:pt>
              </c:numCache>
            </c:numRef>
          </c:val>
          <c:extLst>
            <c:ext xmlns:c16="http://schemas.microsoft.com/office/drawing/2014/chart" uri="{C3380CC4-5D6E-409C-BE32-E72D297353CC}">
              <c16:uniqueId val="{00000000-01DD-F242-BC37-4BDB4B38B811}"/>
            </c:ext>
          </c:extLst>
        </c:ser>
        <c:ser>
          <c:idx val="1"/>
          <c:order val="1"/>
          <c:tx>
            <c:strRef>
              <c:f>SummaryResults!$AT$17</c:f>
              <c:strCache>
                <c:ptCount val="1"/>
                <c:pt idx="0">
                  <c:v>Supply Chain Impacts</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SummaryResults!$AU$15</c:f>
              <c:strCache>
                <c:ptCount val="1"/>
                <c:pt idx="0">
                  <c:v>Jobs</c:v>
                </c:pt>
              </c:strCache>
            </c:strRef>
          </c:cat>
          <c:val>
            <c:numRef>
              <c:f>SummaryResults!$AU$17</c:f>
              <c:numCache>
                <c:formatCode>0</c:formatCode>
                <c:ptCount val="1"/>
                <c:pt idx="0">
                  <c:v>218.24863198170038</c:v>
                </c:pt>
              </c:numCache>
            </c:numRef>
          </c:val>
          <c:extLst>
            <c:ext xmlns:c16="http://schemas.microsoft.com/office/drawing/2014/chart" uri="{C3380CC4-5D6E-409C-BE32-E72D297353CC}">
              <c16:uniqueId val="{00000001-01DD-F242-BC37-4BDB4B38B811}"/>
            </c:ext>
          </c:extLst>
        </c:ser>
        <c:ser>
          <c:idx val="2"/>
          <c:order val="2"/>
          <c:tx>
            <c:strRef>
              <c:f>SummaryResults!$AT$18</c:f>
              <c:strCache>
                <c:ptCount val="1"/>
                <c:pt idx="0">
                  <c:v>Induced Impacts</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SummaryResults!$AU$15</c:f>
              <c:strCache>
                <c:ptCount val="1"/>
                <c:pt idx="0">
                  <c:v>Jobs</c:v>
                </c:pt>
              </c:strCache>
            </c:strRef>
          </c:cat>
          <c:val>
            <c:numRef>
              <c:f>SummaryResults!$AU$18</c:f>
              <c:numCache>
                <c:formatCode>0</c:formatCode>
                <c:ptCount val="1"/>
                <c:pt idx="0">
                  <c:v>146.92079394031387</c:v>
                </c:pt>
              </c:numCache>
            </c:numRef>
          </c:val>
          <c:extLst>
            <c:ext xmlns:c16="http://schemas.microsoft.com/office/drawing/2014/chart" uri="{C3380CC4-5D6E-409C-BE32-E72D297353CC}">
              <c16:uniqueId val="{00000002-01DD-F242-BC37-4BDB4B38B811}"/>
            </c:ext>
          </c:extLst>
        </c:ser>
        <c:dLbls>
          <c:dLblPos val="ctr"/>
          <c:showLegendKey val="0"/>
          <c:showVal val="1"/>
          <c:showCatName val="0"/>
          <c:showSerName val="0"/>
          <c:showPercent val="0"/>
          <c:showBubbleSize val="0"/>
        </c:dLbls>
        <c:gapWidth val="79"/>
        <c:overlap val="100"/>
        <c:axId val="1736684400"/>
        <c:axId val="1410798399"/>
      </c:barChart>
      <c:catAx>
        <c:axId val="17366844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410798399"/>
        <c:crosses val="autoZero"/>
        <c:auto val="1"/>
        <c:lblAlgn val="ctr"/>
        <c:lblOffset val="100"/>
        <c:noMultiLvlLbl val="0"/>
      </c:catAx>
      <c:valAx>
        <c:axId val="1410798399"/>
        <c:scaling>
          <c:orientation val="minMax"/>
        </c:scaling>
        <c:delete val="1"/>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 of Jobs (FTE  Equivalents)</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crossAx val="173668440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Local Economic Impact ($ Millions)</a:t>
            </a:r>
          </a:p>
          <a:p>
            <a:pPr>
              <a:defRPr/>
            </a:pPr>
            <a:r>
              <a:rPr lang="en-US"/>
              <a:t>During Construction Period</a:t>
            </a:r>
          </a:p>
        </c:rich>
      </c:tx>
      <c:layout>
        <c:manualLayout>
          <c:xMode val="edge"/>
          <c:yMode val="edge"/>
          <c:x val="0.13790266841644794"/>
          <c:y val="3.2077384073091693E-2"/>
        </c:manualLayout>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SummaryResults!$AT$16</c:f>
              <c:strCache>
                <c:ptCount val="1"/>
                <c:pt idx="0">
                  <c:v>Onsite Labor Impacts</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SummaryResults!$AV$15:$AX$15</c:f>
              <c:strCache>
                <c:ptCount val="3"/>
                <c:pt idx="0">
                  <c:v>Earnings</c:v>
                </c:pt>
                <c:pt idx="1">
                  <c:v>Outputs</c:v>
                </c:pt>
                <c:pt idx="2">
                  <c:v>Value Add</c:v>
                </c:pt>
              </c:strCache>
            </c:strRef>
          </c:cat>
          <c:val>
            <c:numRef>
              <c:f>SummaryResults!$AV$16:$AX$16</c:f>
              <c:numCache>
                <c:formatCode>"$"#,##0.00</c:formatCode>
                <c:ptCount val="3"/>
                <c:pt idx="0">
                  <c:v>11.679985425997568</c:v>
                </c:pt>
                <c:pt idx="1">
                  <c:v>12.02683475929817</c:v>
                </c:pt>
                <c:pt idx="2">
                  <c:v>11.736941829518969</c:v>
                </c:pt>
              </c:numCache>
            </c:numRef>
          </c:val>
          <c:extLst>
            <c:ext xmlns:c16="http://schemas.microsoft.com/office/drawing/2014/chart" uri="{C3380CC4-5D6E-409C-BE32-E72D297353CC}">
              <c16:uniqueId val="{00000000-1A61-7342-9DA5-F60C62D6696F}"/>
            </c:ext>
          </c:extLst>
        </c:ser>
        <c:ser>
          <c:idx val="1"/>
          <c:order val="1"/>
          <c:tx>
            <c:strRef>
              <c:f>SummaryResults!$AT$17</c:f>
              <c:strCache>
                <c:ptCount val="1"/>
                <c:pt idx="0">
                  <c:v>Supply Chain Impacts</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SummaryResults!$AV$15:$AX$15</c:f>
              <c:strCache>
                <c:ptCount val="3"/>
                <c:pt idx="0">
                  <c:v>Earnings</c:v>
                </c:pt>
                <c:pt idx="1">
                  <c:v>Outputs</c:v>
                </c:pt>
                <c:pt idx="2">
                  <c:v>Value Add</c:v>
                </c:pt>
              </c:strCache>
            </c:strRef>
          </c:cat>
          <c:val>
            <c:numRef>
              <c:f>SummaryResults!$AV$17:$AX$17</c:f>
              <c:numCache>
                <c:formatCode>"$"#,##0.00</c:formatCode>
                <c:ptCount val="3"/>
                <c:pt idx="0">
                  <c:v>14.044672442358978</c:v>
                </c:pt>
                <c:pt idx="1">
                  <c:v>44.607295708389202</c:v>
                </c:pt>
                <c:pt idx="2">
                  <c:v>21.172639523435446</c:v>
                </c:pt>
              </c:numCache>
            </c:numRef>
          </c:val>
          <c:extLst>
            <c:ext xmlns:c16="http://schemas.microsoft.com/office/drawing/2014/chart" uri="{C3380CC4-5D6E-409C-BE32-E72D297353CC}">
              <c16:uniqueId val="{00000001-1A61-7342-9DA5-F60C62D6696F}"/>
            </c:ext>
          </c:extLst>
        </c:ser>
        <c:ser>
          <c:idx val="2"/>
          <c:order val="2"/>
          <c:tx>
            <c:strRef>
              <c:f>SummaryResults!$AT$18</c:f>
              <c:strCache>
                <c:ptCount val="1"/>
                <c:pt idx="0">
                  <c:v>Induced Impacts</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SummaryResults!$AV$15:$AX$15</c:f>
              <c:strCache>
                <c:ptCount val="3"/>
                <c:pt idx="0">
                  <c:v>Earnings</c:v>
                </c:pt>
                <c:pt idx="1">
                  <c:v>Outputs</c:v>
                </c:pt>
                <c:pt idx="2">
                  <c:v>Value Add</c:v>
                </c:pt>
              </c:strCache>
            </c:strRef>
          </c:cat>
          <c:val>
            <c:numRef>
              <c:f>SummaryResults!$AV$18:$AX$18</c:f>
              <c:numCache>
                <c:formatCode>"$"#,##0.00</c:formatCode>
                <c:ptCount val="3"/>
                <c:pt idx="0">
                  <c:v>8.3955396712931076</c:v>
                </c:pt>
                <c:pt idx="1">
                  <c:v>24.907166570973654</c:v>
                </c:pt>
                <c:pt idx="2">
                  <c:v>14.497619962730282</c:v>
                </c:pt>
              </c:numCache>
            </c:numRef>
          </c:val>
          <c:extLst>
            <c:ext xmlns:c16="http://schemas.microsoft.com/office/drawing/2014/chart" uri="{C3380CC4-5D6E-409C-BE32-E72D297353CC}">
              <c16:uniqueId val="{00000002-1A61-7342-9DA5-F60C62D6696F}"/>
            </c:ext>
          </c:extLst>
        </c:ser>
        <c:dLbls>
          <c:dLblPos val="ctr"/>
          <c:showLegendKey val="0"/>
          <c:showVal val="1"/>
          <c:showCatName val="0"/>
          <c:showSerName val="0"/>
          <c:showPercent val="0"/>
          <c:showBubbleSize val="0"/>
        </c:dLbls>
        <c:gapWidth val="79"/>
        <c:overlap val="100"/>
        <c:axId val="481372240"/>
        <c:axId val="482083632"/>
      </c:barChart>
      <c:catAx>
        <c:axId val="4813722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482083632"/>
        <c:crosses val="autoZero"/>
        <c:auto val="1"/>
        <c:lblAlgn val="ctr"/>
        <c:lblOffset val="100"/>
        <c:noMultiLvlLbl val="0"/>
      </c:catAx>
      <c:valAx>
        <c:axId val="482083632"/>
        <c:scaling>
          <c:orientation val="minMax"/>
        </c:scaling>
        <c:delete val="1"/>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Economic Impact ($ Millions)</a:t>
                </a:r>
              </a:p>
            </c:rich>
          </c:tx>
          <c:layout>
            <c:manualLayout>
              <c:xMode val="edge"/>
              <c:yMode val="edge"/>
              <c:x val="1.6666724038379137E-2"/>
              <c:y val="0.42586679920664638"/>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quot;$&quot;#,##0.0" sourceLinked="0"/>
        <c:majorTickMark val="none"/>
        <c:minorTickMark val="none"/>
        <c:tickLblPos val="nextTo"/>
        <c:crossAx val="4813722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Local Annual Economic Impact - </a:t>
            </a:r>
          </a:p>
          <a:p>
            <a:pPr>
              <a:defRPr/>
            </a:pPr>
            <a:r>
              <a:rPr lang="en-US"/>
              <a:t># of Jobs Created</a:t>
            </a:r>
          </a:p>
          <a:p>
            <a:pPr>
              <a:defRPr/>
            </a:pPr>
            <a:r>
              <a:rPr lang="en-US"/>
              <a:t>During Operating Years</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SummaryResults!$AT$21</c:f>
              <c:strCache>
                <c:ptCount val="1"/>
                <c:pt idx="0">
                  <c:v>Onsite Labor Impacts</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SummaryResults!$AU$15</c:f>
              <c:strCache>
                <c:ptCount val="1"/>
                <c:pt idx="0">
                  <c:v>Jobs</c:v>
                </c:pt>
              </c:strCache>
            </c:strRef>
          </c:cat>
          <c:val>
            <c:numRef>
              <c:f>SummaryResults!$AU$21</c:f>
              <c:numCache>
                <c:formatCode>0</c:formatCode>
                <c:ptCount val="1"/>
                <c:pt idx="0">
                  <c:v>11.968868329123286</c:v>
                </c:pt>
              </c:numCache>
            </c:numRef>
          </c:val>
          <c:extLst>
            <c:ext xmlns:c16="http://schemas.microsoft.com/office/drawing/2014/chart" uri="{C3380CC4-5D6E-409C-BE32-E72D297353CC}">
              <c16:uniqueId val="{00000000-C7F4-DF4C-A7BE-C4DBF34788BD}"/>
            </c:ext>
          </c:extLst>
        </c:ser>
        <c:ser>
          <c:idx val="1"/>
          <c:order val="1"/>
          <c:tx>
            <c:strRef>
              <c:f>SummaryResults!$AT$22</c:f>
              <c:strCache>
                <c:ptCount val="1"/>
                <c:pt idx="0">
                  <c:v>Supply Chain Impacts</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SummaryResults!$AU$15</c:f>
              <c:strCache>
                <c:ptCount val="1"/>
                <c:pt idx="0">
                  <c:v>Jobs</c:v>
                </c:pt>
              </c:strCache>
            </c:strRef>
          </c:cat>
          <c:val>
            <c:numRef>
              <c:f>SummaryResults!$AU$22</c:f>
              <c:numCache>
                <c:formatCode>0</c:formatCode>
                <c:ptCount val="1"/>
                <c:pt idx="0">
                  <c:v>24.843375399048583</c:v>
                </c:pt>
              </c:numCache>
            </c:numRef>
          </c:val>
          <c:extLst>
            <c:ext xmlns:c16="http://schemas.microsoft.com/office/drawing/2014/chart" uri="{C3380CC4-5D6E-409C-BE32-E72D297353CC}">
              <c16:uniqueId val="{00000001-C7F4-DF4C-A7BE-C4DBF34788BD}"/>
            </c:ext>
          </c:extLst>
        </c:ser>
        <c:ser>
          <c:idx val="2"/>
          <c:order val="2"/>
          <c:tx>
            <c:strRef>
              <c:f>SummaryResults!$AT$23</c:f>
              <c:strCache>
                <c:ptCount val="1"/>
                <c:pt idx="0">
                  <c:v>Induced Impacts</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SummaryResults!$AU$15</c:f>
              <c:strCache>
                <c:ptCount val="1"/>
                <c:pt idx="0">
                  <c:v>Jobs</c:v>
                </c:pt>
              </c:strCache>
            </c:strRef>
          </c:cat>
          <c:val>
            <c:numRef>
              <c:f>SummaryResults!$AU$23</c:f>
              <c:numCache>
                <c:formatCode>0</c:formatCode>
                <c:ptCount val="1"/>
                <c:pt idx="0">
                  <c:v>15.035590973517953</c:v>
                </c:pt>
              </c:numCache>
            </c:numRef>
          </c:val>
          <c:extLst>
            <c:ext xmlns:c16="http://schemas.microsoft.com/office/drawing/2014/chart" uri="{C3380CC4-5D6E-409C-BE32-E72D297353CC}">
              <c16:uniqueId val="{00000002-C7F4-DF4C-A7BE-C4DBF34788BD}"/>
            </c:ext>
          </c:extLst>
        </c:ser>
        <c:dLbls>
          <c:dLblPos val="ctr"/>
          <c:showLegendKey val="0"/>
          <c:showVal val="1"/>
          <c:showCatName val="0"/>
          <c:showSerName val="0"/>
          <c:showPercent val="0"/>
          <c:showBubbleSize val="0"/>
        </c:dLbls>
        <c:gapWidth val="79"/>
        <c:overlap val="100"/>
        <c:axId val="1736684400"/>
        <c:axId val="1410798399"/>
      </c:barChart>
      <c:catAx>
        <c:axId val="17366844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410798399"/>
        <c:crosses val="autoZero"/>
        <c:auto val="1"/>
        <c:lblAlgn val="ctr"/>
        <c:lblOffset val="100"/>
        <c:noMultiLvlLbl val="0"/>
      </c:catAx>
      <c:valAx>
        <c:axId val="1410798399"/>
        <c:scaling>
          <c:orientation val="minMax"/>
        </c:scaling>
        <c:delete val="1"/>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 of Jobs (FTE  Equivalents)</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crossAx val="173668440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Local Annual Economic Impact </a:t>
            </a:r>
          </a:p>
          <a:p>
            <a:pPr>
              <a:defRPr/>
            </a:pPr>
            <a:r>
              <a:rPr lang="en-US"/>
              <a:t>($ Millions) During Operating Years</a:t>
            </a:r>
          </a:p>
        </c:rich>
      </c:tx>
      <c:layout>
        <c:manualLayout>
          <c:xMode val="edge"/>
          <c:yMode val="edge"/>
          <c:x val="0.13790266841644794"/>
          <c:y val="3.2077384073091693E-2"/>
        </c:manualLayout>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SummaryResults!$AT$21</c:f>
              <c:strCache>
                <c:ptCount val="1"/>
                <c:pt idx="0">
                  <c:v>Onsite Labor Impacts</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SummaryResults!$AV$15:$AX$15</c:f>
              <c:strCache>
                <c:ptCount val="3"/>
                <c:pt idx="0">
                  <c:v>Earnings</c:v>
                </c:pt>
                <c:pt idx="1">
                  <c:v>Outputs</c:v>
                </c:pt>
                <c:pt idx="2">
                  <c:v>Value Add</c:v>
                </c:pt>
              </c:strCache>
            </c:strRef>
          </c:cat>
          <c:val>
            <c:numRef>
              <c:f>SummaryResults!$AV$21:$AX$21</c:f>
              <c:numCache>
                <c:formatCode>_("$"* #,##0.00_);_("$"* \(#,##0.00\);_("$"* "-"??_);_(@_)</c:formatCode>
                <c:ptCount val="3"/>
                <c:pt idx="0">
                  <c:v>0.78391089734359654</c:v>
                </c:pt>
                <c:pt idx="1">
                  <c:v>0.78391089734359654</c:v>
                </c:pt>
                <c:pt idx="2">
                  <c:v>0.78391089734359654</c:v>
                </c:pt>
              </c:numCache>
            </c:numRef>
          </c:val>
          <c:extLst>
            <c:ext xmlns:c16="http://schemas.microsoft.com/office/drawing/2014/chart" uri="{C3380CC4-5D6E-409C-BE32-E72D297353CC}">
              <c16:uniqueId val="{00000000-AC19-9547-8A73-AECBB33F15D8}"/>
            </c:ext>
          </c:extLst>
        </c:ser>
        <c:ser>
          <c:idx val="1"/>
          <c:order val="1"/>
          <c:tx>
            <c:strRef>
              <c:f>SummaryResults!$AT$22</c:f>
              <c:strCache>
                <c:ptCount val="1"/>
                <c:pt idx="0">
                  <c:v>Supply Chain Impacts</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SummaryResults!$AV$15:$AX$15</c:f>
              <c:strCache>
                <c:ptCount val="3"/>
                <c:pt idx="0">
                  <c:v>Earnings</c:v>
                </c:pt>
                <c:pt idx="1">
                  <c:v>Outputs</c:v>
                </c:pt>
                <c:pt idx="2">
                  <c:v>Value Add</c:v>
                </c:pt>
              </c:strCache>
            </c:strRef>
          </c:cat>
          <c:val>
            <c:numRef>
              <c:f>SummaryResults!$AV$22:$AX$22</c:f>
              <c:numCache>
                <c:formatCode>_("$"* #,##0.00_);_("$"* \(#,##0.00\);_("$"* "-"??_);_(@_)</c:formatCode>
                <c:ptCount val="3"/>
                <c:pt idx="0">
                  <c:v>1.4961647901373647</c:v>
                </c:pt>
                <c:pt idx="1">
                  <c:v>5.5422047420335101</c:v>
                </c:pt>
                <c:pt idx="2">
                  <c:v>3.6545452239374763</c:v>
                </c:pt>
              </c:numCache>
            </c:numRef>
          </c:val>
          <c:extLst>
            <c:ext xmlns:c16="http://schemas.microsoft.com/office/drawing/2014/chart" uri="{C3380CC4-5D6E-409C-BE32-E72D297353CC}">
              <c16:uniqueId val="{00000001-AC19-9547-8A73-AECBB33F15D8}"/>
            </c:ext>
          </c:extLst>
        </c:ser>
        <c:ser>
          <c:idx val="2"/>
          <c:order val="2"/>
          <c:tx>
            <c:strRef>
              <c:f>SummaryResults!$AT$23</c:f>
              <c:strCache>
                <c:ptCount val="1"/>
                <c:pt idx="0">
                  <c:v>Induced Impacts</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SummaryResults!$AV$15:$AX$15</c:f>
              <c:strCache>
                <c:ptCount val="3"/>
                <c:pt idx="0">
                  <c:v>Earnings</c:v>
                </c:pt>
                <c:pt idx="1">
                  <c:v>Outputs</c:v>
                </c:pt>
                <c:pt idx="2">
                  <c:v>Value Add</c:v>
                </c:pt>
              </c:strCache>
            </c:strRef>
          </c:cat>
          <c:val>
            <c:numRef>
              <c:f>SummaryResults!$AV$23:$AX$23</c:f>
              <c:numCache>
                <c:formatCode>_("$"* #,##0.00_);_("$"* \(#,##0.00\);_("$"* "-"??_);_(@_)</c:formatCode>
                <c:ptCount val="3"/>
                <c:pt idx="0">
                  <c:v>0.88909494008588175</c:v>
                </c:pt>
                <c:pt idx="1">
                  <c:v>2.6375608758347471</c:v>
                </c:pt>
                <c:pt idx="2">
                  <c:v>1.5351427923167911</c:v>
                </c:pt>
              </c:numCache>
            </c:numRef>
          </c:val>
          <c:extLst>
            <c:ext xmlns:c16="http://schemas.microsoft.com/office/drawing/2014/chart" uri="{C3380CC4-5D6E-409C-BE32-E72D297353CC}">
              <c16:uniqueId val="{00000002-AC19-9547-8A73-AECBB33F15D8}"/>
            </c:ext>
          </c:extLst>
        </c:ser>
        <c:dLbls>
          <c:dLblPos val="ctr"/>
          <c:showLegendKey val="0"/>
          <c:showVal val="1"/>
          <c:showCatName val="0"/>
          <c:showSerName val="0"/>
          <c:showPercent val="0"/>
          <c:showBubbleSize val="0"/>
        </c:dLbls>
        <c:gapWidth val="79"/>
        <c:overlap val="100"/>
        <c:axId val="481372240"/>
        <c:axId val="482083632"/>
      </c:barChart>
      <c:catAx>
        <c:axId val="4813722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482083632"/>
        <c:crosses val="autoZero"/>
        <c:auto val="1"/>
        <c:lblAlgn val="ctr"/>
        <c:lblOffset val="100"/>
        <c:noMultiLvlLbl val="0"/>
      </c:catAx>
      <c:valAx>
        <c:axId val="482083632"/>
        <c:scaling>
          <c:orientation val="minMax"/>
        </c:scaling>
        <c:delete val="1"/>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Annual Economic Impact ($ Millions)</a:t>
                </a:r>
              </a:p>
            </c:rich>
          </c:tx>
          <c:layout>
            <c:manualLayout>
              <c:xMode val="edge"/>
              <c:yMode val="edge"/>
              <c:x val="1.6666724038379137E-2"/>
              <c:y val="0.4162846868224262"/>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quot;$&quot;#,##0.0" sourceLinked="0"/>
        <c:majorTickMark val="none"/>
        <c:minorTickMark val="none"/>
        <c:tickLblPos val="nextTo"/>
        <c:crossAx val="4813722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1761548</xdr:colOff>
      <xdr:row>5</xdr:row>
      <xdr:rowOff>95251</xdr:rowOff>
    </xdr:from>
    <xdr:to>
      <xdr:col>0</xdr:col>
      <xdr:colOff>9848273</xdr:colOff>
      <xdr:row>40</xdr:row>
      <xdr:rowOff>14942</xdr:rowOff>
    </xdr:to>
    <xdr:sp macro="" textlink="">
      <xdr:nvSpPr>
        <xdr:cNvPr id="2" name="Text Box 1">
          <a:extLst>
            <a:ext uri="{FF2B5EF4-FFF2-40B4-BE49-F238E27FC236}">
              <a16:creationId xmlns:a16="http://schemas.microsoft.com/office/drawing/2014/main" id="{00000000-0008-0000-0200-000002000000}"/>
            </a:ext>
          </a:extLst>
        </xdr:cNvPr>
        <xdr:cNvSpPr txBox="1">
          <a:spLocks noChangeArrowheads="1"/>
        </xdr:cNvSpPr>
      </xdr:nvSpPr>
      <xdr:spPr bwMode="auto">
        <a:xfrm>
          <a:off x="1761548" y="1843369"/>
          <a:ext cx="8086725" cy="5672044"/>
        </a:xfrm>
        <a:prstGeom prst="rect">
          <a:avLst/>
        </a:prstGeom>
        <a:solidFill>
          <a:schemeClr val="bg1"/>
        </a:solidFill>
        <a:ln w="12700">
          <a:solidFill>
            <a:srgbClr val="000000"/>
          </a:solidFill>
          <a:miter lim="800000"/>
          <a:headEnd/>
          <a:tailEnd/>
        </a:ln>
      </xdr:spPr>
      <xdr:txBody>
        <a:bodyPr vertOverflow="clip" wrap="square" lIns="182880" tIns="228600" rIns="274320" bIns="228600" anchor="t" upright="1"/>
        <a:lstStyle/>
        <a:p>
          <a:pPr marL="0" marR="0" lvl="0" indent="0" defTabSz="914400" rtl="0" eaLnBrk="1" fontAlgn="auto" latinLnBrk="0" hangingPunct="1">
            <a:lnSpc>
              <a:spcPct val="100000"/>
            </a:lnSpc>
            <a:spcBef>
              <a:spcPts val="0"/>
            </a:spcBef>
            <a:spcAft>
              <a:spcPts val="0"/>
            </a:spcAft>
            <a:buClrTx/>
            <a:buSzTx/>
            <a:buFontTx/>
            <a:buNone/>
            <a:tabLst/>
            <a:defRPr/>
          </a:pPr>
          <a:r>
            <a:rPr lang="en-US" sz="1200" b="0" i="0">
              <a:latin typeface="Arial" panose="020B0604020202020204" pitchFamily="34" charset="0"/>
              <a:ea typeface="+mn-ea"/>
              <a:cs typeface="Arial" panose="020B0604020202020204" pitchFamily="34" charset="0"/>
            </a:rPr>
            <a:t>This</a:t>
          </a:r>
          <a:r>
            <a:rPr lang="en-US" sz="1200" b="0" i="0" baseline="0">
              <a:latin typeface="Arial" panose="020B0604020202020204" pitchFamily="34" charset="0"/>
              <a:ea typeface="+mn-ea"/>
              <a:cs typeface="Arial" panose="020B0604020202020204" pitchFamily="34" charset="0"/>
            </a:rPr>
            <a:t> </a:t>
          </a:r>
          <a:r>
            <a:rPr lang="en-US" sz="1200" b="0" i="0">
              <a:latin typeface="Arial" panose="020B0604020202020204" pitchFamily="34" charset="0"/>
              <a:ea typeface="+mn-ea"/>
              <a:cs typeface="Arial" panose="020B0604020202020204" pitchFamily="34" charset="0"/>
            </a:rPr>
            <a:t>model is designed to estimate the statewide economic impacts associated with developing and operating</a:t>
          </a:r>
          <a:r>
            <a:rPr lang="en-US" sz="1200" b="0" i="0" baseline="0">
              <a:latin typeface="Arial" panose="020B0604020202020204" pitchFamily="34" charset="0"/>
              <a:ea typeface="+mn-ea"/>
              <a:cs typeface="Arial" panose="020B0604020202020204" pitchFamily="34" charset="0"/>
            </a:rPr>
            <a:t> land-based wind power generation facilities</a:t>
          </a:r>
          <a:r>
            <a:rPr lang="en-US" sz="1200" b="0" i="0">
              <a:latin typeface="Arial" panose="020B0604020202020204" pitchFamily="34" charset="0"/>
              <a:ea typeface="+mn-ea"/>
              <a:cs typeface="Arial" panose="020B0604020202020204" pitchFamily="34" charset="0"/>
            </a:rPr>
            <a:t> in the United States.  </a:t>
          </a:r>
          <a:r>
            <a:rPr lang="en-US" sz="1200">
              <a:effectLst/>
              <a:latin typeface="Arial" panose="020B0604020202020204" pitchFamily="34" charset="0"/>
              <a:ea typeface="+mn-ea"/>
              <a:cs typeface="Arial" panose="020B0604020202020204" pitchFamily="34" charset="0"/>
            </a:rPr>
            <a:t>Using basic information about a wind project (at minimum the project’s state, county, or region; the year of construction; and the size of the facility), the model calculates the project balance-of-plant costs using NREL’s LandBOSSE Balance-of-Systems cost model. The model then calculated the number of jobs, income (i.e., wages and salary), and economic activity that will accrue to the state, county, or region being analyzed. To evaluate these impacts, input-output or multiplier analysis is used. </a:t>
          </a:r>
          <a:r>
            <a:rPr lang="en-US" sz="1200" b="0" i="0">
              <a:latin typeface="Arial" panose="020B0604020202020204" pitchFamily="34" charset="0"/>
              <a:ea typeface="+mn-ea"/>
              <a:cs typeface="Arial" panose="020B0604020202020204" pitchFamily="34" charset="0"/>
            </a:rPr>
            <a:t>The economic impacts identified include jobs, earnings,</a:t>
          </a:r>
          <a:r>
            <a:rPr lang="en-US" sz="1200" b="0" i="0" baseline="0">
              <a:latin typeface="Arial" panose="020B0604020202020204" pitchFamily="34" charset="0"/>
              <a:ea typeface="+mn-ea"/>
              <a:cs typeface="Arial" panose="020B0604020202020204" pitchFamily="34" charset="0"/>
            </a:rPr>
            <a:t> </a:t>
          </a:r>
          <a:r>
            <a:rPr lang="en-US" sz="1200" b="0" i="0">
              <a:latin typeface="Arial" panose="020B0604020202020204" pitchFamily="34" charset="0"/>
              <a:ea typeface="+mn-ea"/>
              <a:cs typeface="Arial" panose="020B0604020202020204" pitchFamily="34" charset="0"/>
            </a:rPr>
            <a:t>output and value added for the construction period and annually once the wind</a:t>
          </a:r>
          <a:r>
            <a:rPr lang="en-US" sz="1200" b="0" i="0" baseline="0">
              <a:latin typeface="Arial" panose="020B0604020202020204" pitchFamily="34" charset="0"/>
              <a:ea typeface="+mn-ea"/>
              <a:cs typeface="Arial" panose="020B0604020202020204" pitchFamily="34" charset="0"/>
            </a:rPr>
            <a:t> plant</a:t>
          </a:r>
          <a:r>
            <a:rPr lang="en-US" sz="1200" b="0" i="0">
              <a:latin typeface="Arial" panose="020B0604020202020204" pitchFamily="34" charset="0"/>
              <a:ea typeface="+mn-ea"/>
              <a:cs typeface="Arial" panose="020B0604020202020204" pitchFamily="34" charset="0"/>
            </a:rPr>
            <a:t> is operational.  A user defined location (e.g., county or region) option is also available</a:t>
          </a:r>
          <a:r>
            <a:rPr lang="en-US" sz="1200" b="0" i="0" baseline="0">
              <a:latin typeface="Arial" panose="020B0604020202020204" pitchFamily="34" charset="0"/>
              <a:ea typeface="+mn-ea"/>
              <a:cs typeface="Arial" panose="020B0604020202020204" pitchFamily="34" charset="0"/>
            </a:rPr>
            <a:t> using the "User Add-In Location" sheet, if the user has economic multiplier data specific to their location</a:t>
          </a:r>
          <a:r>
            <a:rPr lang="en-US" sz="1200" b="0" i="0">
              <a:latin typeface="Arial" panose="020B0604020202020204" pitchFamily="34" charset="0"/>
              <a:ea typeface="+mn-ea"/>
              <a:cs typeface="Arial" panose="020B0604020202020204" pitchFamily="34" charset="0"/>
            </a:rPr>
            <a:t>.    </a:t>
          </a:r>
          <a:endParaRPr lang="en-US" sz="1200" b="0" i="0" u="none" strike="noStrike" baseline="0">
            <a:solidFill>
              <a:srgbClr val="000000"/>
            </a:solidFill>
            <a:latin typeface="Arial" pitchFamily="34" charset="0"/>
            <a:cs typeface="Arial" pitchFamily="34" charset="0"/>
          </a:endParaRPr>
        </a:p>
        <a:p>
          <a:pPr algn="l" rtl="0">
            <a:defRPr sz="1000"/>
          </a:pPr>
          <a:endParaRPr lang="en-US" sz="1200" b="1"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Steps to complete an economic impact analysis:</a:t>
          </a:r>
        </a:p>
        <a:p>
          <a:pPr algn="l" rtl="0">
            <a:defRPr sz="1000"/>
          </a:pPr>
          <a:endParaRPr lang="en-US" sz="1200" b="0" i="0" u="none" strike="noStrike" baseline="0">
            <a:solidFill>
              <a:srgbClr val="000000"/>
            </a:solidFill>
            <a:latin typeface="Arial" pitchFamily="34" charset="0"/>
            <a:cs typeface="Arial" pitchFamily="34" charset="0"/>
          </a:endParaRPr>
        </a:p>
        <a:p>
          <a:pPr rtl="0"/>
          <a:r>
            <a:rPr lang="en-US" sz="1200" b="0" i="0">
              <a:latin typeface="Arial" panose="020B0604020202020204" pitchFamily="34" charset="0"/>
              <a:ea typeface="+mn-ea"/>
              <a:cs typeface="Arial" panose="020B0604020202020204" pitchFamily="34" charset="0"/>
            </a:rPr>
            <a:t>   1.  Complete Step 1 - Project Information Sheet basic</a:t>
          </a:r>
          <a:r>
            <a:rPr lang="en-US" sz="1200" b="0" i="0" baseline="0">
              <a:latin typeface="Arial" panose="020B0604020202020204" pitchFamily="34" charset="0"/>
              <a:ea typeface="+mn-ea"/>
              <a:cs typeface="Arial" panose="020B0604020202020204" pitchFamily="34" charset="0"/>
            </a:rPr>
            <a:t> and/or advanced inputs. These inputs will be used to run the LandBOSSE Balance of System Cost Model.</a:t>
          </a:r>
          <a:endParaRPr lang="en-US" sz="1200">
            <a:latin typeface="Arial" panose="020B0604020202020204" pitchFamily="34" charset="0"/>
            <a:cs typeface="Arial" panose="020B0604020202020204" pitchFamily="34" charset="0"/>
          </a:endParaRPr>
        </a:p>
        <a:p>
          <a:pPr rtl="0"/>
          <a:r>
            <a:rPr lang="en-US" sz="1200" b="0" i="0">
              <a:latin typeface="Arial" panose="020B0604020202020204" pitchFamily="34" charset="0"/>
              <a:ea typeface="+mn-ea"/>
              <a:cs typeface="Arial" panose="020B0604020202020204" pitchFamily="34" charset="0"/>
            </a:rPr>
            <a:t>   2.  Proceed to Step 2 by pressing the button to run LandBOSSE</a:t>
          </a:r>
          <a:r>
            <a:rPr lang="en-US" sz="1200" b="0" i="0" baseline="0">
              <a:latin typeface="Arial" panose="020B0604020202020204" pitchFamily="34" charset="0"/>
              <a:ea typeface="+mn-ea"/>
              <a:cs typeface="Arial" panose="020B0604020202020204" pitchFamily="34" charset="0"/>
            </a:rPr>
            <a:t> model. On the Step 2 - Cost Information page, review LandBOSSE outputs and input project cost information.</a:t>
          </a:r>
          <a:endParaRPr lang="en-US" sz="1200">
            <a:latin typeface="Arial" panose="020B0604020202020204" pitchFamily="34" charset="0"/>
            <a:cs typeface="Arial" panose="020B0604020202020204" pitchFamily="34" charset="0"/>
          </a:endParaRPr>
        </a:p>
        <a:p>
          <a:pPr rtl="0"/>
          <a:r>
            <a:rPr lang="en-US" sz="1200" b="0" i="0">
              <a:latin typeface="Arial" panose="020B0604020202020204" pitchFamily="34" charset="0"/>
              <a:ea typeface="+mn-ea"/>
              <a:cs typeface="Arial" panose="020B0604020202020204" pitchFamily="34" charset="0"/>
            </a:rPr>
            <a:t>   3.  Proceed to Step 3 by pressing the button to edit project data for</a:t>
          </a:r>
          <a:r>
            <a:rPr lang="en-US" sz="1200" b="0" i="0" baseline="0">
              <a:latin typeface="Arial" panose="020B0604020202020204" pitchFamily="34" charset="0"/>
              <a:ea typeface="+mn-ea"/>
              <a:cs typeface="Arial" panose="020B0604020202020204" pitchFamily="34" charset="0"/>
            </a:rPr>
            <a:t> project installed cost, O&amp;M costs, financial parameters, and local share percentages for the project.</a:t>
          </a:r>
          <a:endParaRPr lang="en-US" sz="1200">
            <a:latin typeface="Arial" panose="020B0604020202020204" pitchFamily="34" charset="0"/>
            <a:cs typeface="Arial" panose="020B0604020202020204" pitchFamily="34" charset="0"/>
          </a:endParaRPr>
        </a:p>
        <a:p>
          <a:r>
            <a:rPr lang="en-US" sz="1200" b="0" i="0">
              <a:latin typeface="Arial" panose="020B0604020202020204" pitchFamily="34" charset="0"/>
              <a:ea typeface="+mn-ea"/>
              <a:cs typeface="Arial" panose="020B0604020202020204" pitchFamily="34" charset="0"/>
            </a:rPr>
            <a:t>   4.  Once all</a:t>
          </a:r>
          <a:r>
            <a:rPr lang="en-US" sz="1200" b="0" i="0" baseline="0">
              <a:latin typeface="Arial" panose="020B0604020202020204" pitchFamily="34" charset="0"/>
              <a:ea typeface="+mn-ea"/>
              <a:cs typeface="Arial" panose="020B0604020202020204" pitchFamily="34" charset="0"/>
            </a:rPr>
            <a:t> inputs have been made or left as defaults, select "View Summary Results" to see the economic impact results.</a:t>
          </a:r>
          <a:endParaRPr lang="en-US" sz="1200" b="0" i="0" u="none" strike="noStrike" baseline="0">
            <a:solidFill>
              <a:srgbClr val="000000"/>
            </a:solidFill>
            <a:latin typeface="Arial" panose="020B0604020202020204" pitchFamily="34" charset="0"/>
            <a:cs typeface="Arial" panose="020B0604020202020204" pitchFamily="34" charset="0"/>
          </a:endParaRPr>
        </a:p>
        <a:p>
          <a:pPr algn="l" rtl="0">
            <a:defRPr sz="1000"/>
          </a:pPr>
          <a:r>
            <a:rPr lang="en-US" sz="1200" b="0" i="0" u="none" strike="noStrike" baseline="0">
              <a:solidFill>
                <a:srgbClr val="000000"/>
              </a:solidFill>
              <a:latin typeface="Arial" panose="020B0604020202020204" pitchFamily="34" charset="0"/>
              <a:cs typeface="Arial" panose="020B0604020202020204" pitchFamily="34" charset="0"/>
            </a:rPr>
            <a:t>      </a:t>
          </a:r>
        </a:p>
        <a:p>
          <a:pPr algn="l" rtl="0">
            <a:defRPr sz="1000"/>
          </a:pPr>
          <a:r>
            <a:rPr lang="en-US" sz="1200" b="1" i="0" u="none" strike="noStrike" baseline="0">
              <a:solidFill>
                <a:srgbClr val="000000"/>
              </a:solidFill>
              <a:latin typeface="Arial" pitchFamily="34" charset="0"/>
              <a:cs typeface="Arial" pitchFamily="34" charset="0"/>
            </a:rPr>
            <a:t>To begin analysis press Start button.</a:t>
          </a:r>
        </a:p>
        <a:p>
          <a:pPr algn="l" rtl="0">
            <a:defRPr sz="1000"/>
          </a:pPr>
          <a:endParaRPr lang="en-US" sz="1200" b="1" i="0" u="none" strike="noStrike" baseline="0">
            <a:solidFill>
              <a:srgbClr val="000000"/>
            </a:solidFill>
            <a:latin typeface="Arial" pitchFamily="34" charset="0"/>
            <a:cs typeface="Arial" pitchFamily="34" charset="0"/>
          </a:endParaRPr>
        </a:p>
        <a:p>
          <a:pPr algn="l" rtl="0">
            <a:defRPr sz="1000"/>
          </a:pPr>
          <a:endParaRPr lang="en-US" sz="1200" b="1" i="0" u="none" strike="noStrike" baseline="0">
            <a:solidFill>
              <a:srgbClr val="000000"/>
            </a:solidFill>
            <a:latin typeface="Arial" pitchFamily="34" charset="0"/>
            <a:cs typeface="Arial" pitchFamily="34" charset="0"/>
          </a:endParaRPr>
        </a:p>
        <a:p>
          <a:pPr algn="l" rtl="0">
            <a:defRPr sz="1000"/>
          </a:pPr>
          <a:endParaRPr lang="en-US" sz="1200" b="1" i="0" u="none" strike="noStrike" baseline="0">
            <a:solidFill>
              <a:srgbClr val="000000"/>
            </a:solidFill>
            <a:latin typeface="Arial" pitchFamily="34" charset="0"/>
            <a:cs typeface="Arial" pitchFamily="34" charset="0"/>
          </a:endParaRPr>
        </a:p>
        <a:p>
          <a:pPr algn="l" rtl="0">
            <a:defRPr sz="1000"/>
          </a:pPr>
          <a:r>
            <a:rPr lang="en-US" sz="1200" b="0" i="1" u="none" strike="noStrike" baseline="0">
              <a:solidFill>
                <a:srgbClr val="000000"/>
              </a:solidFill>
              <a:latin typeface="Arial" pitchFamily="34" charset="0"/>
              <a:cs typeface="Arial" pitchFamily="34" charset="0"/>
            </a:rPr>
            <a:t>ATTENTION: Please be sure that LandBOSSE has been installed and you have opted to "Enable Content/Macros" to be sure the model will run properly. For assisstance, please refer to the Installation and Use Guide found at https://www.nrel.gov/analysis/jedi/wind.html</a:t>
          </a:r>
        </a:p>
        <a:p>
          <a:pPr algn="l" rtl="0">
            <a:defRPr sz="1000"/>
          </a:pPr>
          <a:r>
            <a:rPr lang="en-US" sz="1000" b="0" i="0" u="none" strike="noStrike" baseline="0">
              <a:solidFill>
                <a:srgbClr val="000000"/>
              </a:solidFill>
              <a:latin typeface="Helv"/>
            </a:rPr>
            <a:t>   </a:t>
          </a:r>
        </a:p>
        <a:p>
          <a:pPr algn="l" rtl="0">
            <a:defRPr sz="1000"/>
          </a:pPr>
          <a:endParaRPr lang="en-US" sz="1000" b="0" i="0" u="none" strike="noStrike" baseline="0">
            <a:solidFill>
              <a:srgbClr val="000000"/>
            </a:solidFill>
            <a:latin typeface="Helv"/>
          </a:endParaRPr>
        </a:p>
        <a:p>
          <a:pPr algn="l" rtl="0">
            <a:defRPr sz="1000"/>
          </a:pPr>
          <a:r>
            <a:rPr lang="en-US" sz="1000" b="0" i="0" u="none" strike="noStrike" baseline="0">
              <a:solidFill>
                <a:srgbClr val="000000"/>
              </a:solidFill>
              <a:latin typeface="Helv"/>
            </a:rPr>
            <a:t>          </a:t>
          </a:r>
        </a:p>
        <a:p>
          <a:pPr algn="l" rtl="0">
            <a:defRPr sz="1000"/>
          </a:pPr>
          <a:r>
            <a:rPr lang="en-US" sz="1000" b="0" i="0" u="none" strike="noStrike" baseline="0">
              <a:solidFill>
                <a:srgbClr val="000000"/>
              </a:solidFill>
              <a:latin typeface="Helv"/>
            </a:rPr>
            <a:t>                                                                                        </a:t>
          </a:r>
          <a:r>
            <a:rPr lang="en-US" sz="1000" b="1" i="0" u="none" strike="noStrike" baseline="0">
              <a:solidFill>
                <a:srgbClr val="000000"/>
              </a:solidFill>
              <a:latin typeface="Helv"/>
            </a:rPr>
            <a:t> </a:t>
          </a: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xdr:txBody>
    </xdr:sp>
    <xdr:clientData/>
  </xdr:twoCellAnchor>
  <mc:AlternateContent xmlns:mc="http://schemas.openxmlformats.org/markup-compatibility/2006">
    <mc:Choice xmlns:a14="http://schemas.microsoft.com/office/drawing/2010/main" Requires="a14">
      <xdr:twoCellAnchor>
        <xdr:from>
          <xdr:col>0</xdr:col>
          <xdr:colOff>6146800</xdr:colOff>
          <xdr:row>29</xdr:row>
          <xdr:rowOff>12700</xdr:rowOff>
        </xdr:from>
        <xdr:to>
          <xdr:col>0</xdr:col>
          <xdr:colOff>8115300</xdr:colOff>
          <xdr:row>32</xdr:row>
          <xdr:rowOff>152400</xdr:rowOff>
        </xdr:to>
        <xdr:sp macro="" textlink="">
          <xdr:nvSpPr>
            <xdr:cNvPr id="15367" name="Button 7" hidden="1">
              <a:extLst>
                <a:ext uri="{63B3BB69-23CF-44E3-9099-C40C66FF867C}">
                  <a14:compatExt spid="_x0000_s15367"/>
                </a:ext>
                <a:ext uri="{FF2B5EF4-FFF2-40B4-BE49-F238E27FC236}">
                  <a16:creationId xmlns:a16="http://schemas.microsoft.com/office/drawing/2014/main" id="{00000000-0008-0000-0200-0000073C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22860" rIns="27432" bIns="22860" anchor="ctr" upright="1"/>
            <a:lstStyle/>
            <a:p>
              <a:pPr algn="ctr" rtl="0">
                <a:defRPr sz="1000"/>
              </a:pPr>
              <a:r>
                <a:rPr lang="en-US" sz="1400" b="1" i="0" u="none" strike="noStrike" baseline="0">
                  <a:solidFill>
                    <a:srgbClr val="000000"/>
                  </a:solidFill>
                  <a:latin typeface="Arial" pitchFamily="2" charset="0"/>
                  <a:cs typeface="Arial" pitchFamily="2" charset="0"/>
                </a:rPr>
                <a:t>Start</a:t>
              </a:r>
              <a:r>
                <a:rPr lang="en-US" sz="1400" b="0" i="0" u="none" strike="noStrike" baseline="0">
                  <a:solidFill>
                    <a:srgbClr val="000000"/>
                  </a:solidFill>
                  <a:latin typeface="Arial" pitchFamily="2" charset="0"/>
                  <a:cs typeface="Arial" pitchFamily="2" charset="0"/>
                </a:rPr>
                <a:t> </a:t>
              </a:r>
              <a:endParaRPr lang="en-US" sz="1000" b="0" i="0" u="none" strike="noStrike" baseline="0">
                <a:solidFill>
                  <a:srgbClr val="000000"/>
                </a:solidFill>
                <a:latin typeface="Arial" pitchFamily="2" charset="0"/>
                <a:cs typeface="Arial" pitchFamily="2" charset="0"/>
              </a:endParaRPr>
            </a:p>
            <a:p>
              <a:pPr algn="ctr" rtl="0">
                <a:defRPr sz="1000"/>
              </a:pPr>
              <a:r>
                <a:rPr lang="en-US" sz="1000" b="0" i="0" u="none" strike="noStrike" baseline="0">
                  <a:solidFill>
                    <a:srgbClr val="000000"/>
                  </a:solidFill>
                  <a:latin typeface="Arial" pitchFamily="2" charset="0"/>
                  <a:cs typeface="Arial" pitchFamily="2" charset="0"/>
                </a:rPr>
                <a:t>Economic Impact Analysis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26</xdr:row>
          <xdr:rowOff>177800</xdr:rowOff>
        </xdr:from>
        <xdr:to>
          <xdr:col>2</xdr:col>
          <xdr:colOff>1016000</xdr:colOff>
          <xdr:row>29</xdr:row>
          <xdr:rowOff>127000</xdr:rowOff>
        </xdr:to>
        <xdr:sp macro="" textlink="">
          <xdr:nvSpPr>
            <xdr:cNvPr id="26640" name="Button 16" hidden="1">
              <a:extLst>
                <a:ext uri="{63B3BB69-23CF-44E3-9099-C40C66FF867C}">
                  <a14:compatExt spid="_x0000_s26640"/>
                </a:ext>
                <a:ext uri="{FF2B5EF4-FFF2-40B4-BE49-F238E27FC236}">
                  <a16:creationId xmlns:a16="http://schemas.microsoft.com/office/drawing/2014/main" id="{00000000-0008-0000-0300-000010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0000"/>
                  </a:solidFill>
                  <a:latin typeface="Calibri" pitchFamily="2" charset="0"/>
                  <a:cs typeface="Calibri" pitchFamily="2" charset="0"/>
                </a:rPr>
                <a:t>Proceed to Step 2 - Cost Information (Run LandBOSSE)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317500</xdr:colOff>
          <xdr:row>12</xdr:row>
          <xdr:rowOff>190500</xdr:rowOff>
        </xdr:from>
        <xdr:to>
          <xdr:col>9</xdr:col>
          <xdr:colOff>215900</xdr:colOff>
          <xdr:row>16</xdr:row>
          <xdr:rowOff>114300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400-000004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Proceed to Step 3 - Edit Project Data</a:t>
              </a:r>
            </a:p>
          </xdr:txBody>
        </xdr:sp>
        <xdr:clientData fPrintsWithSheet="0"/>
      </xdr:twoCellAnchor>
    </mc:Choice>
    <mc:Fallback/>
  </mc:AlternateContent>
  <xdr:twoCellAnchor>
    <xdr:from>
      <xdr:col>7</xdr:col>
      <xdr:colOff>189552</xdr:colOff>
      <xdr:row>17</xdr:row>
      <xdr:rowOff>94777</xdr:rowOff>
    </xdr:from>
    <xdr:to>
      <xdr:col>11</xdr:col>
      <xdr:colOff>1447800</xdr:colOff>
      <xdr:row>44</xdr:row>
      <xdr:rowOff>101600</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241300</xdr:colOff>
          <xdr:row>3</xdr:row>
          <xdr:rowOff>330200</xdr:rowOff>
        </xdr:from>
        <xdr:to>
          <xdr:col>11</xdr:col>
          <xdr:colOff>889000</xdr:colOff>
          <xdr:row>7</xdr:row>
          <xdr:rowOff>76200</xdr:rowOff>
        </xdr:to>
        <xdr:sp macro="" textlink="">
          <xdr:nvSpPr>
            <xdr:cNvPr id="27656" name="Button 8" descr="Restore Default Equipment and O&amp;M Costs" hidden="1">
              <a:extLst>
                <a:ext uri="{63B3BB69-23CF-44E3-9099-C40C66FF867C}">
                  <a14:compatExt spid="_x0000_s27656"/>
                </a:ext>
                <a:ext uri="{FF2B5EF4-FFF2-40B4-BE49-F238E27FC236}">
                  <a16:creationId xmlns:a16="http://schemas.microsoft.com/office/drawing/2014/main" id="{00000000-0008-0000-0400-000008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Restore Default Equipment and O&amp;M Costs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1181100</xdr:colOff>
          <xdr:row>124</xdr:row>
          <xdr:rowOff>139700</xdr:rowOff>
        </xdr:from>
        <xdr:to>
          <xdr:col>0</xdr:col>
          <xdr:colOff>2349500</xdr:colOff>
          <xdr:row>127</xdr:row>
          <xdr:rowOff>101600</xdr:rowOff>
        </xdr:to>
        <xdr:sp macro="" textlink="">
          <xdr:nvSpPr>
            <xdr:cNvPr id="2089" name="Button 41" hidden="1">
              <a:extLst>
                <a:ext uri="{63B3BB69-23CF-44E3-9099-C40C66FF867C}">
                  <a14:compatExt spid="_x0000_s2089"/>
                </a:ext>
                <a:ext uri="{FF2B5EF4-FFF2-40B4-BE49-F238E27FC236}">
                  <a16:creationId xmlns:a16="http://schemas.microsoft.com/office/drawing/2014/main" id="{00000000-0008-0000-0500-00002908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Go To </a:t>
              </a:r>
            </a:p>
            <a:p>
              <a:pPr algn="ctr" rtl="0">
                <a:defRPr sz="1000"/>
              </a:pPr>
              <a:r>
                <a:rPr lang="en-US" sz="1000" b="0" i="0" u="none" strike="noStrike" baseline="0">
                  <a:solidFill>
                    <a:srgbClr val="000000"/>
                  </a:solidFill>
                  <a:latin typeface="Arial" pitchFamily="2" charset="0"/>
                  <a:cs typeface="Arial" pitchFamily="2" charset="0"/>
                </a:rPr>
                <a:t>Summary Impacts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2616200</xdr:colOff>
          <xdr:row>124</xdr:row>
          <xdr:rowOff>127000</xdr:rowOff>
        </xdr:from>
        <xdr:to>
          <xdr:col>1</xdr:col>
          <xdr:colOff>1130300</xdr:colOff>
          <xdr:row>127</xdr:row>
          <xdr:rowOff>127000</xdr:rowOff>
        </xdr:to>
        <xdr:sp macro="" textlink="">
          <xdr:nvSpPr>
            <xdr:cNvPr id="2091" name="Button 43" hidden="1">
              <a:extLst>
                <a:ext uri="{63B3BB69-23CF-44E3-9099-C40C66FF867C}">
                  <a14:compatExt spid="_x0000_s2091"/>
                </a:ext>
                <a:ext uri="{FF2B5EF4-FFF2-40B4-BE49-F238E27FC236}">
                  <a16:creationId xmlns:a16="http://schemas.microsoft.com/office/drawing/2014/main" id="{00000000-0008-0000-0500-00002B08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Return To Top</a:t>
              </a:r>
            </a:p>
            <a:p>
              <a:pPr algn="ctr" rtl="0">
                <a:defRPr sz="1000"/>
              </a:pPr>
              <a:r>
                <a:rPr lang="en-US" sz="1000" b="0" i="0" u="none" strike="noStrike" baseline="0">
                  <a:solidFill>
                    <a:srgbClr val="000000"/>
                  </a:solidFill>
                  <a:latin typeface="Arial" pitchFamily="2" charset="0"/>
                  <a:cs typeface="Arial" pitchFamily="2" charset="0"/>
                </a:rPr>
                <a:t>Project Description and Cost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520700</xdr:colOff>
          <xdr:row>17</xdr:row>
          <xdr:rowOff>101600</xdr:rowOff>
        </xdr:from>
        <xdr:to>
          <xdr:col>5</xdr:col>
          <xdr:colOff>266700</xdr:colOff>
          <xdr:row>21</xdr:row>
          <xdr:rowOff>12700</xdr:rowOff>
        </xdr:to>
        <xdr:sp macro="" textlink="">
          <xdr:nvSpPr>
            <xdr:cNvPr id="2310" name="Button 262" hidden="1">
              <a:extLst>
                <a:ext uri="{63B3BB69-23CF-44E3-9099-C40C66FF867C}">
                  <a14:compatExt spid="_x0000_s2310"/>
                </a:ext>
                <a:ext uri="{FF2B5EF4-FFF2-40B4-BE49-F238E27FC236}">
                  <a16:creationId xmlns:a16="http://schemas.microsoft.com/office/drawing/2014/main" id="{00000000-0008-0000-0500-0000060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Edit Project Descriptive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520700</xdr:colOff>
          <xdr:row>13</xdr:row>
          <xdr:rowOff>12700</xdr:rowOff>
        </xdr:from>
        <xdr:to>
          <xdr:col>5</xdr:col>
          <xdr:colOff>228600</xdr:colOff>
          <xdr:row>16</xdr:row>
          <xdr:rowOff>101600</xdr:rowOff>
        </xdr:to>
        <xdr:sp macro="" textlink="">
          <xdr:nvSpPr>
            <xdr:cNvPr id="2313" name="Button 265" hidden="1">
              <a:extLst>
                <a:ext uri="{63B3BB69-23CF-44E3-9099-C40C66FF867C}">
                  <a14:compatExt spid="_x0000_s2313"/>
                </a:ext>
                <a:ext uri="{FF2B5EF4-FFF2-40B4-BE49-F238E27FC236}">
                  <a16:creationId xmlns:a16="http://schemas.microsoft.com/office/drawing/2014/main" id="{00000000-0008-0000-0500-00000909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Restore Default Values for Fields Not Populated by LandBOSSE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101600</xdr:colOff>
          <xdr:row>10</xdr:row>
          <xdr:rowOff>25400</xdr:rowOff>
        </xdr:from>
        <xdr:to>
          <xdr:col>5</xdr:col>
          <xdr:colOff>1790700</xdr:colOff>
          <xdr:row>14</xdr:row>
          <xdr:rowOff>76200</xdr:rowOff>
        </xdr:to>
        <xdr:sp macro="" textlink="">
          <xdr:nvSpPr>
            <xdr:cNvPr id="5136" name="Button 16" hidden="1">
              <a:extLst>
                <a:ext uri="{63B3BB69-23CF-44E3-9099-C40C66FF867C}">
                  <a14:compatExt spid="_x0000_s5136"/>
                </a:ext>
                <a:ext uri="{FF2B5EF4-FFF2-40B4-BE49-F238E27FC236}">
                  <a16:creationId xmlns:a16="http://schemas.microsoft.com/office/drawing/2014/main" id="{00000000-0008-0000-0600-00001014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Print Detailed Project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101600</xdr:colOff>
          <xdr:row>3</xdr:row>
          <xdr:rowOff>38100</xdr:rowOff>
        </xdr:from>
        <xdr:to>
          <xdr:col>5</xdr:col>
          <xdr:colOff>1790700</xdr:colOff>
          <xdr:row>8</xdr:row>
          <xdr:rowOff>114300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600-00001314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Print Project Data Summary </a:t>
              </a:r>
            </a:p>
            <a:p>
              <a:pPr algn="ctr" rtl="0">
                <a:defRPr sz="1000"/>
              </a:pPr>
              <a:r>
                <a:rPr lang="en-US" sz="1000" b="0" i="0" u="none" strike="noStrike" baseline="0">
                  <a:solidFill>
                    <a:srgbClr val="000000"/>
                  </a:solidFill>
                  <a:latin typeface="Arial" pitchFamily="2" charset="0"/>
                  <a:cs typeface="Arial" pitchFamily="2" charset="0"/>
                </a:rPr>
                <a:t>and Summary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139700</xdr:colOff>
          <xdr:row>22</xdr:row>
          <xdr:rowOff>101600</xdr:rowOff>
        </xdr:from>
        <xdr:to>
          <xdr:col>5</xdr:col>
          <xdr:colOff>1816100</xdr:colOff>
          <xdr:row>29</xdr:row>
          <xdr:rowOff>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600-00001414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Return to </a:t>
              </a:r>
            </a:p>
            <a:p>
              <a:pPr algn="ctr" rtl="0">
                <a:defRPr sz="1000"/>
              </a:pPr>
              <a:r>
                <a:rPr lang="en-US" sz="1000" b="0" i="0" u="none" strike="noStrike" baseline="0">
                  <a:solidFill>
                    <a:srgbClr val="000000"/>
                  </a:solidFill>
                  <a:latin typeface="Arial" pitchFamily="2" charset="0"/>
                  <a:cs typeface="Arial" pitchFamily="2" charset="0"/>
                </a:rPr>
                <a:t>Project Description </a:t>
              </a:r>
            </a:p>
            <a:p>
              <a:pPr algn="ctr" rtl="0">
                <a:defRPr sz="1000"/>
              </a:pPr>
              <a:r>
                <a:rPr lang="en-US" sz="1000" b="0" i="0" u="none" strike="noStrike" baseline="0">
                  <a:solidFill>
                    <a:srgbClr val="000000"/>
                  </a:solidFill>
                  <a:latin typeface="Arial" pitchFamily="2" charset="0"/>
                  <a:cs typeface="Arial" pitchFamily="2" charset="0"/>
                </a:rPr>
                <a:t>and Cost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139700</xdr:colOff>
          <xdr:row>16</xdr:row>
          <xdr:rowOff>38100</xdr:rowOff>
        </xdr:from>
        <xdr:to>
          <xdr:col>5</xdr:col>
          <xdr:colOff>1778000</xdr:colOff>
          <xdr:row>20</xdr:row>
          <xdr:rowOff>139700</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0600-00002414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Export All Project Data and Summary Results </a:t>
              </a:r>
            </a:p>
            <a:p>
              <a:pPr algn="ctr" rtl="0">
                <a:defRPr sz="1000"/>
              </a:pPr>
              <a:r>
                <a:rPr lang="en-US" sz="1000" b="0" i="0" u="none" strike="noStrike" baseline="0">
                  <a:solidFill>
                    <a:srgbClr val="000000"/>
                  </a:solidFill>
                  <a:latin typeface="Arial" pitchFamily="2" charset="0"/>
                  <a:cs typeface="Arial" pitchFamily="2" charset="0"/>
                </a:rPr>
                <a:t>to a new spreadsheet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139700</xdr:colOff>
          <xdr:row>30</xdr:row>
          <xdr:rowOff>0</xdr:rowOff>
        </xdr:from>
        <xdr:to>
          <xdr:col>5</xdr:col>
          <xdr:colOff>1816100</xdr:colOff>
          <xdr:row>36</xdr:row>
          <xdr:rowOff>88900</xdr:rowOff>
        </xdr:to>
        <xdr:sp macro="" textlink="">
          <xdr:nvSpPr>
            <xdr:cNvPr id="5182" name="Button 62" hidden="1">
              <a:extLst>
                <a:ext uri="{63B3BB69-23CF-44E3-9099-C40C66FF867C}">
                  <a14:compatExt spid="_x0000_s5182"/>
                </a:ext>
                <a:ext uri="{FF2B5EF4-FFF2-40B4-BE49-F238E27FC236}">
                  <a16:creationId xmlns:a16="http://schemas.microsoft.com/office/drawing/2014/main" id="{00000000-0008-0000-0600-00003E14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Return to Step 1 for New LandBOSSE Simulation</a:t>
              </a:r>
            </a:p>
          </xdr:txBody>
        </xdr:sp>
        <xdr:clientData fPrintsWithSheet="0"/>
      </xdr:twoCellAnchor>
    </mc:Choice>
    <mc:Fallback/>
  </mc:AlternateContent>
  <xdr:twoCellAnchor>
    <xdr:from>
      <xdr:col>6</xdr:col>
      <xdr:colOff>218933</xdr:colOff>
      <xdr:row>0</xdr:row>
      <xdr:rowOff>304800</xdr:rowOff>
    </xdr:from>
    <xdr:to>
      <xdr:col>13</xdr:col>
      <xdr:colOff>533400</xdr:colOff>
      <xdr:row>29</xdr:row>
      <xdr:rowOff>152400</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703438</xdr:colOff>
      <xdr:row>0</xdr:row>
      <xdr:rowOff>286455</xdr:rowOff>
    </xdr:from>
    <xdr:to>
      <xdr:col>21</xdr:col>
      <xdr:colOff>609599</xdr:colOff>
      <xdr:row>29</xdr:row>
      <xdr:rowOff>127000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177800</xdr:colOff>
      <xdr:row>31</xdr:row>
      <xdr:rowOff>50800</xdr:rowOff>
    </xdr:from>
    <xdr:to>
      <xdr:col>13</xdr:col>
      <xdr:colOff>492267</xdr:colOff>
      <xdr:row>60</xdr:row>
      <xdr:rowOff>50800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0</xdr:colOff>
      <xdr:row>31</xdr:row>
      <xdr:rowOff>50800</xdr:rowOff>
    </xdr:from>
    <xdr:to>
      <xdr:col>21</xdr:col>
      <xdr:colOff>617361</xdr:colOff>
      <xdr:row>60</xdr:row>
      <xdr:rowOff>43745</xdr:rowOff>
    </xdr:to>
    <xdr:graphicFrame macro="">
      <xdr:nvGraphicFramePr>
        <xdr:cNvPr id="13" name="Chart 12">
          <a:extLst>
            <a:ext uri="{FF2B5EF4-FFF2-40B4-BE49-F238E27FC236}">
              <a16:creationId xmlns:a16="http://schemas.microsoft.com/office/drawing/2014/main" id="{00000000-0008-0000-06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Menzel, Alyssa" id="{70C50A6B-1C6B-1F41-B7FB-B3E1A9F42882}" userId="S::amenzel@nrel.gov::f8fd0547-714e-4405-9e15-99f9e5b92661" providerId="AD"/>
  <person displayName="Keyser, David" id="{A795AEAC-2EB4-4806-BB2C-0555DA96DF3B}" userId="S::dkeyser@nrel.gov::83fa02a6-08b6-483b-9a59-7a2b485c4553"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 dT="2020-09-16T19:17:25.74" personId="{A795AEAC-2EB4-4806-BB2C-0555DA96DF3B}" id="{4A668CD2-75A3-4F18-8B86-4CC7EF9E6E72}">
    <text>This is from the cost of energy review from https://www.nrel.gov/docs/fy20osti/74598.pdf</text>
  </threadedComment>
  <threadedComment ref="C18" dT="2020-10-30T00:47:08.68" personId="{70C50A6B-1C6B-1F41-B7FB-B3E1A9F42882}" id="{60168859-1143-2A4D-8089-28C7AA743208}">
    <text>Only accounting for 61% of site facility, other 39% is labor misc.</text>
  </threadedComment>
  <threadedComment ref="D32" dT="2020-09-16T19:19:34.40" personId="{A795AEAC-2EB4-4806-BB2C-0555DA96DF3B}" id="{45D433B4-8ADC-42F8-A9D1-ADFACB75D7CB}">
    <text>These are calculated differently - follow the links to see more information</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drawing" Target="../drawings/drawing4.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4.vml"/><Relationship Id="rId9" Type="http://schemas.openxmlformats.org/officeDocument/2006/relationships/comments" Target="../comments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printerSettings" Target="../printerSettings/printerSettings6.bin"/><Relationship Id="rId7" Type="http://schemas.openxmlformats.org/officeDocument/2006/relationships/ctrlProp" Target="../ctrlProps/ctrlProp10.xml"/><Relationship Id="rId2" Type="http://schemas.openxmlformats.org/officeDocument/2006/relationships/hyperlink" Target="mailto:=@round(ProjectData!C74+ProjectData!C84,0)" TargetMode="External"/><Relationship Id="rId1" Type="http://schemas.openxmlformats.org/officeDocument/2006/relationships/hyperlink" Target="mailto:=@round(ProjectData!C62,0)" TargetMode="External"/><Relationship Id="rId6" Type="http://schemas.openxmlformats.org/officeDocument/2006/relationships/ctrlProp" Target="../ctrlProps/ctrlProp9.xml"/><Relationship Id="rId11" Type="http://schemas.openxmlformats.org/officeDocument/2006/relationships/comments" Target="../comments2.xml"/><Relationship Id="rId5" Type="http://schemas.openxmlformats.org/officeDocument/2006/relationships/vmlDrawing" Target="../drawings/vmlDrawing5.vml"/><Relationship Id="rId10" Type="http://schemas.openxmlformats.org/officeDocument/2006/relationships/ctrlProp" Target="../ctrlProps/ctrlProp13.xml"/><Relationship Id="rId4" Type="http://schemas.openxmlformats.org/officeDocument/2006/relationships/drawing" Target="../drawings/drawing5.xml"/><Relationship Id="rId9"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8.bin"/><Relationship Id="rId1" Type="http://schemas.openxmlformats.org/officeDocument/2006/relationships/hyperlink" Target="mailto:=@AVERAGE(A144" TargetMode="External"/><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C68"/>
  <sheetViews>
    <sheetView topLeftCell="A28" workbookViewId="0">
      <selection activeCell="B16" sqref="B16"/>
    </sheetView>
  </sheetViews>
  <sheetFormatPr baseColWidth="10" defaultColWidth="8.83203125" defaultRowHeight="13" x14ac:dyDescent="0.15"/>
  <cols>
    <col min="1" max="1" width="9" style="278" customWidth="1"/>
    <col min="2" max="2" width="149.33203125" customWidth="1"/>
    <col min="3" max="3" width="156.33203125" style="278" customWidth="1"/>
  </cols>
  <sheetData>
    <row r="1" spans="1:3" x14ac:dyDescent="0.15">
      <c r="A1" s="39"/>
      <c r="B1" s="39"/>
      <c r="C1" s="39"/>
    </row>
    <row r="2" spans="1:3" x14ac:dyDescent="0.15">
      <c r="A2" s="39"/>
      <c r="B2" s="39"/>
      <c r="C2" s="39"/>
    </row>
    <row r="3" spans="1:3" ht="23" x14ac:dyDescent="0.25">
      <c r="A3" s="104"/>
      <c r="B3" s="104" t="s">
        <v>376</v>
      </c>
      <c r="C3" s="104"/>
    </row>
    <row r="4" spans="1:3" x14ac:dyDescent="0.15">
      <c r="A4" s="140"/>
      <c r="B4" s="140"/>
      <c r="C4" s="140"/>
    </row>
    <row r="5" spans="1:3" ht="23" x14ac:dyDescent="0.25">
      <c r="A5" s="104"/>
      <c r="B5" s="104" t="s">
        <v>423</v>
      </c>
      <c r="C5" s="104"/>
    </row>
    <row r="6" spans="1:3" ht="23" x14ac:dyDescent="0.25">
      <c r="A6" s="106"/>
      <c r="B6" s="106"/>
      <c r="C6" s="106"/>
    </row>
    <row r="7" spans="1:3" ht="23" x14ac:dyDescent="0.25">
      <c r="A7" s="106"/>
      <c r="B7" s="106"/>
      <c r="C7" s="106"/>
    </row>
    <row r="8" spans="1:3" ht="23" x14ac:dyDescent="0.25">
      <c r="A8" s="245"/>
      <c r="B8" s="245"/>
      <c r="C8" s="245"/>
    </row>
    <row r="9" spans="1:3" ht="18" x14ac:dyDescent="0.2">
      <c r="A9" s="246"/>
      <c r="B9" s="246" t="s">
        <v>885</v>
      </c>
      <c r="C9" s="246"/>
    </row>
    <row r="10" spans="1:3" x14ac:dyDescent="0.15">
      <c r="A10" s="242"/>
      <c r="B10" s="242"/>
      <c r="C10" s="242"/>
    </row>
    <row r="11" spans="1:3" ht="16" x14ac:dyDescent="0.2">
      <c r="A11" s="262"/>
      <c r="B11" s="291" t="s">
        <v>626</v>
      </c>
      <c r="C11" s="262"/>
    </row>
    <row r="12" spans="1:3" ht="16" x14ac:dyDescent="0.2">
      <c r="A12" s="262"/>
      <c r="B12" s="291" t="s">
        <v>627</v>
      </c>
      <c r="C12" s="262"/>
    </row>
    <row r="13" spans="1:3" ht="16" x14ac:dyDescent="0.2">
      <c r="A13" s="262"/>
      <c r="B13" s="291" t="s">
        <v>628</v>
      </c>
      <c r="C13" s="262"/>
    </row>
    <row r="14" spans="1:3" ht="16" x14ac:dyDescent="0.2">
      <c r="A14" s="262"/>
      <c r="B14" s="291" t="s">
        <v>629</v>
      </c>
      <c r="C14" s="262"/>
    </row>
    <row r="15" spans="1:3" ht="16" x14ac:dyDescent="0.2">
      <c r="A15" s="262"/>
      <c r="B15" s="291" t="s">
        <v>630</v>
      </c>
      <c r="C15" s="262"/>
    </row>
    <row r="16" spans="1:3" ht="16" x14ac:dyDescent="0.2">
      <c r="A16" s="262"/>
      <c r="B16" s="291" t="s">
        <v>374</v>
      </c>
      <c r="C16" s="262"/>
    </row>
    <row r="17" spans="1:3" ht="16" x14ac:dyDescent="0.2">
      <c r="A17" s="262"/>
      <c r="B17" s="291" t="s">
        <v>380</v>
      </c>
      <c r="C17" s="262"/>
    </row>
    <row r="18" spans="1:3" ht="16" x14ac:dyDescent="0.2">
      <c r="A18" s="262"/>
      <c r="B18" s="291" t="s">
        <v>375</v>
      </c>
      <c r="C18" s="262"/>
    </row>
    <row r="19" spans="1:3" ht="16" x14ac:dyDescent="0.2">
      <c r="A19" s="262"/>
      <c r="B19" s="291" t="s">
        <v>388</v>
      </c>
      <c r="C19" s="262"/>
    </row>
    <row r="20" spans="1:3" ht="16" x14ac:dyDescent="0.2">
      <c r="A20" s="262"/>
      <c r="B20" s="291" t="s">
        <v>608</v>
      </c>
      <c r="C20" s="262"/>
    </row>
    <row r="21" spans="1:3" ht="16" x14ac:dyDescent="0.2">
      <c r="A21" s="262"/>
      <c r="B21" s="291"/>
      <c r="C21" s="262"/>
    </row>
    <row r="22" spans="1:3" ht="16" x14ac:dyDescent="0.2">
      <c r="A22" s="262"/>
      <c r="B22" s="291" t="s">
        <v>386</v>
      </c>
      <c r="C22" s="262"/>
    </row>
    <row r="23" spans="1:3" ht="16" x14ac:dyDescent="0.2">
      <c r="A23" s="262"/>
      <c r="B23" s="291" t="s">
        <v>605</v>
      </c>
      <c r="C23" s="262"/>
    </row>
    <row r="24" spans="1:3" ht="16" x14ac:dyDescent="0.2">
      <c r="A24" s="262"/>
      <c r="B24" s="291" t="s">
        <v>387</v>
      </c>
      <c r="C24" s="262"/>
    </row>
    <row r="25" spans="1:3" ht="16" x14ac:dyDescent="0.2">
      <c r="A25" s="262"/>
      <c r="B25" s="291" t="s">
        <v>424</v>
      </c>
      <c r="C25" s="262"/>
    </row>
    <row r="26" spans="1:3" ht="16" x14ac:dyDescent="0.2">
      <c r="A26" s="263"/>
      <c r="B26" s="292" t="s">
        <v>607</v>
      </c>
      <c r="C26" s="263"/>
    </row>
    <row r="27" spans="1:3" ht="16" x14ac:dyDescent="0.2">
      <c r="A27" s="264"/>
      <c r="B27" s="293"/>
      <c r="C27" s="264"/>
    </row>
    <row r="28" spans="1:3" ht="16" x14ac:dyDescent="0.2">
      <c r="A28" s="262"/>
      <c r="B28" s="291" t="s">
        <v>381</v>
      </c>
      <c r="C28" s="262"/>
    </row>
    <row r="29" spans="1:3" ht="16" x14ac:dyDescent="0.2">
      <c r="A29" s="262"/>
      <c r="B29" s="291" t="s">
        <v>382</v>
      </c>
      <c r="C29" s="262"/>
    </row>
    <row r="30" spans="1:3" ht="16" x14ac:dyDescent="0.2">
      <c r="A30" s="262"/>
      <c r="B30" s="291"/>
      <c r="C30" s="262"/>
    </row>
    <row r="31" spans="1:3" ht="16" x14ac:dyDescent="0.2">
      <c r="A31" s="265"/>
      <c r="B31" s="294" t="s">
        <v>625</v>
      </c>
      <c r="C31" s="265"/>
    </row>
    <row r="32" spans="1:3" ht="16" x14ac:dyDescent="0.2">
      <c r="A32" s="265"/>
      <c r="B32" s="294" t="s">
        <v>601</v>
      </c>
      <c r="C32" s="265"/>
    </row>
    <row r="33" spans="1:3" ht="16" x14ac:dyDescent="0.2">
      <c r="A33" s="265"/>
      <c r="B33" s="294" t="s">
        <v>383</v>
      </c>
      <c r="C33" s="265"/>
    </row>
    <row r="34" spans="1:3" ht="16" x14ac:dyDescent="0.2">
      <c r="A34" s="265"/>
      <c r="B34" s="294" t="s">
        <v>385</v>
      </c>
      <c r="C34" s="265"/>
    </row>
    <row r="35" spans="1:3" ht="16" x14ac:dyDescent="0.2">
      <c r="A35" s="266"/>
      <c r="B35" s="295" t="s">
        <v>384</v>
      </c>
      <c r="C35" s="266"/>
    </row>
    <row r="36" spans="1:3" ht="16" x14ac:dyDescent="0.2">
      <c r="A36" s="267"/>
      <c r="B36" s="284"/>
      <c r="C36" s="267"/>
    </row>
    <row r="37" spans="1:3" ht="16" x14ac:dyDescent="0.2">
      <c r="A37" s="262"/>
      <c r="B37" s="291" t="s">
        <v>659</v>
      </c>
      <c r="C37" s="262"/>
    </row>
    <row r="38" spans="1:3" ht="16" x14ac:dyDescent="0.2">
      <c r="A38" s="262"/>
      <c r="B38" s="291" t="s">
        <v>622</v>
      </c>
      <c r="C38" s="262"/>
    </row>
    <row r="39" spans="1:3" ht="16" x14ac:dyDescent="0.2">
      <c r="A39" s="262"/>
      <c r="B39" s="291"/>
      <c r="C39" s="262"/>
    </row>
    <row r="40" spans="1:3" ht="16" x14ac:dyDescent="0.2">
      <c r="A40" s="262"/>
      <c r="B40" s="291" t="s">
        <v>619</v>
      </c>
      <c r="C40" s="262"/>
    </row>
    <row r="41" spans="1:3" ht="16" x14ac:dyDescent="0.2">
      <c r="A41" s="265"/>
      <c r="B41" s="294" t="s">
        <v>620</v>
      </c>
      <c r="C41" s="265"/>
    </row>
    <row r="42" spans="1:3" ht="16" x14ac:dyDescent="0.2">
      <c r="A42" s="262"/>
      <c r="B42" s="291" t="s">
        <v>621</v>
      </c>
      <c r="C42" s="262"/>
    </row>
    <row r="43" spans="1:3" ht="16" x14ac:dyDescent="0.2">
      <c r="A43" s="262"/>
      <c r="B43" s="291" t="s">
        <v>573</v>
      </c>
      <c r="C43" s="262"/>
    </row>
    <row r="44" spans="1:3" ht="16" x14ac:dyDescent="0.2">
      <c r="A44" s="263"/>
      <c r="B44" s="292" t="s">
        <v>425</v>
      </c>
      <c r="C44" s="263"/>
    </row>
    <row r="45" spans="1:3" ht="16" x14ac:dyDescent="0.2">
      <c r="A45" s="267"/>
      <c r="B45" s="284"/>
      <c r="C45" s="267"/>
    </row>
    <row r="46" spans="1:3" ht="16" x14ac:dyDescent="0.2">
      <c r="A46" s="242"/>
      <c r="B46" s="284"/>
      <c r="C46" s="242"/>
    </row>
    <row r="47" spans="1:3" ht="16" x14ac:dyDescent="0.2">
      <c r="A47" s="242"/>
      <c r="B47" s="284"/>
      <c r="C47" s="242"/>
    </row>
    <row r="48" spans="1:3" ht="16" x14ac:dyDescent="0.2">
      <c r="A48" s="242"/>
      <c r="B48" s="284"/>
      <c r="C48" s="242"/>
    </row>
    <row r="49" spans="1:3" ht="16" x14ac:dyDescent="0.2">
      <c r="A49" s="242"/>
      <c r="B49" s="284"/>
      <c r="C49" s="242"/>
    </row>
    <row r="50" spans="1:3" ht="16" x14ac:dyDescent="0.2">
      <c r="A50" s="242"/>
      <c r="B50" s="284"/>
      <c r="C50" s="242"/>
    </row>
    <row r="51" spans="1:3" ht="16" x14ac:dyDescent="0.2">
      <c r="A51" s="242"/>
      <c r="B51" s="284"/>
      <c r="C51" s="242"/>
    </row>
    <row r="52" spans="1:3" ht="16" x14ac:dyDescent="0.2">
      <c r="A52" s="242"/>
      <c r="B52" s="284"/>
      <c r="C52" s="242"/>
    </row>
    <row r="53" spans="1:3" ht="16" x14ac:dyDescent="0.2">
      <c r="A53" s="242"/>
      <c r="B53" s="284"/>
      <c r="C53" s="242"/>
    </row>
    <row r="55" spans="1:3" x14ac:dyDescent="0.15">
      <c r="A55" s="244"/>
      <c r="B55" s="244"/>
      <c r="C55" s="244"/>
    </row>
    <row r="56" spans="1:3" x14ac:dyDescent="0.15">
      <c r="A56" s="244"/>
      <c r="B56" s="244"/>
      <c r="C56" s="244"/>
    </row>
    <row r="57" spans="1:3" x14ac:dyDescent="0.15">
      <c r="A57" s="244"/>
      <c r="B57" s="244"/>
      <c r="C57" s="244"/>
    </row>
    <row r="58" spans="1:3" x14ac:dyDescent="0.15">
      <c r="A58" s="244"/>
      <c r="B58" s="244"/>
      <c r="C58" s="244"/>
    </row>
    <row r="59" spans="1:3" x14ac:dyDescent="0.15">
      <c r="A59" s="244"/>
      <c r="B59" s="244"/>
      <c r="C59" s="244"/>
    </row>
    <row r="60" spans="1:3" x14ac:dyDescent="0.15">
      <c r="A60" s="244"/>
      <c r="B60" s="244"/>
      <c r="C60" s="244"/>
    </row>
    <row r="61" spans="1:3" x14ac:dyDescent="0.15">
      <c r="A61" s="244"/>
      <c r="B61" s="244"/>
      <c r="C61" s="244"/>
    </row>
    <row r="62" spans="1:3" x14ac:dyDescent="0.15">
      <c r="A62" s="244"/>
      <c r="B62" s="244"/>
      <c r="C62" s="244"/>
    </row>
    <row r="63" spans="1:3" x14ac:dyDescent="0.15">
      <c r="A63" s="244"/>
      <c r="B63" s="244"/>
      <c r="C63" s="244"/>
    </row>
    <row r="64" spans="1:3" x14ac:dyDescent="0.15">
      <c r="A64" s="244"/>
      <c r="B64" s="244"/>
      <c r="C64" s="244"/>
    </row>
    <row r="65" spans="1:3" x14ac:dyDescent="0.15">
      <c r="A65" s="244"/>
      <c r="B65" s="244"/>
      <c r="C65" s="244"/>
    </row>
    <row r="66" spans="1:3" x14ac:dyDescent="0.15">
      <c r="A66" s="244"/>
      <c r="B66" s="244"/>
      <c r="C66" s="244"/>
    </row>
    <row r="67" spans="1:3" x14ac:dyDescent="0.15">
      <c r="A67" s="244"/>
      <c r="B67" s="244"/>
      <c r="C67" s="244"/>
    </row>
    <row r="68" spans="1:3" x14ac:dyDescent="0.15">
      <c r="A68" s="244"/>
      <c r="B68" s="244"/>
      <c r="C68" s="244"/>
    </row>
  </sheetData>
  <sheetProtection algorithmName="SHA-512" hashValue="2+INir0vM4Mmaggu5urZYKGOV1CZ4B4aa4yEmDrgF4maza37MM10rrLPNLI0a8S3a0uKW9KkE9c4ce5JhJP4ew==" saltValue="999rAoo0bT/C4nDnB9itOg==" spinCount="100000" sheet="1" objects="1" scenarios="1"/>
  <phoneticPr fontId="0" type="noConversion"/>
  <pageMargins left="0.31" right="0.25" top="0.52" bottom="1" header="0.5" footer="0.5"/>
  <pageSetup orientation="portrait" horizontalDpi="4294967293"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E122"/>
  <sheetViews>
    <sheetView topLeftCell="A6" workbookViewId="0">
      <selection activeCell="B31" sqref="B31"/>
    </sheetView>
  </sheetViews>
  <sheetFormatPr baseColWidth="10" defaultColWidth="8.83203125" defaultRowHeight="13" x14ac:dyDescent="0.15"/>
  <cols>
    <col min="1" max="1" width="10.5" style="278" customWidth="1"/>
    <col min="2" max="2" width="138.1640625" style="228" customWidth="1"/>
    <col min="3" max="3" width="41" style="278" customWidth="1"/>
  </cols>
  <sheetData>
    <row r="1" spans="1:5" x14ac:dyDescent="0.15">
      <c r="A1" s="39"/>
      <c r="B1" s="39"/>
      <c r="C1" s="39"/>
      <c r="E1" s="283"/>
    </row>
    <row r="2" spans="1:5" ht="23" x14ac:dyDescent="0.25">
      <c r="A2" s="104"/>
      <c r="B2" s="104" t="s">
        <v>376</v>
      </c>
      <c r="C2" s="104"/>
    </row>
    <row r="3" spans="1:5" x14ac:dyDescent="0.15">
      <c r="A3" s="39"/>
      <c r="B3" s="39"/>
      <c r="C3" s="39"/>
    </row>
    <row r="4" spans="1:5" ht="23" x14ac:dyDescent="0.25">
      <c r="A4" s="104"/>
      <c r="B4" s="104" t="s">
        <v>426</v>
      </c>
      <c r="C4" s="104"/>
    </row>
    <row r="5" spans="1:5" ht="23" x14ac:dyDescent="0.25">
      <c r="A5" s="104"/>
      <c r="B5" s="104"/>
      <c r="C5" s="104"/>
    </row>
    <row r="6" spans="1:5" ht="20" x14ac:dyDescent="0.2">
      <c r="A6" s="105"/>
      <c r="B6" s="105" t="s">
        <v>347</v>
      </c>
      <c r="C6" s="105"/>
    </row>
    <row r="7" spans="1:5" x14ac:dyDescent="0.15">
      <c r="A7" s="39"/>
      <c r="B7" s="39"/>
      <c r="C7" s="39"/>
    </row>
    <row r="8" spans="1:5" x14ac:dyDescent="0.15">
      <c r="A8" s="242"/>
      <c r="B8" s="242"/>
      <c r="C8" s="242"/>
    </row>
    <row r="9" spans="1:5" x14ac:dyDescent="0.15">
      <c r="A9" s="268"/>
      <c r="B9" s="285" t="s">
        <v>348</v>
      </c>
      <c r="C9" s="268"/>
    </row>
    <row r="10" spans="1:5" x14ac:dyDescent="0.15">
      <c r="A10" s="269"/>
      <c r="B10" s="286" t="s">
        <v>882</v>
      </c>
      <c r="C10" s="269"/>
    </row>
    <row r="11" spans="1:5" x14ac:dyDescent="0.15">
      <c r="A11" s="269"/>
      <c r="B11" s="286" t="s">
        <v>883</v>
      </c>
      <c r="C11" s="269"/>
    </row>
    <row r="12" spans="1:5" x14ac:dyDescent="0.15">
      <c r="A12" s="269"/>
      <c r="B12" s="286" t="s">
        <v>884</v>
      </c>
      <c r="C12" s="269"/>
    </row>
    <row r="13" spans="1:5" x14ac:dyDescent="0.15">
      <c r="A13" s="269"/>
      <c r="B13" s="286"/>
      <c r="C13" s="269"/>
    </row>
    <row r="14" spans="1:5" x14ac:dyDescent="0.15">
      <c r="A14" s="268"/>
      <c r="B14" s="285" t="s">
        <v>357</v>
      </c>
      <c r="C14" s="268"/>
    </row>
    <row r="15" spans="1:5" x14ac:dyDescent="0.15">
      <c r="A15" s="269"/>
      <c r="B15" s="286" t="s">
        <v>358</v>
      </c>
      <c r="C15" s="269"/>
    </row>
    <row r="16" spans="1:5" x14ac:dyDescent="0.15">
      <c r="A16" s="269"/>
      <c r="B16" s="286"/>
      <c r="C16" s="269"/>
    </row>
    <row r="17" spans="1:3" x14ac:dyDescent="0.15">
      <c r="A17" s="268"/>
      <c r="B17" s="285" t="s">
        <v>353</v>
      </c>
      <c r="C17" s="268"/>
    </row>
    <row r="18" spans="1:3" x14ac:dyDescent="0.15">
      <c r="A18" s="269"/>
      <c r="B18" s="286" t="s">
        <v>886</v>
      </c>
      <c r="C18" s="269"/>
    </row>
    <row r="19" spans="1:3" x14ac:dyDescent="0.15">
      <c r="A19" s="270"/>
      <c r="B19" s="287"/>
      <c r="C19" s="270"/>
    </row>
    <row r="20" spans="1:3" x14ac:dyDescent="0.15">
      <c r="A20" s="268"/>
      <c r="B20" s="285" t="s">
        <v>389</v>
      </c>
      <c r="C20" s="268"/>
    </row>
    <row r="21" spans="1:3" x14ac:dyDescent="0.15">
      <c r="A21" s="268"/>
      <c r="B21" s="285" t="s">
        <v>355</v>
      </c>
      <c r="C21" s="268"/>
    </row>
    <row r="22" spans="1:3" x14ac:dyDescent="0.15">
      <c r="A22" s="271"/>
      <c r="B22" s="288" t="s">
        <v>377</v>
      </c>
      <c r="C22" s="271"/>
    </row>
    <row r="23" spans="1:3" x14ac:dyDescent="0.15">
      <c r="A23" s="269"/>
      <c r="B23" s="286" t="s">
        <v>378</v>
      </c>
      <c r="C23" s="269"/>
    </row>
    <row r="24" spans="1:3" x14ac:dyDescent="0.15">
      <c r="A24" s="269"/>
      <c r="B24" s="286" t="s">
        <v>352</v>
      </c>
      <c r="C24" s="269"/>
    </row>
    <row r="25" spans="1:3" x14ac:dyDescent="0.15">
      <c r="A25" s="269"/>
      <c r="B25" s="286"/>
      <c r="C25" s="269"/>
    </row>
    <row r="26" spans="1:3" x14ac:dyDescent="0.15">
      <c r="A26" s="268"/>
      <c r="B26" s="285" t="s">
        <v>354</v>
      </c>
      <c r="C26" s="268"/>
    </row>
    <row r="27" spans="1:3" x14ac:dyDescent="0.15">
      <c r="A27" s="269"/>
      <c r="B27" s="286" t="s">
        <v>887</v>
      </c>
      <c r="C27" s="269"/>
    </row>
    <row r="28" spans="1:3" s="693" customFormat="1" x14ac:dyDescent="0.15">
      <c r="A28" s="269"/>
      <c r="B28" s="286"/>
      <c r="C28" s="269"/>
    </row>
    <row r="29" spans="1:3" s="693" customFormat="1" x14ac:dyDescent="0.15">
      <c r="A29" s="269"/>
      <c r="B29" s="285" t="s">
        <v>890</v>
      </c>
      <c r="C29" s="269"/>
    </row>
    <row r="30" spans="1:3" s="693" customFormat="1" x14ac:dyDescent="0.15">
      <c r="A30" s="269"/>
      <c r="B30" s="286" t="s">
        <v>891</v>
      </c>
      <c r="C30" s="269"/>
    </row>
    <row r="31" spans="1:3" x14ac:dyDescent="0.15">
      <c r="A31" s="272"/>
      <c r="B31" s="289"/>
      <c r="C31" s="272"/>
    </row>
    <row r="32" spans="1:3" x14ac:dyDescent="0.15">
      <c r="A32" s="268"/>
      <c r="B32" s="285" t="s">
        <v>351</v>
      </c>
      <c r="C32" s="268"/>
    </row>
    <row r="33" spans="1:3" x14ac:dyDescent="0.15">
      <c r="A33" s="269"/>
      <c r="B33" s="286" t="s">
        <v>359</v>
      </c>
      <c r="C33" s="269"/>
    </row>
    <row r="34" spans="1:3" x14ac:dyDescent="0.15">
      <c r="A34" s="269"/>
      <c r="B34" s="286" t="s">
        <v>362</v>
      </c>
      <c r="C34" s="269"/>
    </row>
    <row r="35" spans="1:3" x14ac:dyDescent="0.15">
      <c r="A35" s="269"/>
      <c r="B35" s="286" t="s">
        <v>372</v>
      </c>
      <c r="C35" s="269"/>
    </row>
    <row r="36" spans="1:3" x14ac:dyDescent="0.15">
      <c r="A36" s="269"/>
      <c r="B36" s="286" t="s">
        <v>371</v>
      </c>
      <c r="C36" s="269"/>
    </row>
    <row r="37" spans="1:3" x14ac:dyDescent="0.15">
      <c r="A37" s="269"/>
      <c r="B37" s="286"/>
      <c r="C37" s="269"/>
    </row>
    <row r="38" spans="1:3" x14ac:dyDescent="0.15">
      <c r="A38" s="268"/>
      <c r="B38" s="285" t="s">
        <v>367</v>
      </c>
      <c r="C38" s="268"/>
    </row>
    <row r="39" spans="1:3" x14ac:dyDescent="0.15">
      <c r="A39" s="269"/>
      <c r="B39" s="286" t="s">
        <v>360</v>
      </c>
      <c r="C39" s="269"/>
    </row>
    <row r="40" spans="1:3" x14ac:dyDescent="0.15">
      <c r="A40" s="269"/>
      <c r="B40" s="286" t="s">
        <v>361</v>
      </c>
      <c r="C40" s="269"/>
    </row>
    <row r="41" spans="1:3" x14ac:dyDescent="0.15">
      <c r="A41" s="269"/>
      <c r="B41" s="286" t="s">
        <v>416</v>
      </c>
      <c r="C41" s="269"/>
    </row>
    <row r="42" spans="1:3" x14ac:dyDescent="0.15">
      <c r="A42" s="269"/>
      <c r="B42" s="286"/>
      <c r="C42" s="269"/>
    </row>
    <row r="43" spans="1:3" x14ac:dyDescent="0.15">
      <c r="A43" s="268"/>
      <c r="B43" s="285" t="s">
        <v>368</v>
      </c>
      <c r="C43" s="268"/>
    </row>
    <row r="44" spans="1:3" x14ac:dyDescent="0.15">
      <c r="A44" s="269"/>
      <c r="B44" s="286" t="s">
        <v>369</v>
      </c>
      <c r="C44" s="269"/>
    </row>
    <row r="45" spans="1:3" x14ac:dyDescent="0.15">
      <c r="A45" s="269"/>
      <c r="B45" s="286" t="s">
        <v>526</v>
      </c>
      <c r="C45" s="269"/>
    </row>
    <row r="46" spans="1:3" x14ac:dyDescent="0.15">
      <c r="A46" s="269"/>
      <c r="B46" s="286" t="s">
        <v>527</v>
      </c>
      <c r="C46" s="269"/>
    </row>
    <row r="47" spans="1:3" x14ac:dyDescent="0.15">
      <c r="A47" s="269"/>
      <c r="B47" s="286"/>
      <c r="C47" s="269"/>
    </row>
    <row r="48" spans="1:3" x14ac:dyDescent="0.15">
      <c r="A48" s="268"/>
      <c r="B48" s="285" t="s">
        <v>363</v>
      </c>
      <c r="C48" s="268"/>
    </row>
    <row r="49" spans="1:3" x14ac:dyDescent="0.15">
      <c r="A49" s="269"/>
      <c r="B49" s="286" t="s">
        <v>364</v>
      </c>
      <c r="C49" s="269"/>
    </row>
    <row r="50" spans="1:3" x14ac:dyDescent="0.15">
      <c r="A50" s="269"/>
      <c r="B50" s="286" t="s">
        <v>365</v>
      </c>
      <c r="C50" s="269"/>
    </row>
    <row r="51" spans="1:3" x14ac:dyDescent="0.15">
      <c r="A51" s="269"/>
      <c r="B51" s="286"/>
      <c r="C51" s="269"/>
    </row>
    <row r="52" spans="1:3" x14ac:dyDescent="0.15">
      <c r="A52" s="268"/>
      <c r="B52" s="285" t="s">
        <v>528</v>
      </c>
      <c r="C52" s="268"/>
    </row>
    <row r="53" spans="1:3" x14ac:dyDescent="0.15">
      <c r="A53" s="269"/>
      <c r="B53" s="286" t="s">
        <v>529</v>
      </c>
      <c r="C53" s="269"/>
    </row>
    <row r="54" spans="1:3" x14ac:dyDescent="0.15">
      <c r="A54" s="269"/>
      <c r="B54" s="286" t="s">
        <v>531</v>
      </c>
      <c r="C54" s="269"/>
    </row>
    <row r="55" spans="1:3" x14ac:dyDescent="0.15">
      <c r="A55" s="269"/>
      <c r="B55" s="286" t="s">
        <v>532</v>
      </c>
      <c r="C55" s="269"/>
    </row>
    <row r="56" spans="1:3" x14ac:dyDescent="0.15">
      <c r="A56" s="269"/>
      <c r="B56" s="286" t="s">
        <v>533</v>
      </c>
      <c r="C56" s="269"/>
    </row>
    <row r="57" spans="1:3" x14ac:dyDescent="0.15">
      <c r="A57" s="269"/>
      <c r="B57" s="286" t="s">
        <v>530</v>
      </c>
      <c r="C57" s="269"/>
    </row>
    <row r="58" spans="1:3" x14ac:dyDescent="0.15">
      <c r="A58" s="269"/>
      <c r="B58" s="286" t="s">
        <v>534</v>
      </c>
      <c r="C58" s="269"/>
    </row>
    <row r="59" spans="1:3" x14ac:dyDescent="0.15">
      <c r="A59" s="269"/>
      <c r="B59" s="286"/>
      <c r="C59" s="269"/>
    </row>
    <row r="60" spans="1:3" x14ac:dyDescent="0.15">
      <c r="A60" s="268"/>
      <c r="B60" s="285" t="s">
        <v>390</v>
      </c>
      <c r="C60" s="268"/>
    </row>
    <row r="61" spans="1:3" x14ac:dyDescent="0.15">
      <c r="A61" s="268"/>
      <c r="B61" s="285" t="s">
        <v>391</v>
      </c>
      <c r="C61" s="268"/>
    </row>
    <row r="62" spans="1:3" x14ac:dyDescent="0.15">
      <c r="A62" s="269"/>
      <c r="B62" s="286" t="s">
        <v>366</v>
      </c>
      <c r="C62" s="269"/>
    </row>
    <row r="63" spans="1:3" x14ac:dyDescent="0.15">
      <c r="A63" s="269"/>
      <c r="B63" s="286" t="s">
        <v>379</v>
      </c>
      <c r="C63" s="269"/>
    </row>
    <row r="64" spans="1:3" x14ac:dyDescent="0.15">
      <c r="A64" s="269"/>
      <c r="B64" s="286" t="s">
        <v>392</v>
      </c>
      <c r="C64" s="269"/>
    </row>
    <row r="65" spans="1:3" x14ac:dyDescent="0.15">
      <c r="A65" s="269"/>
      <c r="B65" s="286"/>
      <c r="C65" s="269"/>
    </row>
    <row r="66" spans="1:3" x14ac:dyDescent="0.15">
      <c r="A66" s="268"/>
      <c r="B66" s="285" t="s">
        <v>555</v>
      </c>
      <c r="C66" s="268"/>
    </row>
    <row r="67" spans="1:3" x14ac:dyDescent="0.15">
      <c r="A67" s="268"/>
      <c r="B67" s="285" t="s">
        <v>556</v>
      </c>
      <c r="C67" s="268"/>
    </row>
    <row r="68" spans="1:3" x14ac:dyDescent="0.15">
      <c r="A68" s="269"/>
      <c r="B68" s="286" t="s">
        <v>557</v>
      </c>
      <c r="C68" s="269"/>
    </row>
    <row r="69" spans="1:3" x14ac:dyDescent="0.15">
      <c r="A69" s="269"/>
      <c r="B69" s="286" t="s">
        <v>558</v>
      </c>
      <c r="C69" s="269"/>
    </row>
    <row r="70" spans="1:3" x14ac:dyDescent="0.15">
      <c r="A70" s="269"/>
      <c r="B70" s="286" t="s">
        <v>560</v>
      </c>
      <c r="C70" s="269"/>
    </row>
    <row r="71" spans="1:3" x14ac:dyDescent="0.15">
      <c r="A71" s="269"/>
      <c r="B71" s="286" t="s">
        <v>559</v>
      </c>
      <c r="C71" s="269"/>
    </row>
    <row r="72" spans="1:3" x14ac:dyDescent="0.15">
      <c r="A72" s="269"/>
      <c r="B72" s="286"/>
      <c r="C72" s="269"/>
    </row>
    <row r="73" spans="1:3" x14ac:dyDescent="0.15">
      <c r="A73" s="268"/>
      <c r="B73" s="285" t="s">
        <v>554</v>
      </c>
      <c r="C73" s="268"/>
    </row>
    <row r="74" spans="1:3" x14ac:dyDescent="0.15">
      <c r="A74" s="269"/>
      <c r="B74" s="286" t="s">
        <v>562</v>
      </c>
      <c r="C74" s="269"/>
    </row>
    <row r="75" spans="1:3" x14ac:dyDescent="0.15">
      <c r="A75" s="269"/>
      <c r="B75" s="286" t="s">
        <v>564</v>
      </c>
      <c r="C75" s="269"/>
    </row>
    <row r="76" spans="1:3" x14ac:dyDescent="0.15">
      <c r="A76" s="269"/>
      <c r="B76" s="286" t="s">
        <v>561</v>
      </c>
      <c r="C76" s="269"/>
    </row>
    <row r="77" spans="1:3" x14ac:dyDescent="0.15">
      <c r="A77" s="269"/>
      <c r="B77" s="286" t="s">
        <v>563</v>
      </c>
      <c r="C77" s="269"/>
    </row>
    <row r="78" spans="1:3" x14ac:dyDescent="0.15">
      <c r="A78" s="269"/>
      <c r="B78" s="286"/>
      <c r="C78" s="269"/>
    </row>
    <row r="79" spans="1:3" x14ac:dyDescent="0.15">
      <c r="A79" s="268"/>
      <c r="B79" s="285" t="s">
        <v>599</v>
      </c>
      <c r="C79" s="268"/>
    </row>
    <row r="80" spans="1:3" x14ac:dyDescent="0.15">
      <c r="A80" s="268"/>
      <c r="B80" s="285" t="s">
        <v>0</v>
      </c>
      <c r="C80" s="268"/>
    </row>
    <row r="81" spans="1:3" x14ac:dyDescent="0.15">
      <c r="A81" s="269"/>
      <c r="B81" s="286" t="s">
        <v>565</v>
      </c>
      <c r="C81" s="269"/>
    </row>
    <row r="82" spans="1:3" x14ac:dyDescent="0.15">
      <c r="A82" s="269"/>
      <c r="B82" s="286" t="s">
        <v>657</v>
      </c>
      <c r="C82" s="269"/>
    </row>
    <row r="83" spans="1:3" s="228" customFormat="1" x14ac:dyDescent="0.15">
      <c r="A83" s="269"/>
      <c r="B83" s="286" t="s">
        <v>600</v>
      </c>
      <c r="C83" s="269"/>
    </row>
    <row r="84" spans="1:3" x14ac:dyDescent="0.15">
      <c r="A84" s="273"/>
      <c r="B84" s="243"/>
      <c r="C84" s="273"/>
    </row>
    <row r="85" spans="1:3" x14ac:dyDescent="0.15">
      <c r="A85" s="268"/>
      <c r="B85" s="285" t="s">
        <v>350</v>
      </c>
      <c r="C85" s="268"/>
    </row>
    <row r="86" spans="1:3" x14ac:dyDescent="0.15">
      <c r="A86" s="269"/>
      <c r="B86" s="286" t="s">
        <v>427</v>
      </c>
      <c r="C86" s="269"/>
    </row>
    <row r="87" spans="1:3" x14ac:dyDescent="0.15">
      <c r="A87" s="269"/>
      <c r="B87" s="286" t="s">
        <v>428</v>
      </c>
      <c r="C87" s="269"/>
    </row>
    <row r="88" spans="1:3" x14ac:dyDescent="0.15">
      <c r="A88" s="269"/>
      <c r="B88" s="286" t="s">
        <v>658</v>
      </c>
      <c r="C88" s="269"/>
    </row>
    <row r="89" spans="1:3" x14ac:dyDescent="0.15">
      <c r="A89" s="269"/>
      <c r="B89" s="286" t="s">
        <v>429</v>
      </c>
      <c r="C89" s="269"/>
    </row>
    <row r="90" spans="1:3" x14ac:dyDescent="0.15">
      <c r="A90" s="274"/>
      <c r="B90" s="290"/>
      <c r="C90" s="274"/>
    </row>
    <row r="91" spans="1:3" x14ac:dyDescent="0.15">
      <c r="A91" s="268"/>
      <c r="B91" s="285" t="s">
        <v>356</v>
      </c>
      <c r="C91" s="268"/>
    </row>
    <row r="92" spans="1:3" x14ac:dyDescent="0.15">
      <c r="A92" s="269"/>
      <c r="B92" s="286" t="s">
        <v>888</v>
      </c>
      <c r="C92" s="269"/>
    </row>
    <row r="93" spans="1:3" x14ac:dyDescent="0.15">
      <c r="A93" s="269"/>
      <c r="B93" s="286"/>
      <c r="C93" s="269"/>
    </row>
    <row r="94" spans="1:3" x14ac:dyDescent="0.15">
      <c r="A94" s="242"/>
      <c r="B94" s="289"/>
      <c r="C94" s="242"/>
    </row>
    <row r="95" spans="1:3" x14ac:dyDescent="0.15">
      <c r="A95" s="242"/>
      <c r="B95" s="289"/>
      <c r="C95" s="242"/>
    </row>
    <row r="96" spans="1:3" x14ac:dyDescent="0.15">
      <c r="A96" s="242"/>
      <c r="B96" s="242"/>
      <c r="C96" s="242"/>
    </row>
    <row r="97" spans="1:3" x14ac:dyDescent="0.15">
      <c r="A97" s="242"/>
      <c r="B97" s="242"/>
      <c r="C97" s="242"/>
    </row>
    <row r="99" spans="1:3" x14ac:dyDescent="0.15">
      <c r="A99" s="244"/>
      <c r="B99" s="244"/>
      <c r="C99" s="244"/>
    </row>
    <row r="100" spans="1:3" x14ac:dyDescent="0.15">
      <c r="A100" s="244"/>
      <c r="B100" s="244"/>
      <c r="C100" s="244"/>
    </row>
    <row r="101" spans="1:3" x14ac:dyDescent="0.15">
      <c r="A101" s="244"/>
      <c r="B101" s="244"/>
      <c r="C101" s="244"/>
    </row>
    <row r="102" spans="1:3" x14ac:dyDescent="0.15">
      <c r="A102" s="244"/>
      <c r="B102" s="244"/>
      <c r="C102" s="244"/>
    </row>
    <row r="103" spans="1:3" x14ac:dyDescent="0.15">
      <c r="A103" s="244"/>
      <c r="B103" s="244"/>
      <c r="C103" s="244"/>
    </row>
    <row r="104" spans="1:3" x14ac:dyDescent="0.15">
      <c r="A104" s="244"/>
      <c r="B104" s="244"/>
      <c r="C104" s="244"/>
    </row>
    <row r="105" spans="1:3" x14ac:dyDescent="0.15">
      <c r="A105" s="244"/>
      <c r="B105" s="244"/>
      <c r="C105" s="244"/>
    </row>
    <row r="106" spans="1:3" x14ac:dyDescent="0.15">
      <c r="A106" s="244"/>
      <c r="B106" s="244"/>
      <c r="C106" s="244"/>
    </row>
    <row r="107" spans="1:3" x14ac:dyDescent="0.15">
      <c r="A107" s="244"/>
      <c r="B107" s="244"/>
      <c r="C107" s="244"/>
    </row>
    <row r="108" spans="1:3" x14ac:dyDescent="0.15">
      <c r="A108" s="244"/>
      <c r="B108" s="244"/>
      <c r="C108" s="244"/>
    </row>
    <row r="109" spans="1:3" x14ac:dyDescent="0.15">
      <c r="A109" s="244"/>
      <c r="B109" s="244"/>
      <c r="C109" s="244"/>
    </row>
    <row r="110" spans="1:3" x14ac:dyDescent="0.15">
      <c r="A110" s="244"/>
      <c r="B110" s="244"/>
      <c r="C110" s="244"/>
    </row>
    <row r="111" spans="1:3" x14ac:dyDescent="0.15">
      <c r="A111" s="244"/>
      <c r="B111" s="244"/>
      <c r="C111" s="244"/>
    </row>
    <row r="112" spans="1:3" x14ac:dyDescent="0.15">
      <c r="A112" s="244"/>
      <c r="B112" s="244"/>
      <c r="C112" s="244"/>
    </row>
    <row r="113" spans="1:3" x14ac:dyDescent="0.15">
      <c r="A113" s="244"/>
      <c r="B113" s="244"/>
      <c r="C113" s="244"/>
    </row>
    <row r="114" spans="1:3" x14ac:dyDescent="0.15">
      <c r="A114" s="244"/>
      <c r="B114" s="244"/>
      <c r="C114" s="244"/>
    </row>
    <row r="115" spans="1:3" x14ac:dyDescent="0.15">
      <c r="A115" s="244"/>
      <c r="B115" s="244"/>
      <c r="C115" s="244"/>
    </row>
    <row r="116" spans="1:3" x14ac:dyDescent="0.15">
      <c r="A116" s="244"/>
      <c r="B116" s="244"/>
      <c r="C116" s="244"/>
    </row>
    <row r="117" spans="1:3" x14ac:dyDescent="0.15">
      <c r="A117" s="244"/>
      <c r="B117" s="244"/>
      <c r="C117" s="244"/>
    </row>
    <row r="118" spans="1:3" x14ac:dyDescent="0.15">
      <c r="A118" s="244"/>
      <c r="B118" s="244"/>
      <c r="C118" s="244"/>
    </row>
    <row r="119" spans="1:3" x14ac:dyDescent="0.15">
      <c r="A119" s="244"/>
      <c r="B119" s="244"/>
      <c r="C119" s="244"/>
    </row>
    <row r="120" spans="1:3" x14ac:dyDescent="0.15">
      <c r="A120" s="244"/>
      <c r="B120" s="244"/>
      <c r="C120" s="244"/>
    </row>
    <row r="121" spans="1:3" x14ac:dyDescent="0.15">
      <c r="A121" s="244"/>
      <c r="B121" s="244"/>
      <c r="C121" s="244"/>
    </row>
    <row r="122" spans="1:3" x14ac:dyDescent="0.15">
      <c r="A122" s="244"/>
      <c r="B122" s="244"/>
      <c r="C122" s="244"/>
    </row>
  </sheetData>
  <sheetProtection algorithmName="SHA-512" hashValue="OCD6DsmAnjSE+b/UhbRU7WNljFrNHNLl6u6eIbQB2ztJLC/uJwQgneqa47/JfHc3/eiU8OB0YPsJkqDJDPGQLQ==" saltValue="ZaBQ6ACXuhq81PMDFTJOGg=="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AM94"/>
  <sheetViews>
    <sheetView tabSelected="1" zoomScale="85" zoomScaleNormal="85" workbookViewId="0">
      <selection activeCell="A30" sqref="A30"/>
    </sheetView>
  </sheetViews>
  <sheetFormatPr baseColWidth="10" defaultColWidth="8.83203125" defaultRowHeight="13" x14ac:dyDescent="0.15"/>
  <cols>
    <col min="1" max="1" width="161.33203125" style="241" customWidth="1"/>
    <col min="2" max="2" width="29.83203125" style="438" customWidth="1"/>
    <col min="3" max="39" width="8.83203125" style="242"/>
  </cols>
  <sheetData>
    <row r="1" spans="1:1" x14ac:dyDescent="0.15">
      <c r="A1" s="334"/>
    </row>
    <row r="2" spans="1:1" ht="28" x14ac:dyDescent="0.3">
      <c r="A2" s="335"/>
    </row>
    <row r="3" spans="1:1" ht="59" x14ac:dyDescent="0.55000000000000004">
      <c r="A3" s="336" t="s">
        <v>787</v>
      </c>
    </row>
    <row r="4" spans="1:1" ht="25" x14ac:dyDescent="0.25">
      <c r="A4" s="337" t="s">
        <v>340</v>
      </c>
    </row>
    <row r="5" spans="1:1" x14ac:dyDescent="0.15">
      <c r="A5" s="338"/>
    </row>
    <row r="6" spans="1:1" x14ac:dyDescent="0.15">
      <c r="A6" s="338"/>
    </row>
    <row r="7" spans="1:1" x14ac:dyDescent="0.15">
      <c r="A7" s="338"/>
    </row>
    <row r="8" spans="1:1" x14ac:dyDescent="0.15">
      <c r="A8" s="338"/>
    </row>
    <row r="9" spans="1:1" x14ac:dyDescent="0.15">
      <c r="A9" s="338"/>
    </row>
    <row r="10" spans="1:1" x14ac:dyDescent="0.15">
      <c r="A10" s="338"/>
    </row>
    <row r="11" spans="1:1" x14ac:dyDescent="0.15">
      <c r="A11" s="338"/>
    </row>
    <row r="12" spans="1:1" x14ac:dyDescent="0.15">
      <c r="A12" s="338"/>
    </row>
    <row r="13" spans="1:1" x14ac:dyDescent="0.15">
      <c r="A13" s="338"/>
    </row>
    <row r="14" spans="1:1" x14ac:dyDescent="0.15">
      <c r="A14" s="338"/>
    </row>
    <row r="15" spans="1:1" x14ac:dyDescent="0.15">
      <c r="A15" s="338"/>
    </row>
    <row r="16" spans="1:1" x14ac:dyDescent="0.15">
      <c r="A16" s="338"/>
    </row>
    <row r="17" spans="1:1" x14ac:dyDescent="0.15">
      <c r="A17" s="338"/>
    </row>
    <row r="18" spans="1:1" x14ac:dyDescent="0.15">
      <c r="A18" s="338"/>
    </row>
    <row r="19" spans="1:1" x14ac:dyDescent="0.15">
      <c r="A19" s="338"/>
    </row>
    <row r="20" spans="1:1" x14ac:dyDescent="0.15">
      <c r="A20" s="338"/>
    </row>
    <row r="21" spans="1:1" x14ac:dyDescent="0.15">
      <c r="A21" s="338"/>
    </row>
    <row r="22" spans="1:1" x14ac:dyDescent="0.15">
      <c r="A22" s="338"/>
    </row>
    <row r="23" spans="1:1" x14ac:dyDescent="0.15">
      <c r="A23" s="338"/>
    </row>
    <row r="24" spans="1:1" x14ac:dyDescent="0.15">
      <c r="A24" s="338"/>
    </row>
    <row r="25" spans="1:1" x14ac:dyDescent="0.15">
      <c r="A25" s="338"/>
    </row>
    <row r="26" spans="1:1" x14ac:dyDescent="0.15">
      <c r="A26" s="338"/>
    </row>
    <row r="27" spans="1:1" x14ac:dyDescent="0.15">
      <c r="A27" s="338"/>
    </row>
    <row r="28" spans="1:1" x14ac:dyDescent="0.15">
      <c r="A28" s="338"/>
    </row>
    <row r="29" spans="1:1" x14ac:dyDescent="0.15">
      <c r="A29" s="338"/>
    </row>
    <row r="30" spans="1:1" x14ac:dyDescent="0.15">
      <c r="A30" s="338"/>
    </row>
    <row r="31" spans="1:1" x14ac:dyDescent="0.15">
      <c r="A31" s="338"/>
    </row>
    <row r="32" spans="1:1" x14ac:dyDescent="0.15">
      <c r="A32" s="338"/>
    </row>
    <row r="33" spans="1:2" x14ac:dyDescent="0.15">
      <c r="A33" s="338"/>
    </row>
    <row r="34" spans="1:2" x14ac:dyDescent="0.15">
      <c r="A34" s="338"/>
    </row>
    <row r="35" spans="1:2" x14ac:dyDescent="0.15">
      <c r="A35" s="338"/>
    </row>
    <row r="36" spans="1:2" x14ac:dyDescent="0.15">
      <c r="A36" s="338"/>
    </row>
    <row r="37" spans="1:2" x14ac:dyDescent="0.15">
      <c r="A37" s="338"/>
    </row>
    <row r="38" spans="1:2" x14ac:dyDescent="0.15">
      <c r="A38" s="338"/>
    </row>
    <row r="39" spans="1:2" x14ac:dyDescent="0.15">
      <c r="A39" s="338"/>
    </row>
    <row r="40" spans="1:2" x14ac:dyDescent="0.15">
      <c r="A40" s="338"/>
    </row>
    <row r="41" spans="1:2" x14ac:dyDescent="0.15">
      <c r="A41" s="338"/>
    </row>
    <row r="42" spans="1:2" x14ac:dyDescent="0.15">
      <c r="A42" s="338"/>
    </row>
    <row r="43" spans="1:2" x14ac:dyDescent="0.15">
      <c r="A43" s="338"/>
    </row>
    <row r="44" spans="1:2" x14ac:dyDescent="0.15">
      <c r="A44" s="338"/>
    </row>
    <row r="45" spans="1:2" ht="14" thickBot="1" x14ac:dyDescent="0.2">
      <c r="A45" s="339"/>
    </row>
    <row r="46" spans="1:2" s="242" customFormat="1" x14ac:dyDescent="0.15">
      <c r="B46" s="438"/>
    </row>
    <row r="47" spans="1:2" s="242" customFormat="1" x14ac:dyDescent="0.15">
      <c r="B47" s="438"/>
    </row>
    <row r="48" spans="1:2" s="242" customFormat="1" x14ac:dyDescent="0.15">
      <c r="B48" s="438"/>
    </row>
    <row r="49" spans="2:2" s="242" customFormat="1" x14ac:dyDescent="0.15">
      <c r="B49" s="438"/>
    </row>
    <row r="50" spans="2:2" s="242" customFormat="1" x14ac:dyDescent="0.15">
      <c r="B50" s="438"/>
    </row>
    <row r="51" spans="2:2" s="242" customFormat="1" x14ac:dyDescent="0.15">
      <c r="B51" s="438"/>
    </row>
    <row r="52" spans="2:2" s="242" customFormat="1" x14ac:dyDescent="0.15">
      <c r="B52" s="438"/>
    </row>
    <row r="53" spans="2:2" s="242" customFormat="1" x14ac:dyDescent="0.15">
      <c r="B53" s="438"/>
    </row>
    <row r="54" spans="2:2" s="242" customFormat="1" x14ac:dyDescent="0.15">
      <c r="B54" s="438"/>
    </row>
    <row r="55" spans="2:2" s="242" customFormat="1" x14ac:dyDescent="0.15">
      <c r="B55" s="438"/>
    </row>
    <row r="56" spans="2:2" s="242" customFormat="1" x14ac:dyDescent="0.15">
      <c r="B56" s="438"/>
    </row>
    <row r="57" spans="2:2" s="242" customFormat="1" x14ac:dyDescent="0.15">
      <c r="B57" s="438"/>
    </row>
    <row r="58" spans="2:2" s="242" customFormat="1" x14ac:dyDescent="0.15">
      <c r="B58" s="438"/>
    </row>
    <row r="59" spans="2:2" s="242" customFormat="1" x14ac:dyDescent="0.15">
      <c r="B59" s="438"/>
    </row>
    <row r="60" spans="2:2" s="242" customFormat="1" x14ac:dyDescent="0.15">
      <c r="B60" s="438"/>
    </row>
    <row r="61" spans="2:2" s="242" customFormat="1" x14ac:dyDescent="0.15">
      <c r="B61" s="438"/>
    </row>
    <row r="62" spans="2:2" s="242" customFormat="1" x14ac:dyDescent="0.15">
      <c r="B62" s="438"/>
    </row>
    <row r="63" spans="2:2" s="242" customFormat="1" x14ac:dyDescent="0.15">
      <c r="B63" s="438"/>
    </row>
    <row r="64" spans="2:2" s="242" customFormat="1" x14ac:dyDescent="0.15">
      <c r="B64" s="438"/>
    </row>
    <row r="65" spans="2:2" s="242" customFormat="1" x14ac:dyDescent="0.15">
      <c r="B65" s="438"/>
    </row>
    <row r="66" spans="2:2" s="242" customFormat="1" x14ac:dyDescent="0.15">
      <c r="B66" s="438"/>
    </row>
    <row r="67" spans="2:2" s="242" customFormat="1" x14ac:dyDescent="0.15">
      <c r="B67" s="438"/>
    </row>
    <row r="68" spans="2:2" s="242" customFormat="1" x14ac:dyDescent="0.15">
      <c r="B68" s="438"/>
    </row>
    <row r="69" spans="2:2" s="242" customFormat="1" x14ac:dyDescent="0.15">
      <c r="B69" s="438"/>
    </row>
    <row r="70" spans="2:2" s="242" customFormat="1" x14ac:dyDescent="0.15">
      <c r="B70" s="438"/>
    </row>
    <row r="71" spans="2:2" s="242" customFormat="1" x14ac:dyDescent="0.15">
      <c r="B71" s="438"/>
    </row>
    <row r="72" spans="2:2" s="242" customFormat="1" x14ac:dyDescent="0.15">
      <c r="B72" s="438"/>
    </row>
    <row r="73" spans="2:2" s="242" customFormat="1" x14ac:dyDescent="0.15">
      <c r="B73" s="438"/>
    </row>
    <row r="74" spans="2:2" s="242" customFormat="1" x14ac:dyDescent="0.15">
      <c r="B74" s="438"/>
    </row>
    <row r="75" spans="2:2" s="242" customFormat="1" x14ac:dyDescent="0.15">
      <c r="B75" s="438"/>
    </row>
    <row r="76" spans="2:2" s="242" customFormat="1" x14ac:dyDescent="0.15">
      <c r="B76" s="438"/>
    </row>
    <row r="77" spans="2:2" s="242" customFormat="1" x14ac:dyDescent="0.15">
      <c r="B77" s="438"/>
    </row>
    <row r="78" spans="2:2" s="242" customFormat="1" x14ac:dyDescent="0.15">
      <c r="B78" s="438"/>
    </row>
    <row r="79" spans="2:2" s="242" customFormat="1" x14ac:dyDescent="0.15">
      <c r="B79" s="438"/>
    </row>
    <row r="80" spans="2:2" s="242" customFormat="1" x14ac:dyDescent="0.15">
      <c r="B80" s="438"/>
    </row>
    <row r="81" spans="2:2" s="242" customFormat="1" x14ac:dyDescent="0.15">
      <c r="B81" s="438"/>
    </row>
    <row r="82" spans="2:2" s="242" customFormat="1" x14ac:dyDescent="0.15">
      <c r="B82" s="438"/>
    </row>
    <row r="83" spans="2:2" s="242" customFormat="1" x14ac:dyDescent="0.15">
      <c r="B83" s="438"/>
    </row>
    <row r="84" spans="2:2" s="242" customFormat="1" x14ac:dyDescent="0.15">
      <c r="B84" s="438"/>
    </row>
    <row r="85" spans="2:2" s="242" customFormat="1" x14ac:dyDescent="0.15">
      <c r="B85" s="438"/>
    </row>
    <row r="86" spans="2:2" s="242" customFormat="1" x14ac:dyDescent="0.15">
      <c r="B86" s="438"/>
    </row>
    <row r="87" spans="2:2" s="242" customFormat="1" x14ac:dyDescent="0.15">
      <c r="B87" s="438"/>
    </row>
    <row r="88" spans="2:2" s="242" customFormat="1" x14ac:dyDescent="0.15">
      <c r="B88" s="438"/>
    </row>
    <row r="89" spans="2:2" s="242" customFormat="1" x14ac:dyDescent="0.15">
      <c r="B89" s="438"/>
    </row>
    <row r="90" spans="2:2" s="242" customFormat="1" x14ac:dyDescent="0.15">
      <c r="B90" s="438"/>
    </row>
    <row r="91" spans="2:2" s="242" customFormat="1" x14ac:dyDescent="0.15">
      <c r="B91" s="438"/>
    </row>
    <row r="92" spans="2:2" s="242" customFormat="1" x14ac:dyDescent="0.15">
      <c r="B92" s="438"/>
    </row>
    <row r="93" spans="2:2" s="242" customFormat="1" x14ac:dyDescent="0.15">
      <c r="B93" s="438"/>
    </row>
    <row r="94" spans="2:2" s="242" customFormat="1" x14ac:dyDescent="0.15">
      <c r="B94" s="438"/>
    </row>
  </sheetData>
  <sheetProtection algorithmName="SHA-512" hashValue="6zYDo2LfXxEOYjjyt4SK6gkXP3B5ZeDiNVVzdMFu2K8WZSO6TpcJ6y/uLBdVG5dBdTlXPc30kSkj1n5uJbg94Q==" saltValue="qXi6vPMGKQMBGPbaPd1i6A==" spinCount="100000" sheet="1" objects="1" scenario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7" r:id="rId4" name="Button 7">
              <controlPr defaultSize="0" print="0" autoFill="0" autoPict="0" macro="[0]!GoToStep1">
                <anchor moveWithCells="1" sizeWithCells="1">
                  <from>
                    <xdr:col>0</xdr:col>
                    <xdr:colOff>6146800</xdr:colOff>
                    <xdr:row>29</xdr:row>
                    <xdr:rowOff>12700</xdr:rowOff>
                  </from>
                  <to>
                    <xdr:col>0</xdr:col>
                    <xdr:colOff>8115300</xdr:colOff>
                    <xdr:row>32</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1E725-B706-9E44-BB90-96C505CC96C0}">
  <sheetPr codeName="Sheet12">
    <tabColor theme="8" tint="0.39997558519241921"/>
  </sheetPr>
  <dimension ref="A1:X58"/>
  <sheetViews>
    <sheetView zoomScaleNormal="100" workbookViewId="0">
      <selection activeCell="C5" sqref="C5"/>
    </sheetView>
  </sheetViews>
  <sheetFormatPr baseColWidth="10" defaultColWidth="8.83203125" defaultRowHeight="15" x14ac:dyDescent="0.2"/>
  <cols>
    <col min="1" max="1" width="3.33203125" style="317" customWidth="1"/>
    <col min="2" max="2" width="49.5" style="317" customWidth="1"/>
    <col min="3" max="3" width="14.5" style="317" customWidth="1"/>
    <col min="4" max="4" width="6.5" style="317" customWidth="1"/>
    <col min="5" max="5" width="2.5" style="656" customWidth="1"/>
    <col min="6" max="6" width="53.83203125" style="317" customWidth="1"/>
    <col min="7" max="7" width="15.5" style="317" customWidth="1"/>
    <col min="8" max="8" width="3.83203125" style="317" customWidth="1"/>
    <col min="9" max="9" width="22.5" style="394" customWidth="1"/>
    <col min="10" max="11" width="8.83203125" style="394"/>
    <col min="12" max="12" width="12.6640625" style="394" customWidth="1"/>
    <col min="13" max="21" width="8.83203125" style="394"/>
    <col min="22" max="16384" width="8.83203125" style="317"/>
  </cols>
  <sheetData>
    <row r="1" spans="1:24" ht="20" customHeight="1" x14ac:dyDescent="0.2">
      <c r="A1" s="390"/>
      <c r="B1" s="397"/>
      <c r="C1" s="397"/>
      <c r="D1" s="391"/>
      <c r="E1" s="653"/>
      <c r="F1" s="391"/>
      <c r="G1" s="391"/>
      <c r="H1" s="391"/>
      <c r="I1" s="389"/>
      <c r="J1" s="389"/>
      <c r="K1" s="389"/>
      <c r="L1" s="389"/>
      <c r="M1" s="389"/>
      <c r="N1" s="389"/>
      <c r="O1" s="389"/>
      <c r="P1" s="389"/>
      <c r="Q1" s="389"/>
      <c r="R1" s="389"/>
      <c r="S1" s="389"/>
      <c r="T1" s="389"/>
      <c r="U1" s="389"/>
      <c r="V1" s="389"/>
      <c r="W1" s="389"/>
      <c r="X1" s="389"/>
    </row>
    <row r="2" spans="1:24" ht="23" customHeight="1" x14ac:dyDescent="0.3">
      <c r="A2" s="392"/>
      <c r="B2" s="694" t="s">
        <v>665</v>
      </c>
      <c r="C2" s="694"/>
      <c r="D2" s="393"/>
      <c r="E2" s="654"/>
      <c r="F2" s="657" t="s">
        <v>875</v>
      </c>
      <c r="G2" s="393"/>
      <c r="H2" s="393"/>
      <c r="I2" s="389"/>
      <c r="J2" s="389"/>
      <c r="K2" s="389"/>
      <c r="L2" s="389"/>
      <c r="M2" s="389"/>
      <c r="N2" s="389"/>
      <c r="O2" s="389"/>
      <c r="P2" s="389"/>
      <c r="Q2" s="389"/>
      <c r="R2" s="389"/>
      <c r="S2" s="389"/>
      <c r="T2" s="389"/>
      <c r="U2" s="389"/>
      <c r="V2" s="389"/>
      <c r="W2" s="389"/>
      <c r="X2" s="389"/>
    </row>
    <row r="3" spans="1:24" ht="20" customHeight="1" x14ac:dyDescent="0.2">
      <c r="A3" s="392"/>
      <c r="B3" s="395" t="s">
        <v>666</v>
      </c>
      <c r="C3" s="396"/>
      <c r="D3" s="393"/>
      <c r="E3" s="654"/>
      <c r="F3" s="414" t="s">
        <v>667</v>
      </c>
      <c r="G3" s="414"/>
      <c r="H3" s="393"/>
      <c r="I3" s="696" t="s">
        <v>858</v>
      </c>
      <c r="J3" s="696"/>
      <c r="K3" s="696"/>
      <c r="L3" s="696"/>
      <c r="M3" s="389"/>
      <c r="N3" s="389"/>
      <c r="O3" s="389"/>
      <c r="P3" s="389"/>
      <c r="Q3" s="389"/>
      <c r="R3" s="389"/>
      <c r="S3" s="389"/>
      <c r="T3" s="389"/>
      <c r="U3" s="389"/>
      <c r="V3" s="389"/>
      <c r="W3" s="389"/>
      <c r="X3" s="389"/>
    </row>
    <row r="4" spans="1:24" ht="16" x14ac:dyDescent="0.2">
      <c r="A4" s="392"/>
      <c r="B4" s="422" t="s">
        <v>786</v>
      </c>
      <c r="C4" s="415"/>
      <c r="D4" s="393"/>
      <c r="E4" s="654"/>
      <c r="F4" s="415" t="s">
        <v>668</v>
      </c>
      <c r="G4" s="415"/>
      <c r="H4" s="393"/>
      <c r="I4" s="695" t="str">
        <f>IF(C10&lt;11, "Cannot run LandBOSSE with less than 11 turbines currently", "")</f>
        <v/>
      </c>
      <c r="J4" s="695"/>
      <c r="K4" s="695"/>
      <c r="L4" s="695"/>
      <c r="M4" s="389"/>
      <c r="N4" s="389"/>
      <c r="O4" s="389"/>
      <c r="P4" s="389"/>
      <c r="Q4" s="389"/>
      <c r="R4" s="389"/>
      <c r="S4" s="389"/>
      <c r="T4" s="389"/>
      <c r="U4" s="389"/>
      <c r="V4" s="389"/>
      <c r="W4" s="389"/>
      <c r="X4" s="389"/>
    </row>
    <row r="5" spans="1:24" ht="16" x14ac:dyDescent="0.2">
      <c r="A5" s="392"/>
      <c r="B5" s="405" t="s">
        <v>669</v>
      </c>
      <c r="C5" s="645" t="str">
        <f>DefaultData!D180</f>
        <v>project_1</v>
      </c>
      <c r="D5" s="393"/>
      <c r="E5" s="654"/>
      <c r="F5" s="405" t="s">
        <v>670</v>
      </c>
      <c r="G5" s="647">
        <f>DefaultData!D191</f>
        <v>0.2</v>
      </c>
      <c r="H5" s="393"/>
      <c r="I5" s="695" t="str">
        <f>IF(C13&gt;8, "LandBOSSE cannot run for turbine size greater than 8 MW", (IF(C13&lt;1, "LandBOSSE cannot run for turbine size lesser than 1 MW","")))</f>
        <v/>
      </c>
      <c r="J5" s="695"/>
      <c r="K5" s="695"/>
      <c r="L5" s="695"/>
      <c r="M5" s="389"/>
      <c r="N5" s="389"/>
      <c r="O5" s="389"/>
      <c r="P5" s="389"/>
      <c r="Q5" s="389"/>
      <c r="R5" s="389"/>
      <c r="S5" s="389"/>
      <c r="T5" s="389"/>
      <c r="U5" s="389"/>
      <c r="V5" s="389"/>
      <c r="W5" s="389"/>
      <c r="X5" s="389"/>
    </row>
    <row r="6" spans="1:24" ht="16" x14ac:dyDescent="0.2">
      <c r="A6" s="392"/>
      <c r="B6" s="405" t="s">
        <v>671</v>
      </c>
      <c r="C6" s="661" t="s">
        <v>878</v>
      </c>
      <c r="D6" s="393"/>
      <c r="E6" s="654"/>
      <c r="F6" s="405" t="s">
        <v>672</v>
      </c>
      <c r="G6" s="647">
        <f>DefaultData!D195</f>
        <v>59.5</v>
      </c>
      <c r="H6" s="393"/>
      <c r="I6" s="389"/>
      <c r="J6" s="389"/>
      <c r="K6" s="389"/>
      <c r="L6" s="389"/>
      <c r="M6" s="389"/>
      <c r="N6" s="389"/>
      <c r="O6" s="389"/>
      <c r="P6" s="389"/>
      <c r="Q6" s="389"/>
      <c r="R6" s="389"/>
      <c r="S6" s="389"/>
      <c r="T6" s="389"/>
      <c r="U6" s="389"/>
      <c r="V6" s="389"/>
      <c r="W6" s="389"/>
      <c r="X6" s="389"/>
    </row>
    <row r="7" spans="1:24" ht="16" x14ac:dyDescent="0.2">
      <c r="A7" s="392"/>
      <c r="B7" s="405" t="s">
        <v>673</v>
      </c>
      <c r="C7" s="652" t="str">
        <f>INDEX('STEP 3 - Edit Project Data'!P685:P738,MATCH('STEP 1 - Project Information'!C6,'STEP 3 - Edit Project Data'!O685:O738))</f>
        <v>Interior</v>
      </c>
      <c r="D7" s="393"/>
      <c r="E7" s="654"/>
      <c r="F7" s="405" t="s">
        <v>674</v>
      </c>
      <c r="G7" s="647">
        <f>DefaultData!D211</f>
        <v>2</v>
      </c>
      <c r="H7" s="393"/>
      <c r="I7" s="389"/>
      <c r="J7" s="389"/>
      <c r="K7" s="389"/>
      <c r="L7" s="389"/>
      <c r="M7" s="389"/>
      <c r="N7" s="389"/>
      <c r="O7" s="389"/>
      <c r="P7" s="389"/>
      <c r="Q7" s="389"/>
      <c r="R7" s="389"/>
      <c r="S7" s="389"/>
      <c r="T7" s="389"/>
      <c r="U7" s="389"/>
      <c r="V7" s="389"/>
      <c r="W7" s="389"/>
      <c r="X7" s="389"/>
    </row>
    <row r="8" spans="1:24" ht="16" x14ac:dyDescent="0.2">
      <c r="A8" s="392"/>
      <c r="B8" s="405" t="s">
        <v>675</v>
      </c>
      <c r="C8" s="644">
        <v>300</v>
      </c>
      <c r="D8" s="393"/>
      <c r="E8" s="654"/>
      <c r="F8" s="405" t="s">
        <v>676</v>
      </c>
      <c r="G8" s="647">
        <f>DefaultData!D210</f>
        <v>10</v>
      </c>
      <c r="H8" s="393"/>
      <c r="I8" s="389"/>
      <c r="J8" s="389"/>
      <c r="K8" s="389"/>
      <c r="L8" s="389"/>
      <c r="M8" s="389"/>
      <c r="N8" s="389"/>
      <c r="O8" s="389"/>
      <c r="P8" s="389"/>
      <c r="Q8" s="389"/>
      <c r="R8" s="389"/>
      <c r="S8" s="389"/>
      <c r="T8" s="389"/>
      <c r="U8" s="389"/>
      <c r="V8" s="389"/>
      <c r="W8" s="389"/>
      <c r="X8" s="389"/>
    </row>
    <row r="9" spans="1:24" ht="16" x14ac:dyDescent="0.2">
      <c r="A9" s="392"/>
      <c r="B9" s="405" t="s">
        <v>782</v>
      </c>
      <c r="C9" s="644">
        <v>1</v>
      </c>
      <c r="D9" s="393"/>
      <c r="E9" s="654"/>
      <c r="F9" s="405"/>
      <c r="G9" s="482"/>
      <c r="H9" s="393"/>
      <c r="I9" s="389"/>
      <c r="J9" s="389"/>
      <c r="K9" s="389"/>
      <c r="L9" s="389"/>
      <c r="M9" s="389"/>
      <c r="N9" s="389"/>
      <c r="O9" s="389"/>
      <c r="P9" s="389"/>
      <c r="Q9" s="389"/>
      <c r="R9" s="389"/>
      <c r="S9" s="389"/>
      <c r="T9" s="389"/>
      <c r="U9" s="389"/>
      <c r="V9" s="389"/>
      <c r="W9" s="389"/>
      <c r="X9" s="389"/>
    </row>
    <row r="10" spans="1:24" ht="16" x14ac:dyDescent="0.2">
      <c r="A10" s="392"/>
      <c r="B10" s="405" t="s">
        <v>162</v>
      </c>
      <c r="C10" s="684">
        <f>ROUNDUP(C8/C13,0)</f>
        <v>120</v>
      </c>
      <c r="D10" s="393"/>
      <c r="E10" s="654"/>
      <c r="F10" s="405" t="s">
        <v>677</v>
      </c>
      <c r="G10" s="648">
        <f>DefaultData!D206</f>
        <v>0.33</v>
      </c>
      <c r="H10" s="393"/>
      <c r="I10" s="389"/>
      <c r="J10" s="389"/>
      <c r="K10" s="389"/>
      <c r="L10" s="389"/>
      <c r="M10" s="389"/>
      <c r="N10" s="389"/>
      <c r="O10" s="389"/>
      <c r="P10" s="389"/>
      <c r="Q10" s="389"/>
      <c r="R10" s="389"/>
      <c r="S10" s="389"/>
      <c r="T10" s="389"/>
      <c r="U10" s="389"/>
      <c r="V10" s="389"/>
      <c r="W10" s="389"/>
      <c r="X10" s="389"/>
    </row>
    <row r="11" spans="1:24" ht="16" x14ac:dyDescent="0.2">
      <c r="A11" s="392"/>
      <c r="B11" s="405"/>
      <c r="C11" s="405"/>
      <c r="D11" s="393"/>
      <c r="E11" s="654"/>
      <c r="F11" s="405" t="s">
        <v>678</v>
      </c>
      <c r="G11" s="647">
        <f>DefaultData!D207</f>
        <v>20</v>
      </c>
      <c r="H11" s="393"/>
      <c r="I11" s="389"/>
      <c r="J11" s="389"/>
      <c r="K11" s="389"/>
      <c r="L11" s="389"/>
      <c r="M11" s="389"/>
      <c r="N11" s="389"/>
      <c r="O11" s="389"/>
      <c r="P11" s="389"/>
      <c r="Q11" s="389"/>
      <c r="R11" s="389"/>
      <c r="S11" s="389"/>
      <c r="T11" s="389"/>
      <c r="U11" s="389"/>
      <c r="V11" s="389"/>
      <c r="W11" s="389"/>
      <c r="X11" s="389"/>
    </row>
    <row r="12" spans="1:24" ht="16" x14ac:dyDescent="0.2">
      <c r="A12" s="392"/>
      <c r="B12" s="415" t="s">
        <v>680</v>
      </c>
      <c r="C12" s="415"/>
      <c r="D12" s="393"/>
      <c r="E12" s="654"/>
      <c r="F12" s="405" t="s">
        <v>679</v>
      </c>
      <c r="G12" s="647">
        <f>DefaultData!D208</f>
        <v>8</v>
      </c>
      <c r="H12" s="393"/>
      <c r="I12" s="389"/>
      <c r="J12" s="389"/>
      <c r="K12" s="389"/>
      <c r="L12" s="389"/>
      <c r="M12" s="389"/>
      <c r="N12" s="389"/>
      <c r="O12" s="389"/>
      <c r="P12" s="389"/>
      <c r="Q12" s="389"/>
      <c r="R12" s="389"/>
      <c r="S12" s="389"/>
      <c r="T12" s="389"/>
      <c r="U12" s="389"/>
      <c r="V12" s="389"/>
      <c r="W12" s="389"/>
      <c r="X12" s="389"/>
    </row>
    <row r="13" spans="1:24" ht="16" x14ac:dyDescent="0.2">
      <c r="A13" s="392"/>
      <c r="B13" s="405" t="s">
        <v>682</v>
      </c>
      <c r="C13" s="646">
        <v>2.5</v>
      </c>
      <c r="D13" s="393"/>
      <c r="E13" s="654"/>
      <c r="F13" s="405" t="s">
        <v>681</v>
      </c>
      <c r="G13" s="647">
        <f>DefaultData!D189</f>
        <v>1.5</v>
      </c>
      <c r="H13" s="393"/>
      <c r="I13" s="389"/>
      <c r="J13" s="389"/>
      <c r="K13" s="389"/>
      <c r="L13" s="389"/>
      <c r="M13" s="389"/>
      <c r="N13" s="389"/>
      <c r="O13" s="389"/>
      <c r="P13" s="389"/>
      <c r="Q13" s="389"/>
      <c r="R13" s="389"/>
      <c r="S13" s="389"/>
      <c r="T13" s="389"/>
      <c r="U13" s="389"/>
      <c r="V13" s="389"/>
      <c r="W13" s="389"/>
      <c r="X13" s="389"/>
    </row>
    <row r="14" spans="1:24" ht="16" x14ac:dyDescent="0.2">
      <c r="A14" s="392"/>
      <c r="B14" s="405" t="s">
        <v>685</v>
      </c>
      <c r="C14" s="647">
        <f>DefaultData!D183</f>
        <v>80</v>
      </c>
      <c r="D14" s="393"/>
      <c r="E14" s="654"/>
      <c r="F14" s="405" t="s">
        <v>683</v>
      </c>
      <c r="G14" s="647">
        <f>DefaultData!D205</f>
        <v>0.6</v>
      </c>
      <c r="H14" s="393"/>
      <c r="I14" s="389"/>
      <c r="J14" s="389"/>
      <c r="K14" s="389"/>
      <c r="L14" s="389"/>
      <c r="M14" s="389"/>
      <c r="N14" s="389"/>
      <c r="O14" s="389"/>
      <c r="P14" s="389"/>
      <c r="Q14" s="389"/>
      <c r="R14" s="389"/>
      <c r="S14" s="389"/>
      <c r="T14" s="389"/>
      <c r="U14" s="389"/>
      <c r="V14" s="389"/>
      <c r="W14" s="389"/>
      <c r="X14" s="389"/>
    </row>
    <row r="15" spans="1:24" ht="16" x14ac:dyDescent="0.2">
      <c r="A15" s="392"/>
      <c r="B15" s="405" t="s">
        <v>687</v>
      </c>
      <c r="C15" s="647">
        <f>DefaultData!D184</f>
        <v>77</v>
      </c>
      <c r="D15" s="393"/>
      <c r="E15" s="654"/>
      <c r="F15" s="405" t="s">
        <v>684</v>
      </c>
      <c r="G15" s="647">
        <f>DefaultData!D204</f>
        <v>5000</v>
      </c>
      <c r="H15" s="393"/>
      <c r="I15" s="389"/>
      <c r="J15" s="389"/>
      <c r="K15" s="389"/>
      <c r="L15" s="389"/>
      <c r="M15" s="389"/>
      <c r="N15" s="389"/>
      <c r="O15" s="389"/>
      <c r="P15" s="389"/>
      <c r="Q15" s="389"/>
      <c r="R15" s="389"/>
      <c r="S15" s="389"/>
      <c r="T15" s="389"/>
      <c r="U15" s="389"/>
      <c r="V15" s="389"/>
      <c r="W15" s="389"/>
      <c r="X15" s="389"/>
    </row>
    <row r="16" spans="1:24" ht="16" x14ac:dyDescent="0.2">
      <c r="A16" s="392"/>
      <c r="B16" s="405" t="s">
        <v>688</v>
      </c>
      <c r="C16" s="647">
        <f>DefaultData!D185</f>
        <v>4</v>
      </c>
      <c r="D16" s="393"/>
      <c r="E16" s="654"/>
      <c r="F16" s="405" t="s">
        <v>686</v>
      </c>
      <c r="G16" s="647">
        <f>DefaultData!D209</f>
        <v>11</v>
      </c>
      <c r="H16" s="393"/>
      <c r="I16" s="389"/>
      <c r="J16" s="389"/>
      <c r="K16" s="389"/>
      <c r="L16" s="389"/>
      <c r="M16" s="389"/>
      <c r="N16" s="389"/>
      <c r="O16" s="389"/>
      <c r="P16" s="389"/>
      <c r="Q16" s="389"/>
      <c r="R16" s="389"/>
      <c r="S16" s="389"/>
      <c r="T16" s="389"/>
      <c r="U16" s="389"/>
      <c r="V16" s="389"/>
      <c r="W16" s="389"/>
      <c r="X16" s="389"/>
    </row>
    <row r="17" spans="1:24" ht="16" x14ac:dyDescent="0.2">
      <c r="A17" s="392"/>
      <c r="B17" s="405" t="s">
        <v>690</v>
      </c>
      <c r="C17" s="647">
        <f>DefaultData!D186</f>
        <v>10</v>
      </c>
      <c r="D17" s="393"/>
      <c r="E17" s="654"/>
      <c r="F17" s="405"/>
      <c r="G17" s="405"/>
      <c r="H17" s="393"/>
      <c r="I17" s="389"/>
      <c r="J17" s="389"/>
      <c r="K17" s="389"/>
      <c r="L17" s="389"/>
      <c r="M17" s="389"/>
      <c r="N17" s="389"/>
      <c r="O17" s="389"/>
      <c r="P17" s="389"/>
      <c r="Q17" s="389"/>
      <c r="R17" s="389"/>
      <c r="S17" s="389"/>
      <c r="T17" s="389"/>
      <c r="U17" s="389"/>
      <c r="V17" s="389"/>
      <c r="W17" s="389"/>
      <c r="X17" s="389"/>
    </row>
    <row r="18" spans="1:24" ht="16" x14ac:dyDescent="0.2">
      <c r="A18" s="392"/>
      <c r="B18" s="405"/>
      <c r="C18" s="405"/>
      <c r="D18" s="393"/>
      <c r="E18" s="654"/>
      <c r="F18" s="415" t="s">
        <v>689</v>
      </c>
      <c r="G18" s="415"/>
      <c r="H18" s="393"/>
      <c r="I18" s="389"/>
      <c r="J18" s="389"/>
      <c r="K18" s="389"/>
      <c r="L18" s="389"/>
      <c r="M18" s="389"/>
      <c r="N18" s="389"/>
      <c r="O18" s="389"/>
      <c r="P18" s="389"/>
      <c r="Q18" s="389"/>
      <c r="R18" s="389"/>
      <c r="S18" s="389"/>
      <c r="T18" s="389"/>
      <c r="U18" s="389"/>
      <c r="V18" s="389"/>
      <c r="W18" s="389"/>
      <c r="X18" s="389"/>
    </row>
    <row r="19" spans="1:24" ht="16" x14ac:dyDescent="0.2">
      <c r="A19" s="392"/>
      <c r="B19" s="415" t="s">
        <v>693</v>
      </c>
      <c r="C19" s="415"/>
      <c r="D19" s="393"/>
      <c r="E19" s="654"/>
      <c r="F19" s="405" t="s">
        <v>691</v>
      </c>
      <c r="G19" s="647">
        <f>DefaultData!D201</f>
        <v>5</v>
      </c>
      <c r="H19" s="393"/>
      <c r="I19" s="389"/>
      <c r="J19" s="389"/>
      <c r="K19" s="389"/>
      <c r="L19" s="389"/>
      <c r="M19" s="389"/>
      <c r="N19" s="389"/>
      <c r="O19" s="389"/>
      <c r="P19" s="389"/>
      <c r="Q19" s="389"/>
      <c r="R19" s="389"/>
      <c r="S19" s="389"/>
      <c r="T19" s="389"/>
      <c r="U19" s="389"/>
      <c r="V19" s="389"/>
      <c r="W19" s="389"/>
      <c r="X19" s="389"/>
    </row>
    <row r="20" spans="1:24" ht="16" x14ac:dyDescent="0.2">
      <c r="A20" s="392"/>
      <c r="B20" s="405" t="s">
        <v>695</v>
      </c>
      <c r="C20" s="647">
        <v>2020</v>
      </c>
      <c r="D20" s="393"/>
      <c r="E20" s="654"/>
      <c r="F20" s="405" t="s">
        <v>692</v>
      </c>
      <c r="G20" s="647">
        <f>DefaultData!D202</f>
        <v>130</v>
      </c>
      <c r="H20" s="393"/>
      <c r="I20" s="389"/>
      <c r="J20" s="389"/>
      <c r="K20" s="389"/>
      <c r="L20" s="389"/>
      <c r="M20" s="389"/>
      <c r="N20" s="389"/>
      <c r="O20" s="389"/>
      <c r="P20" s="389"/>
      <c r="Q20" s="389"/>
      <c r="R20" s="389"/>
      <c r="S20" s="389"/>
      <c r="T20" s="389"/>
      <c r="U20" s="389"/>
      <c r="V20" s="389"/>
      <c r="W20" s="389"/>
      <c r="X20" s="389"/>
    </row>
    <row r="21" spans="1:24" ht="16" x14ac:dyDescent="0.2">
      <c r="A21" s="392"/>
      <c r="B21" s="405" t="s">
        <v>320</v>
      </c>
      <c r="C21" s="647">
        <v>2020</v>
      </c>
      <c r="D21" s="393"/>
      <c r="E21" s="654"/>
      <c r="F21" s="405" t="s">
        <v>694</v>
      </c>
      <c r="G21" s="647">
        <f>DefaultData!D196</f>
        <v>60</v>
      </c>
      <c r="H21" s="393"/>
      <c r="I21" s="389"/>
      <c r="J21" s="389"/>
      <c r="K21" s="389"/>
      <c r="L21" s="389"/>
      <c r="M21" s="389"/>
      <c r="N21" s="389"/>
      <c r="O21" s="389"/>
      <c r="P21" s="389"/>
      <c r="Q21" s="389"/>
      <c r="R21" s="389"/>
      <c r="S21" s="389"/>
      <c r="T21" s="389"/>
      <c r="U21" s="389"/>
      <c r="V21" s="389"/>
      <c r="W21" s="389"/>
      <c r="X21" s="389"/>
    </row>
    <row r="22" spans="1:24" ht="16" x14ac:dyDescent="0.2">
      <c r="A22" s="392"/>
      <c r="B22" s="405" t="s">
        <v>698</v>
      </c>
      <c r="C22" s="647">
        <f>DefaultData!D181</f>
        <v>9</v>
      </c>
      <c r="D22" s="393"/>
      <c r="E22" s="654"/>
      <c r="F22" s="405" t="s">
        <v>696</v>
      </c>
      <c r="G22" s="647" t="str">
        <f>DefaultData!D203</f>
        <v>y</v>
      </c>
      <c r="H22" s="393"/>
      <c r="I22" s="389"/>
      <c r="J22" s="389"/>
      <c r="K22" s="389"/>
      <c r="L22" s="389"/>
      <c r="M22" s="389"/>
      <c r="N22" s="389"/>
      <c r="O22" s="389"/>
      <c r="P22" s="389"/>
      <c r="Q22" s="389"/>
      <c r="R22" s="389"/>
      <c r="S22" s="389"/>
      <c r="T22" s="389"/>
      <c r="U22" s="389"/>
      <c r="V22" s="389"/>
      <c r="W22" s="389"/>
      <c r="X22" s="389"/>
    </row>
    <row r="23" spans="1:24" ht="16" x14ac:dyDescent="0.2">
      <c r="A23" s="392"/>
      <c r="B23" s="405" t="s">
        <v>699</v>
      </c>
      <c r="C23" s="647">
        <f>DefaultData!D190</f>
        <v>10</v>
      </c>
      <c r="D23" s="393"/>
      <c r="E23" s="654"/>
      <c r="F23" s="405" t="s">
        <v>697</v>
      </c>
      <c r="G23" s="647">
        <f>DefaultData!D198</f>
        <v>50</v>
      </c>
      <c r="H23" s="393"/>
      <c r="I23" s="389"/>
      <c r="J23" s="389"/>
      <c r="K23" s="389"/>
      <c r="L23" s="389"/>
      <c r="M23" s="389"/>
      <c r="N23" s="389"/>
      <c r="O23" s="389"/>
      <c r="P23" s="389"/>
      <c r="Q23" s="389"/>
      <c r="R23" s="389"/>
      <c r="S23" s="389"/>
      <c r="T23" s="389"/>
      <c r="U23" s="389"/>
      <c r="V23" s="389"/>
      <c r="W23" s="389"/>
      <c r="X23" s="389"/>
    </row>
    <row r="24" spans="1:24" ht="16" x14ac:dyDescent="0.2">
      <c r="A24" s="392"/>
      <c r="B24" s="393"/>
      <c r="C24" s="393"/>
      <c r="D24" s="393"/>
      <c r="E24" s="654"/>
      <c r="F24" s="405"/>
      <c r="G24" s="405"/>
      <c r="H24" s="393"/>
      <c r="I24" s="389"/>
      <c r="J24" s="389"/>
      <c r="K24" s="389"/>
      <c r="L24" s="389"/>
      <c r="M24" s="389"/>
      <c r="N24" s="389"/>
      <c r="O24" s="389"/>
      <c r="P24" s="389"/>
      <c r="Q24" s="389"/>
      <c r="R24" s="389"/>
      <c r="S24" s="389"/>
      <c r="T24" s="389"/>
      <c r="U24" s="389"/>
      <c r="V24" s="389"/>
      <c r="W24" s="389"/>
      <c r="X24" s="389"/>
    </row>
    <row r="25" spans="1:24" ht="16" x14ac:dyDescent="0.2">
      <c r="A25" s="392"/>
      <c r="B25" s="393"/>
      <c r="C25" s="393"/>
      <c r="D25" s="393"/>
      <c r="E25" s="654"/>
      <c r="F25" s="415" t="s">
        <v>700</v>
      </c>
      <c r="G25" s="415"/>
      <c r="H25" s="393"/>
      <c r="I25" s="389"/>
      <c r="J25" s="389"/>
      <c r="K25" s="389"/>
      <c r="L25" s="389"/>
      <c r="M25" s="389"/>
      <c r="N25" s="389"/>
      <c r="O25" s="389"/>
      <c r="P25" s="389"/>
      <c r="Q25" s="389"/>
      <c r="R25" s="389"/>
      <c r="S25" s="389"/>
      <c r="T25" s="389"/>
      <c r="U25" s="389"/>
      <c r="V25" s="389"/>
      <c r="W25" s="389"/>
      <c r="X25" s="389"/>
    </row>
    <row r="26" spans="1:24" ht="16" x14ac:dyDescent="0.2">
      <c r="A26" s="392"/>
      <c r="B26" s="393"/>
      <c r="C26" s="393"/>
      <c r="D26" s="393"/>
      <c r="E26" s="654"/>
      <c r="F26" s="405" t="s">
        <v>701</v>
      </c>
      <c r="G26" s="647">
        <f>DefaultData!D192</f>
        <v>2.36</v>
      </c>
      <c r="H26" s="393"/>
      <c r="I26" s="389"/>
      <c r="J26" s="389"/>
      <c r="K26" s="389"/>
      <c r="L26" s="389"/>
      <c r="M26" s="389"/>
      <c r="N26" s="389"/>
      <c r="O26" s="389"/>
      <c r="P26" s="389"/>
      <c r="Q26" s="389"/>
      <c r="R26" s="389"/>
      <c r="S26" s="389"/>
      <c r="T26" s="389"/>
      <c r="U26" s="389"/>
      <c r="V26" s="389"/>
      <c r="W26" s="389"/>
      <c r="X26" s="389"/>
    </row>
    <row r="27" spans="1:24" ht="16" x14ac:dyDescent="0.2">
      <c r="A27" s="392"/>
      <c r="B27" s="393"/>
      <c r="C27" s="393"/>
      <c r="D27" s="393"/>
      <c r="E27" s="654"/>
      <c r="F27" s="405" t="s">
        <v>702</v>
      </c>
      <c r="G27" s="649">
        <f>DefaultData!D193</f>
        <v>589000</v>
      </c>
      <c r="H27" s="393"/>
      <c r="I27" s="389"/>
      <c r="J27" s="389"/>
      <c r="K27" s="389"/>
      <c r="L27" s="389"/>
      <c r="M27" s="389"/>
      <c r="N27" s="389"/>
      <c r="O27" s="389"/>
      <c r="P27" s="389"/>
      <c r="Q27" s="389"/>
      <c r="R27" s="389"/>
      <c r="S27" s="389"/>
      <c r="T27" s="389"/>
      <c r="U27" s="389"/>
      <c r="V27" s="389"/>
      <c r="W27" s="389"/>
      <c r="X27" s="389"/>
    </row>
    <row r="28" spans="1:24" ht="19.5" customHeight="1" x14ac:dyDescent="0.2">
      <c r="A28" s="392"/>
      <c r="B28" s="393"/>
      <c r="C28" s="393"/>
      <c r="D28" s="393"/>
      <c r="E28" s="654"/>
      <c r="F28" s="405" t="s">
        <v>703</v>
      </c>
      <c r="G28" s="647">
        <f>DefaultData!D194</f>
        <v>191521</v>
      </c>
      <c r="H28" s="393"/>
      <c r="I28" s="389"/>
      <c r="J28" s="389"/>
      <c r="K28" s="389"/>
      <c r="L28" s="389"/>
      <c r="M28" s="389"/>
      <c r="N28" s="389"/>
      <c r="O28" s="389"/>
      <c r="P28" s="389"/>
      <c r="Q28" s="389"/>
      <c r="R28" s="389"/>
      <c r="S28" s="389"/>
      <c r="T28" s="389"/>
      <c r="U28" s="389"/>
      <c r="V28" s="389"/>
      <c r="W28" s="389"/>
      <c r="X28" s="389"/>
    </row>
    <row r="29" spans="1:24" ht="16" x14ac:dyDescent="0.2">
      <c r="A29" s="392"/>
      <c r="B29" s="393"/>
      <c r="C29" s="393"/>
      <c r="D29" s="393"/>
      <c r="E29" s="654"/>
      <c r="F29" s="405" t="s">
        <v>704</v>
      </c>
      <c r="G29" s="647">
        <f>DefaultData!D199</f>
        <v>10</v>
      </c>
      <c r="H29" s="393"/>
      <c r="I29" s="389"/>
      <c r="J29" s="389"/>
      <c r="K29" s="389"/>
      <c r="L29" s="389"/>
      <c r="M29" s="389"/>
      <c r="N29" s="389"/>
      <c r="O29" s="389"/>
      <c r="P29" s="389"/>
      <c r="Q29" s="389"/>
      <c r="R29" s="389"/>
      <c r="S29" s="389"/>
      <c r="T29" s="389"/>
      <c r="U29" s="389"/>
      <c r="V29" s="389"/>
      <c r="W29" s="389"/>
      <c r="X29" s="389"/>
    </row>
    <row r="30" spans="1:24" ht="17" customHeight="1" thickBot="1" x14ac:dyDescent="0.25">
      <c r="A30" s="392"/>
      <c r="B30" s="393"/>
      <c r="C30" s="393"/>
      <c r="D30" s="393"/>
      <c r="E30" s="654"/>
      <c r="F30" s="405" t="s">
        <v>705</v>
      </c>
      <c r="G30" s="647">
        <f>DefaultData!D200</f>
        <v>15</v>
      </c>
      <c r="H30" s="393"/>
      <c r="I30" s="389"/>
      <c r="J30" s="389"/>
      <c r="K30" s="389"/>
      <c r="L30" s="389"/>
      <c r="M30" s="389"/>
      <c r="N30" s="389"/>
      <c r="O30" s="389"/>
      <c r="P30" s="389"/>
      <c r="Q30" s="389"/>
      <c r="R30" s="389"/>
      <c r="S30" s="389"/>
      <c r="T30" s="389"/>
      <c r="U30" s="389"/>
      <c r="V30" s="389"/>
      <c r="W30" s="389"/>
      <c r="X30" s="389"/>
    </row>
    <row r="31" spans="1:24" ht="20" customHeight="1" x14ac:dyDescent="0.2">
      <c r="A31" s="392"/>
      <c r="B31" s="697" t="s">
        <v>881</v>
      </c>
      <c r="C31" s="698"/>
      <c r="D31" s="393"/>
      <c r="E31" s="654"/>
      <c r="F31" s="393"/>
      <c r="G31" s="393"/>
      <c r="H31" s="393"/>
      <c r="I31" s="389"/>
      <c r="J31" s="389"/>
      <c r="K31" s="389"/>
      <c r="L31" s="389"/>
      <c r="M31" s="389"/>
      <c r="N31" s="389"/>
      <c r="O31" s="389"/>
      <c r="P31" s="389"/>
      <c r="Q31" s="389"/>
      <c r="R31" s="389"/>
      <c r="S31" s="389"/>
      <c r="T31" s="389"/>
      <c r="U31" s="389"/>
      <c r="V31" s="389"/>
      <c r="W31" s="389"/>
      <c r="X31" s="389"/>
    </row>
    <row r="32" spans="1:24" ht="17" thickBot="1" x14ac:dyDescent="0.25">
      <c r="A32" s="392"/>
      <c r="B32" s="699"/>
      <c r="C32" s="700"/>
      <c r="D32" s="685"/>
      <c r="E32" s="654"/>
      <c r="F32" s="525" t="s">
        <v>856</v>
      </c>
      <c r="G32" s="415"/>
      <c r="H32" s="393"/>
      <c r="I32" s="389"/>
      <c r="J32" s="389"/>
      <c r="K32" s="389"/>
      <c r="L32" s="389"/>
      <c r="M32" s="389"/>
      <c r="N32" s="389"/>
      <c r="O32" s="389"/>
      <c r="P32" s="389"/>
      <c r="Q32" s="389"/>
      <c r="R32" s="389"/>
      <c r="S32" s="389"/>
      <c r="T32" s="389"/>
      <c r="U32" s="389"/>
      <c r="V32" s="389"/>
      <c r="W32" s="389"/>
      <c r="X32" s="389"/>
    </row>
    <row r="33" spans="1:24" x14ac:dyDescent="0.2">
      <c r="A33" s="392"/>
      <c r="B33" s="393"/>
      <c r="C33" s="393"/>
      <c r="D33" s="393"/>
      <c r="E33" s="654"/>
      <c r="F33" s="393" t="s">
        <v>857</v>
      </c>
      <c r="G33" s="650">
        <v>17</v>
      </c>
      <c r="H33" s="393"/>
      <c r="I33" s="389"/>
      <c r="J33" s="389"/>
      <c r="K33" s="389"/>
      <c r="L33" s="389"/>
      <c r="M33" s="389"/>
      <c r="N33" s="389"/>
      <c r="O33" s="389"/>
      <c r="P33" s="389"/>
      <c r="Q33" s="389"/>
      <c r="R33" s="389"/>
      <c r="S33" s="389"/>
      <c r="T33" s="389"/>
      <c r="U33" s="389"/>
      <c r="V33" s="389"/>
      <c r="W33" s="389"/>
      <c r="X33" s="389"/>
    </row>
    <row r="34" spans="1:24" x14ac:dyDescent="0.2">
      <c r="A34" s="392"/>
      <c r="B34" s="393"/>
      <c r="C34" s="393"/>
      <c r="D34" s="393"/>
      <c r="E34" s="654"/>
      <c r="F34" s="393"/>
      <c r="G34" s="393"/>
      <c r="H34" s="393"/>
      <c r="I34" s="389"/>
      <c r="J34" s="389"/>
      <c r="K34" s="389"/>
      <c r="L34" s="389"/>
      <c r="M34" s="389"/>
      <c r="N34" s="389"/>
      <c r="O34" s="389"/>
      <c r="P34" s="389"/>
      <c r="Q34" s="389"/>
      <c r="R34" s="389"/>
      <c r="S34" s="389"/>
      <c r="T34" s="389"/>
      <c r="U34" s="389"/>
      <c r="V34" s="389"/>
      <c r="W34" s="389"/>
      <c r="X34" s="389"/>
    </row>
    <row r="35" spans="1:24" x14ac:dyDescent="0.2">
      <c r="A35" s="392"/>
      <c r="B35" s="393"/>
      <c r="C35" s="393"/>
      <c r="D35" s="393"/>
      <c r="E35" s="654"/>
      <c r="F35" s="393"/>
      <c r="G35" s="393"/>
      <c r="H35" s="393"/>
      <c r="I35" s="389"/>
      <c r="J35" s="389"/>
      <c r="K35" s="389"/>
      <c r="L35" s="389"/>
      <c r="M35" s="389"/>
      <c r="N35" s="389"/>
      <c r="O35" s="389"/>
      <c r="P35" s="389"/>
      <c r="Q35" s="389"/>
      <c r="R35" s="389"/>
      <c r="S35" s="389"/>
      <c r="T35" s="389"/>
      <c r="U35" s="389"/>
      <c r="V35" s="389"/>
      <c r="W35" s="389"/>
      <c r="X35" s="389"/>
    </row>
    <row r="36" spans="1:24" x14ac:dyDescent="0.2">
      <c r="A36" s="392"/>
      <c r="B36" s="393"/>
      <c r="C36" s="393"/>
      <c r="D36" s="393"/>
      <c r="E36" s="654"/>
      <c r="F36" s="393"/>
      <c r="G36" s="393"/>
      <c r="H36" s="393"/>
      <c r="I36" s="389"/>
      <c r="J36" s="389"/>
      <c r="K36" s="389"/>
      <c r="L36" s="389"/>
      <c r="M36" s="389"/>
      <c r="N36" s="389"/>
      <c r="O36" s="389"/>
      <c r="P36" s="389"/>
      <c r="Q36" s="389"/>
      <c r="R36" s="389"/>
      <c r="S36" s="389"/>
      <c r="T36" s="389"/>
      <c r="U36" s="389"/>
      <c r="V36" s="389"/>
      <c r="W36" s="389"/>
      <c r="X36" s="389"/>
    </row>
    <row r="37" spans="1:24" x14ac:dyDescent="0.2">
      <c r="A37" s="393"/>
      <c r="B37" s="393"/>
      <c r="C37" s="393"/>
      <c r="D37" s="393"/>
      <c r="E37" s="654"/>
      <c r="F37" s="393"/>
      <c r="G37" s="393"/>
      <c r="H37" s="393"/>
      <c r="I37" s="393"/>
      <c r="J37" s="389"/>
      <c r="K37" s="389"/>
      <c r="L37" s="389"/>
      <c r="M37" s="389"/>
      <c r="N37" s="389"/>
      <c r="O37" s="389"/>
      <c r="P37" s="389"/>
      <c r="Q37" s="389"/>
      <c r="R37" s="389"/>
      <c r="S37" s="389"/>
      <c r="T37" s="389"/>
      <c r="U37" s="389"/>
      <c r="V37" s="389"/>
      <c r="W37" s="389"/>
      <c r="X37" s="389"/>
    </row>
    <row r="38" spans="1:24" x14ac:dyDescent="0.2">
      <c r="A38" s="389"/>
      <c r="B38" s="389"/>
      <c r="C38" s="389"/>
      <c r="D38" s="389"/>
      <c r="E38" s="654"/>
      <c r="F38" s="389"/>
      <c r="G38" s="389"/>
      <c r="H38" s="389"/>
      <c r="I38" s="389"/>
      <c r="J38" s="389"/>
      <c r="K38" s="389"/>
      <c r="L38" s="389"/>
      <c r="M38" s="389"/>
      <c r="N38" s="389"/>
      <c r="O38" s="389"/>
      <c r="P38" s="389"/>
      <c r="Q38" s="389"/>
      <c r="R38" s="389"/>
      <c r="S38" s="389"/>
      <c r="T38" s="389"/>
      <c r="U38" s="389"/>
      <c r="V38" s="389"/>
      <c r="W38" s="389"/>
      <c r="X38" s="389"/>
    </row>
    <row r="39" spans="1:24" x14ac:dyDescent="0.2">
      <c r="A39" s="389"/>
      <c r="B39" s="389"/>
      <c r="C39" s="389"/>
      <c r="D39" s="389"/>
      <c r="E39" s="654"/>
      <c r="F39" s="389"/>
      <c r="G39" s="389"/>
      <c r="H39" s="389"/>
      <c r="I39" s="389"/>
      <c r="J39" s="389"/>
      <c r="K39" s="389"/>
      <c r="L39" s="389"/>
      <c r="M39" s="389"/>
      <c r="N39" s="389"/>
      <c r="O39" s="389"/>
      <c r="P39" s="389"/>
      <c r="Q39" s="389"/>
      <c r="R39" s="389"/>
      <c r="S39" s="389"/>
      <c r="T39" s="389"/>
      <c r="U39" s="389"/>
      <c r="V39" s="389"/>
      <c r="W39" s="389"/>
      <c r="X39" s="389"/>
    </row>
    <row r="40" spans="1:24" x14ac:dyDescent="0.2">
      <c r="A40" s="389"/>
      <c r="B40" s="389"/>
      <c r="C40" s="389"/>
      <c r="D40" s="389"/>
      <c r="E40" s="654"/>
      <c r="F40" s="389"/>
      <c r="G40" s="389"/>
      <c r="H40" s="389"/>
      <c r="I40" s="389"/>
      <c r="J40" s="389"/>
      <c r="K40" s="389"/>
      <c r="L40" s="389"/>
      <c r="M40" s="389"/>
      <c r="N40" s="389"/>
      <c r="O40" s="389"/>
      <c r="P40" s="389"/>
      <c r="Q40" s="389"/>
      <c r="R40" s="389"/>
      <c r="S40" s="389"/>
      <c r="T40" s="389"/>
      <c r="U40" s="389"/>
      <c r="V40" s="389"/>
      <c r="W40" s="389"/>
      <c r="X40" s="389"/>
    </row>
    <row r="41" spans="1:24" x14ac:dyDescent="0.2">
      <c r="A41" s="389"/>
      <c r="B41" s="389"/>
      <c r="C41" s="389"/>
      <c r="D41" s="389"/>
      <c r="E41" s="654"/>
      <c r="F41" s="389"/>
      <c r="G41" s="389"/>
      <c r="H41" s="389"/>
      <c r="I41" s="389"/>
      <c r="J41" s="389"/>
      <c r="K41" s="389"/>
      <c r="L41" s="389"/>
      <c r="M41" s="389"/>
      <c r="N41" s="389"/>
      <c r="O41" s="389"/>
      <c r="P41" s="389"/>
      <c r="Q41" s="389"/>
      <c r="R41" s="389"/>
      <c r="S41" s="389"/>
      <c r="T41" s="389"/>
      <c r="U41" s="389"/>
      <c r="V41" s="389"/>
      <c r="W41" s="389"/>
      <c r="X41" s="389"/>
    </row>
    <row r="42" spans="1:24" x14ac:dyDescent="0.2">
      <c r="A42" s="389"/>
      <c r="B42" s="389"/>
      <c r="C42" s="389"/>
      <c r="D42" s="389"/>
      <c r="E42" s="654"/>
      <c r="F42" s="389"/>
      <c r="G42" s="389"/>
      <c r="H42" s="389"/>
      <c r="I42" s="389"/>
      <c r="J42" s="389"/>
      <c r="K42" s="389"/>
      <c r="L42" s="389"/>
      <c r="M42" s="389"/>
      <c r="N42" s="389"/>
      <c r="O42" s="389"/>
      <c r="P42" s="389"/>
      <c r="Q42" s="389"/>
      <c r="R42" s="389"/>
      <c r="S42" s="389"/>
      <c r="T42" s="389"/>
      <c r="U42" s="389"/>
      <c r="V42" s="389"/>
      <c r="W42" s="389"/>
      <c r="X42" s="389"/>
    </row>
    <row r="43" spans="1:24" x14ac:dyDescent="0.2">
      <c r="A43" s="389"/>
      <c r="B43" s="389"/>
      <c r="C43" s="389"/>
      <c r="D43" s="389"/>
      <c r="E43" s="654"/>
      <c r="F43" s="393"/>
      <c r="G43" s="389"/>
      <c r="H43" s="389"/>
      <c r="I43" s="389"/>
      <c r="J43" s="389"/>
      <c r="K43" s="389"/>
      <c r="L43" s="389"/>
      <c r="M43" s="389"/>
      <c r="N43" s="389"/>
      <c r="O43" s="389"/>
      <c r="P43" s="389"/>
      <c r="Q43" s="389"/>
      <c r="R43" s="389"/>
      <c r="S43" s="389"/>
      <c r="T43" s="389"/>
      <c r="U43" s="389"/>
      <c r="V43" s="389"/>
      <c r="W43" s="389"/>
      <c r="X43" s="389"/>
    </row>
    <row r="44" spans="1:24" x14ac:dyDescent="0.2">
      <c r="A44" s="389"/>
      <c r="B44" s="389"/>
      <c r="C44" s="389"/>
      <c r="D44" s="389"/>
      <c r="E44" s="654"/>
      <c r="F44" s="389"/>
      <c r="G44" s="389"/>
      <c r="H44" s="389"/>
      <c r="I44" s="389"/>
      <c r="J44" s="389"/>
      <c r="K44" s="389"/>
      <c r="L44" s="389"/>
      <c r="M44" s="389"/>
      <c r="N44" s="389"/>
      <c r="O44" s="389"/>
      <c r="P44" s="389"/>
      <c r="Q44" s="389"/>
      <c r="R44" s="389"/>
      <c r="S44" s="389"/>
      <c r="T44" s="389"/>
      <c r="U44" s="389"/>
      <c r="V44" s="389"/>
      <c r="W44" s="389"/>
      <c r="X44" s="389"/>
    </row>
    <row r="45" spans="1:24" x14ac:dyDescent="0.2">
      <c r="A45" s="389"/>
      <c r="B45" s="389"/>
      <c r="C45" s="389"/>
      <c r="D45" s="389"/>
      <c r="E45" s="654"/>
      <c r="F45" s="389"/>
      <c r="G45" s="389"/>
      <c r="H45" s="389"/>
      <c r="I45" s="389"/>
      <c r="J45" s="389"/>
      <c r="K45" s="389"/>
      <c r="L45" s="389"/>
      <c r="M45" s="389"/>
      <c r="N45" s="389"/>
      <c r="O45" s="389"/>
      <c r="P45" s="389"/>
      <c r="Q45" s="389"/>
      <c r="R45" s="389"/>
      <c r="S45" s="389"/>
      <c r="T45" s="389"/>
      <c r="U45" s="389"/>
      <c r="V45" s="389"/>
      <c r="W45" s="389"/>
      <c r="X45" s="389"/>
    </row>
    <row r="46" spans="1:24" x14ac:dyDescent="0.2">
      <c r="A46" s="389"/>
      <c r="B46" s="389"/>
      <c r="C46" s="389"/>
      <c r="D46" s="389"/>
      <c r="E46" s="654"/>
      <c r="F46" s="389"/>
      <c r="G46" s="389"/>
      <c r="H46" s="389"/>
      <c r="I46" s="389"/>
      <c r="J46" s="389"/>
      <c r="K46" s="389"/>
      <c r="L46" s="389"/>
      <c r="M46" s="389"/>
      <c r="N46" s="389"/>
      <c r="O46" s="389"/>
      <c r="P46" s="389"/>
      <c r="Q46" s="389"/>
      <c r="R46" s="389"/>
      <c r="S46" s="389"/>
      <c r="T46" s="389"/>
      <c r="U46" s="389"/>
      <c r="V46" s="389"/>
      <c r="W46" s="389"/>
      <c r="X46" s="389"/>
    </row>
    <row r="47" spans="1:24" x14ac:dyDescent="0.2">
      <c r="A47" s="389"/>
      <c r="B47" s="389"/>
      <c r="C47" s="389"/>
      <c r="D47" s="389"/>
      <c r="E47" s="654"/>
      <c r="F47" s="389"/>
      <c r="G47" s="389"/>
      <c r="H47" s="389"/>
      <c r="I47" s="389"/>
      <c r="J47" s="389"/>
      <c r="K47" s="389"/>
      <c r="L47" s="389"/>
      <c r="M47" s="389"/>
      <c r="N47" s="389"/>
      <c r="O47" s="389"/>
      <c r="P47" s="389"/>
      <c r="Q47" s="389"/>
      <c r="R47" s="389"/>
      <c r="S47" s="389"/>
      <c r="T47" s="389"/>
      <c r="U47" s="389"/>
      <c r="V47" s="389"/>
      <c r="W47" s="389"/>
      <c r="X47" s="389"/>
    </row>
    <row r="48" spans="1:24" x14ac:dyDescent="0.2">
      <c r="A48" s="389"/>
      <c r="B48" s="389"/>
      <c r="C48" s="389"/>
      <c r="D48" s="389"/>
      <c r="E48" s="654"/>
      <c r="F48" s="389"/>
      <c r="G48" s="389"/>
      <c r="H48" s="389"/>
      <c r="I48" s="389"/>
      <c r="J48" s="389"/>
      <c r="K48" s="389"/>
      <c r="L48" s="389"/>
      <c r="M48" s="389"/>
      <c r="N48" s="389"/>
      <c r="O48" s="389"/>
      <c r="P48" s="389"/>
      <c r="Q48" s="389"/>
      <c r="R48" s="389"/>
      <c r="S48" s="389"/>
      <c r="T48" s="389"/>
      <c r="U48" s="389"/>
      <c r="V48" s="389"/>
      <c r="W48" s="389"/>
      <c r="X48" s="389"/>
    </row>
    <row r="49" spans="1:24" x14ac:dyDescent="0.2">
      <c r="A49" s="389"/>
      <c r="B49" s="389"/>
      <c r="C49" s="389"/>
      <c r="D49" s="389"/>
      <c r="E49" s="654"/>
      <c r="F49" s="389"/>
      <c r="G49" s="389"/>
      <c r="H49" s="389"/>
      <c r="I49" s="389"/>
      <c r="J49" s="389"/>
      <c r="K49" s="389"/>
      <c r="L49" s="389"/>
      <c r="M49" s="389"/>
      <c r="N49" s="389"/>
      <c r="O49" s="389"/>
      <c r="P49" s="389"/>
      <c r="Q49" s="389"/>
      <c r="R49" s="389"/>
      <c r="S49" s="389"/>
      <c r="T49" s="389"/>
      <c r="U49" s="389"/>
      <c r="V49" s="389"/>
      <c r="W49" s="389"/>
      <c r="X49" s="389"/>
    </row>
    <row r="50" spans="1:24" x14ac:dyDescent="0.2">
      <c r="A50" s="389"/>
      <c r="B50" s="389"/>
      <c r="C50" s="389"/>
      <c r="D50" s="389"/>
      <c r="E50" s="654"/>
      <c r="F50" s="389"/>
      <c r="G50" s="389"/>
      <c r="H50" s="389"/>
      <c r="I50" s="389"/>
      <c r="J50" s="389"/>
      <c r="K50" s="389"/>
      <c r="L50" s="389"/>
      <c r="M50" s="389"/>
      <c r="N50" s="389"/>
      <c r="O50" s="389"/>
      <c r="P50" s="389"/>
      <c r="Q50" s="389"/>
      <c r="R50" s="389"/>
      <c r="S50" s="389"/>
      <c r="T50" s="389"/>
      <c r="U50" s="389"/>
      <c r="V50" s="389"/>
      <c r="W50" s="389"/>
      <c r="X50" s="389"/>
    </row>
    <row r="51" spans="1:24" x14ac:dyDescent="0.2">
      <c r="A51" s="389"/>
      <c r="B51" s="389"/>
      <c r="C51" s="389"/>
      <c r="D51" s="389"/>
      <c r="E51" s="654"/>
      <c r="F51" s="389"/>
      <c r="G51" s="389"/>
      <c r="H51" s="389"/>
      <c r="I51" s="389"/>
      <c r="J51" s="389"/>
      <c r="K51" s="389"/>
      <c r="L51" s="389"/>
      <c r="M51" s="389"/>
      <c r="N51" s="389"/>
      <c r="O51" s="389"/>
      <c r="P51" s="389"/>
      <c r="Q51" s="389"/>
      <c r="R51" s="389"/>
      <c r="S51" s="389"/>
      <c r="T51" s="389"/>
      <c r="U51" s="389"/>
      <c r="V51" s="389"/>
      <c r="W51" s="389"/>
      <c r="X51" s="389"/>
    </row>
    <row r="52" spans="1:24" x14ac:dyDescent="0.2">
      <c r="A52" s="394"/>
      <c r="B52" s="394"/>
      <c r="C52" s="394"/>
      <c r="D52" s="394"/>
      <c r="E52" s="655"/>
      <c r="F52" s="394"/>
      <c r="G52" s="394"/>
      <c r="H52" s="394"/>
    </row>
    <row r="53" spans="1:24" x14ac:dyDescent="0.2">
      <c r="A53" s="394"/>
      <c r="B53" s="394"/>
      <c r="C53" s="394"/>
      <c r="D53" s="394"/>
      <c r="E53" s="655"/>
      <c r="F53" s="394"/>
      <c r="G53" s="394"/>
      <c r="H53" s="394"/>
    </row>
    <row r="54" spans="1:24" x14ac:dyDescent="0.2">
      <c r="A54" s="394"/>
      <c r="B54" s="394"/>
      <c r="C54" s="394"/>
      <c r="D54" s="394"/>
      <c r="E54" s="655"/>
      <c r="F54" s="394"/>
      <c r="G54" s="394"/>
      <c r="H54" s="394"/>
    </row>
    <row r="55" spans="1:24" x14ac:dyDescent="0.2">
      <c r="A55" s="394"/>
      <c r="B55" s="394"/>
      <c r="C55" s="394"/>
      <c r="D55" s="394"/>
      <c r="E55" s="655"/>
      <c r="F55" s="394"/>
      <c r="G55" s="394"/>
      <c r="H55" s="394"/>
    </row>
    <row r="56" spans="1:24" x14ac:dyDescent="0.2">
      <c r="A56" s="394"/>
      <c r="B56" s="394"/>
      <c r="C56" s="394"/>
      <c r="D56" s="394"/>
      <c r="E56" s="655"/>
      <c r="F56" s="394"/>
      <c r="G56" s="394"/>
      <c r="H56" s="394"/>
    </row>
    <row r="57" spans="1:24" x14ac:dyDescent="0.2">
      <c r="A57" s="394"/>
      <c r="B57" s="394"/>
      <c r="C57" s="394"/>
      <c r="D57" s="394"/>
      <c r="E57" s="655"/>
      <c r="F57" s="394"/>
      <c r="G57" s="394"/>
      <c r="H57" s="394"/>
    </row>
    <row r="58" spans="1:24" x14ac:dyDescent="0.2">
      <c r="A58" s="394"/>
      <c r="B58" s="394"/>
      <c r="C58" s="394"/>
      <c r="D58" s="394"/>
      <c r="E58" s="655"/>
      <c r="F58" s="394"/>
      <c r="G58" s="394"/>
      <c r="H58" s="394"/>
    </row>
  </sheetData>
  <sheetProtection algorithmName="SHA-512" hashValue="lL5tYacASREsQ7DeLtwjAQTAb1DbSe4ohXc3LtkrsEH3MbK67LtyXAyaqCF9ExZgfOzGmTeTniduONk5tWHI8w==" saltValue="9lWO7bewNzsex/cmMyRUhw==" spinCount="100000" sheet="1" objects="1" scenarios="1"/>
  <mergeCells count="5">
    <mergeCell ref="B2:C2"/>
    <mergeCell ref="I4:L4"/>
    <mergeCell ref="I3:L3"/>
    <mergeCell ref="I5:L5"/>
    <mergeCell ref="B31:C32"/>
  </mergeCells>
  <conditionalFormatting sqref="I4:L4">
    <cfRule type="expression" dxfId="66" priority="6">
      <formula>$C$10&lt;11</formula>
    </cfRule>
  </conditionalFormatting>
  <conditionalFormatting sqref="I5:L5">
    <cfRule type="expression" dxfId="65" priority="1">
      <formula>$C$13&gt;8</formula>
    </cfRule>
    <cfRule type="expression" dxfId="64" priority="4">
      <formula>$C$13&lt;1</formula>
    </cfRule>
  </conditionalFormatting>
  <dataValidations count="1">
    <dataValidation type="list" allowBlank="1" showInputMessage="1" showErrorMessage="1" sqref="C20:C21" xr:uid="{1C7669E7-6863-F841-95DA-F73B81CC5C0D}">
      <formula1>constyears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40" r:id="rId3" name="Button 16">
              <controlPr defaultSize="0" print="0" autoFill="0" autoPict="0" macro="[0]!GoToStep2">
                <anchor moveWithCells="1" sizeWithCells="1">
                  <from>
                    <xdr:col>1</xdr:col>
                    <xdr:colOff>12700</xdr:colOff>
                    <xdr:row>26</xdr:row>
                    <xdr:rowOff>177800</xdr:rowOff>
                  </from>
                  <to>
                    <xdr:col>2</xdr:col>
                    <xdr:colOff>1016000</xdr:colOff>
                    <xdr:row>29</xdr:row>
                    <xdr:rowOff>127000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A4D4148-F9E2-C546-A2C4-B51C67D81B10}">
          <x14:formula1>
            <xm:f>'STEP 3 - Edit Project Data'!$O$685:$O$738</xm:f>
          </x14:formula1>
          <xm:sqref>C6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46C732-C821-C54A-8E91-9A71643AA6A2}">
  <sheetPr codeName="Sheet13">
    <tabColor theme="5" tint="0.39997558519241921"/>
  </sheetPr>
  <dimension ref="A1:BJ147"/>
  <sheetViews>
    <sheetView zoomScale="85" zoomScaleNormal="85" workbookViewId="0">
      <selection activeCell="D42" sqref="D42"/>
    </sheetView>
  </sheetViews>
  <sheetFormatPr baseColWidth="10" defaultColWidth="8.83203125" defaultRowHeight="15" x14ac:dyDescent="0.2"/>
  <cols>
    <col min="1" max="1" width="8.83203125" style="317"/>
    <col min="2" max="3" width="22.5" style="317" bestFit="1" customWidth="1"/>
    <col min="4" max="4" width="19.1640625" style="317" customWidth="1"/>
    <col min="5" max="5" width="11.5" style="317" bestFit="1" customWidth="1"/>
    <col min="6" max="6" width="27.33203125" style="317" customWidth="1"/>
    <col min="7" max="7" width="3.83203125" style="317" customWidth="1"/>
    <col min="8" max="8" width="4.5" style="317" customWidth="1"/>
    <col min="9" max="9" width="39.83203125" style="317" bestFit="1" customWidth="1"/>
    <col min="10" max="10" width="14.6640625" style="317" bestFit="1" customWidth="1"/>
    <col min="11" max="11" width="11.5" style="389" bestFit="1" customWidth="1"/>
    <col min="12" max="12" width="19.5" style="389" bestFit="1" customWidth="1"/>
    <col min="13" max="13" width="12.83203125" style="389" bestFit="1" customWidth="1"/>
    <col min="14" max="14" width="8.83203125" style="389"/>
    <col min="15" max="15" width="11.1640625" style="389" bestFit="1" customWidth="1"/>
    <col min="16" max="54" width="8.83203125" style="389"/>
    <col min="55" max="16384" width="8.83203125" style="317"/>
  </cols>
  <sheetData>
    <row r="1" spans="1:62" ht="26" x14ac:dyDescent="0.3">
      <c r="A1" s="389"/>
      <c r="B1" s="707" t="s">
        <v>729</v>
      </c>
      <c r="C1" s="708"/>
      <c r="D1" s="708"/>
      <c r="E1" s="708"/>
      <c r="F1" s="709"/>
      <c r="G1" s="389"/>
      <c r="H1" s="389"/>
      <c r="I1" s="389"/>
      <c r="J1" s="389"/>
    </row>
    <row r="2" spans="1:62" ht="36" customHeight="1" x14ac:dyDescent="0.2">
      <c r="A2" s="389"/>
      <c r="B2" s="712" t="s">
        <v>889</v>
      </c>
      <c r="C2" s="713"/>
      <c r="D2" s="713"/>
      <c r="E2" s="713"/>
      <c r="F2" s="714"/>
      <c r="G2" s="389"/>
      <c r="H2" s="389"/>
      <c r="I2" s="389"/>
      <c r="J2" s="389"/>
    </row>
    <row r="3" spans="1:62" ht="19" x14ac:dyDescent="0.25">
      <c r="A3" s="389"/>
      <c r="B3" s="717" t="s">
        <v>730</v>
      </c>
      <c r="C3" s="718"/>
      <c r="D3" s="718"/>
      <c r="E3" s="718"/>
      <c r="F3" s="719"/>
      <c r="G3" s="389"/>
      <c r="H3" s="389"/>
      <c r="I3" s="710" t="s">
        <v>781</v>
      </c>
      <c r="J3" s="711"/>
    </row>
    <row r="4" spans="1:62" ht="28" x14ac:dyDescent="0.25">
      <c r="A4" s="389"/>
      <c r="B4" s="715" t="s">
        <v>728</v>
      </c>
      <c r="C4" s="716"/>
      <c r="D4" s="402" t="s">
        <v>727</v>
      </c>
      <c r="E4" s="403" t="s">
        <v>726</v>
      </c>
      <c r="F4" s="404" t="s">
        <v>725</v>
      </c>
      <c r="G4" s="389"/>
      <c r="H4" s="389"/>
      <c r="I4" s="720" t="s">
        <v>779</v>
      </c>
      <c r="J4" s="720"/>
      <c r="O4" s="686"/>
    </row>
    <row r="5" spans="1:62" ht="16" x14ac:dyDescent="0.2">
      <c r="A5" s="389"/>
      <c r="B5" s="423" t="s">
        <v>724</v>
      </c>
      <c r="C5" s="424" t="s">
        <v>16</v>
      </c>
      <c r="D5" s="658">
        <v>5100000</v>
      </c>
      <c r="E5" s="425">
        <f>D5/('STEP 1 - Project Information'!$C$8*1000)</f>
        <v>17</v>
      </c>
      <c r="F5" s="688">
        <f t="shared" ref="F5:F42" si="0">D5/$D$43</f>
        <v>9.6022945240592419E-2</v>
      </c>
      <c r="G5" s="389"/>
      <c r="H5" s="389"/>
      <c r="I5" s="483" t="s">
        <v>777</v>
      </c>
      <c r="J5" s="641">
        <f>DefaultData!E36</f>
        <v>1113.5723077770633</v>
      </c>
      <c r="BI5" s="483"/>
      <c r="BJ5" s="641"/>
    </row>
    <row r="6" spans="1:62" ht="16" x14ac:dyDescent="0.2">
      <c r="A6" s="389"/>
      <c r="B6" s="430"/>
      <c r="C6" s="431" t="s">
        <v>717</v>
      </c>
      <c r="D6" s="687">
        <v>0</v>
      </c>
      <c r="E6" s="432">
        <f>D6/('STEP 1 - Project Information'!$C$8*1000)</f>
        <v>0</v>
      </c>
      <c r="F6" s="433">
        <f t="shared" si="0"/>
        <v>0</v>
      </c>
      <c r="G6" s="389"/>
      <c r="H6" s="389"/>
      <c r="I6" s="483" t="s">
        <v>778</v>
      </c>
      <c r="J6" s="642">
        <f>DefaultData!G9</f>
        <v>44</v>
      </c>
      <c r="BI6" s="483"/>
      <c r="BJ6" s="642"/>
    </row>
    <row r="7" spans="1:62" ht="16" x14ac:dyDescent="0.2">
      <c r="A7" s="389"/>
      <c r="B7" s="430"/>
      <c r="C7" s="431" t="s">
        <v>458</v>
      </c>
      <c r="D7" s="687">
        <v>0</v>
      </c>
      <c r="E7" s="432">
        <f>D7/('STEP 1 - Project Information'!$C$8*1000)</f>
        <v>0</v>
      </c>
      <c r="F7" s="433">
        <f t="shared" si="0"/>
        <v>0</v>
      </c>
      <c r="G7" s="389"/>
      <c r="H7" s="389"/>
      <c r="I7" s="484" t="s">
        <v>320</v>
      </c>
      <c r="J7" s="643">
        <v>2020</v>
      </c>
    </row>
    <row r="8" spans="1:62" ht="16" x14ac:dyDescent="0.2">
      <c r="A8" s="389"/>
      <c r="B8" s="430"/>
      <c r="C8" s="431" t="s">
        <v>536</v>
      </c>
      <c r="D8" s="687">
        <v>0</v>
      </c>
      <c r="E8" s="432">
        <f>D8/('STEP 1 - Project Information'!$C$8*1000)</f>
        <v>0</v>
      </c>
      <c r="F8" s="433">
        <f t="shared" si="0"/>
        <v>0</v>
      </c>
      <c r="G8" s="389"/>
      <c r="H8" s="389"/>
      <c r="I8" s="400"/>
      <c r="J8" s="401"/>
    </row>
    <row r="9" spans="1:62" ht="16" x14ac:dyDescent="0.2">
      <c r="A9" s="389"/>
      <c r="B9" s="430"/>
      <c r="C9" s="431" t="s">
        <v>716</v>
      </c>
      <c r="D9" s="687">
        <v>0</v>
      </c>
      <c r="E9" s="432">
        <f>D9/('STEP 1 - Project Information'!$C$8*1000)</f>
        <v>0</v>
      </c>
      <c r="F9" s="433">
        <f t="shared" si="0"/>
        <v>0</v>
      </c>
      <c r="G9" s="389"/>
      <c r="H9" s="389"/>
      <c r="I9" s="398" t="s">
        <v>780</v>
      </c>
      <c r="J9" s="399">
        <f>E43+J5</f>
        <v>1310.546052381728</v>
      </c>
    </row>
    <row r="10" spans="1:62" ht="16" x14ac:dyDescent="0.2">
      <c r="A10" s="389"/>
      <c r="B10" s="430"/>
      <c r="C10" s="431" t="s">
        <v>719</v>
      </c>
      <c r="D10" s="687">
        <v>0</v>
      </c>
      <c r="E10" s="432">
        <f>D10/('STEP 1 - Project Information'!$C$8*1000)</f>
        <v>0</v>
      </c>
      <c r="F10" s="433">
        <f t="shared" si="0"/>
        <v>0</v>
      </c>
      <c r="G10" s="389"/>
      <c r="H10" s="389"/>
      <c r="I10" s="389"/>
      <c r="J10" s="389"/>
    </row>
    <row r="11" spans="1:62" ht="16" x14ac:dyDescent="0.2">
      <c r="A11" s="389"/>
      <c r="B11" s="426" t="s">
        <v>723</v>
      </c>
      <c r="C11" s="427" t="s">
        <v>16</v>
      </c>
      <c r="D11" s="659">
        <v>3696426.3344792747</v>
      </c>
      <c r="E11" s="428">
        <f>D11/('STEP 1 - Project Information'!$C$8*1000)</f>
        <v>12.321421114930915</v>
      </c>
      <c r="F11" s="429">
        <f t="shared" si="0"/>
        <v>6.9596420294428848E-2</v>
      </c>
      <c r="G11" s="389"/>
      <c r="H11" s="389"/>
      <c r="I11" s="701" t="s">
        <v>880</v>
      </c>
      <c r="J11" s="702"/>
      <c r="K11" s="702"/>
      <c r="L11" s="703"/>
    </row>
    <row r="12" spans="1:62" ht="16" x14ac:dyDescent="0.2">
      <c r="A12" s="389"/>
      <c r="B12" s="430"/>
      <c r="C12" s="431" t="s">
        <v>536</v>
      </c>
      <c r="D12" s="660">
        <v>940995.33352120779</v>
      </c>
      <c r="E12" s="432">
        <f>D12/('STEP 1 - Project Information'!$C$8*1000)</f>
        <v>3.1366511117373594</v>
      </c>
      <c r="F12" s="433">
        <f t="shared" si="0"/>
        <v>1.7717086937717636E-2</v>
      </c>
      <c r="G12" s="389"/>
      <c r="H12" s="389"/>
      <c r="I12" s="704"/>
      <c r="J12" s="705"/>
      <c r="K12" s="705"/>
      <c r="L12" s="706"/>
    </row>
    <row r="13" spans="1:62" ht="16" x14ac:dyDescent="0.2">
      <c r="A13" s="389"/>
      <c r="B13" s="430"/>
      <c r="C13" s="431" t="s">
        <v>717</v>
      </c>
      <c r="D13" s="660">
        <v>475518.94363602967</v>
      </c>
      <c r="E13" s="432">
        <f>D13/('STEP 1 - Project Information'!$C$8*1000)</f>
        <v>1.5850631454534323</v>
      </c>
      <c r="F13" s="433">
        <f t="shared" si="0"/>
        <v>8.9530842128680063E-3</v>
      </c>
      <c r="G13" s="389"/>
      <c r="H13" s="389"/>
      <c r="I13" s="389"/>
      <c r="J13" s="389"/>
    </row>
    <row r="14" spans="1:62" ht="16" x14ac:dyDescent="0.2">
      <c r="A14" s="389"/>
      <c r="B14" s="430"/>
      <c r="C14" s="431" t="s">
        <v>458</v>
      </c>
      <c r="D14" s="660">
        <v>669403.27629527263</v>
      </c>
      <c r="E14" s="432">
        <f>D14/('STEP 1 - Project Information'!$C$8*1000)</f>
        <v>2.2313442543175754</v>
      </c>
      <c r="F14" s="433">
        <f t="shared" si="0"/>
        <v>1.2603543949720417E-2</v>
      </c>
      <c r="G14" s="389"/>
      <c r="H14" s="389"/>
      <c r="I14" s="389"/>
      <c r="J14" s="389"/>
    </row>
    <row r="15" spans="1:62" ht="16" x14ac:dyDescent="0.2">
      <c r="A15" s="389"/>
      <c r="B15" s="430"/>
      <c r="C15" s="431" t="s">
        <v>716</v>
      </c>
      <c r="D15" s="660">
        <v>95601.889026764169</v>
      </c>
      <c r="E15" s="432">
        <f>D15/('STEP 1 - Project Information'!$C$8*1000)</f>
        <v>0.31867296342254725</v>
      </c>
      <c r="F15" s="433">
        <f t="shared" si="0"/>
        <v>1.7999950891988566E-3</v>
      </c>
      <c r="G15" s="389"/>
      <c r="H15" s="389"/>
      <c r="I15" s="389"/>
      <c r="J15" s="389"/>
    </row>
    <row r="16" spans="1:62" ht="16" x14ac:dyDescent="0.2">
      <c r="A16" s="389"/>
      <c r="B16" s="430"/>
      <c r="C16" s="431" t="s">
        <v>719</v>
      </c>
      <c r="D16" s="660">
        <v>1514906.892</v>
      </c>
      <c r="E16" s="432">
        <f>D16/('STEP 1 - Project Information'!$C$8*1000)</f>
        <v>5.0496896399999995</v>
      </c>
      <c r="F16" s="433">
        <f t="shared" si="0"/>
        <v>2.8522710104923934E-2</v>
      </c>
      <c r="G16" s="389"/>
      <c r="H16" s="389"/>
      <c r="I16" s="389"/>
      <c r="J16" s="389"/>
    </row>
    <row r="17" spans="1:10" ht="16" x14ac:dyDescent="0.2">
      <c r="A17" s="389"/>
      <c r="B17" s="426" t="s">
        <v>722</v>
      </c>
      <c r="C17" s="427" t="s">
        <v>16</v>
      </c>
      <c r="D17" s="659">
        <v>11861481.975711225</v>
      </c>
      <c r="E17" s="428">
        <f>D17/('STEP 1 - Project Information'!$C$8*1000)</f>
        <v>39.53827325237075</v>
      </c>
      <c r="F17" s="429">
        <f t="shared" si="0"/>
        <v>0.22332832043646919</v>
      </c>
      <c r="G17" s="389"/>
      <c r="H17" s="389"/>
      <c r="I17" s="389"/>
      <c r="J17" s="389"/>
    </row>
    <row r="18" spans="1:10" ht="16" x14ac:dyDescent="0.2">
      <c r="A18" s="389"/>
      <c r="B18" s="430"/>
      <c r="C18" s="431" t="s">
        <v>717</v>
      </c>
      <c r="D18" s="660">
        <v>369064.28380133415</v>
      </c>
      <c r="E18" s="432">
        <f>D18/('STEP 1 - Project Information'!$C$8*1000)</f>
        <v>1.2302142793377806</v>
      </c>
      <c r="F18" s="433">
        <f t="shared" si="0"/>
        <v>6.9487528458262683E-3</v>
      </c>
      <c r="G18" s="389"/>
      <c r="H18" s="389"/>
      <c r="I18" s="389"/>
      <c r="J18" s="389"/>
    </row>
    <row r="19" spans="1:10" ht="16" x14ac:dyDescent="0.2">
      <c r="A19" s="389"/>
      <c r="B19" s="430"/>
      <c r="C19" s="431" t="s">
        <v>458</v>
      </c>
      <c r="D19" s="660">
        <v>4239947.7575955112</v>
      </c>
      <c r="E19" s="432">
        <f>D19/('STEP 1 - Project Information'!$C$8*1000)</f>
        <v>14.133159191985037</v>
      </c>
      <c r="F19" s="433">
        <f t="shared" si="0"/>
        <v>7.9829857127562034E-2</v>
      </c>
      <c r="G19" s="389"/>
      <c r="H19" s="389"/>
      <c r="I19" s="389"/>
      <c r="J19" s="389"/>
    </row>
    <row r="20" spans="1:10" ht="16" x14ac:dyDescent="0.2">
      <c r="A20" s="389"/>
      <c r="B20" s="430"/>
      <c r="C20" s="431" t="s">
        <v>536</v>
      </c>
      <c r="D20" s="660">
        <v>6687637.4592805114</v>
      </c>
      <c r="E20" s="432">
        <f>D20/('STEP 1 - Project Information'!$C$8*1000)</f>
        <v>22.29212486426837</v>
      </c>
      <c r="F20" s="433">
        <f t="shared" si="0"/>
        <v>0.12591502853753475</v>
      </c>
      <c r="G20" s="389"/>
      <c r="H20" s="389"/>
      <c r="I20" s="389"/>
      <c r="J20" s="389"/>
    </row>
    <row r="21" spans="1:10" ht="15" customHeight="1" x14ac:dyDescent="0.2">
      <c r="A21" s="389"/>
      <c r="B21" s="430"/>
      <c r="C21" s="431" t="s">
        <v>716</v>
      </c>
      <c r="D21" s="660">
        <v>564832.47503386787</v>
      </c>
      <c r="E21" s="432">
        <f>D21/('STEP 1 - Project Information'!$C$8*1000)</f>
        <v>1.8827749167795595</v>
      </c>
      <c r="F21" s="433">
        <f t="shared" si="0"/>
        <v>1.0634681925546154E-2</v>
      </c>
      <c r="G21" s="389"/>
      <c r="H21" s="389"/>
      <c r="I21" s="389"/>
      <c r="J21" s="389"/>
    </row>
    <row r="22" spans="1:10" ht="15.75" customHeight="1" x14ac:dyDescent="0.2">
      <c r="A22" s="389"/>
      <c r="B22" s="426" t="s">
        <v>721</v>
      </c>
      <c r="C22" s="427" t="s">
        <v>16</v>
      </c>
      <c r="D22" s="659">
        <v>9622737.7574329153</v>
      </c>
      <c r="E22" s="428">
        <f>D22/('STEP 1 - Project Information'!$C$8*1000)</f>
        <v>32.075792524776382</v>
      </c>
      <c r="F22" s="429">
        <f t="shared" si="0"/>
        <v>0.18117718053854157</v>
      </c>
      <c r="G22" s="389"/>
      <c r="H22" s="389"/>
      <c r="I22" s="389"/>
      <c r="J22" s="389"/>
    </row>
    <row r="23" spans="1:10" ht="16" x14ac:dyDescent="0.2">
      <c r="A23" s="389"/>
      <c r="B23" s="430"/>
      <c r="C23" s="431" t="s">
        <v>717</v>
      </c>
      <c r="D23" s="660">
        <v>898693.79134698422</v>
      </c>
      <c r="E23" s="432">
        <f>D23/('STEP 1 - Project Information'!$C$8*1000)</f>
        <v>2.9956459711566139</v>
      </c>
      <c r="F23" s="433">
        <f t="shared" si="0"/>
        <v>1.6920632296974873E-2</v>
      </c>
      <c r="G23" s="389"/>
      <c r="H23" s="389"/>
      <c r="I23" s="389"/>
      <c r="J23" s="389"/>
    </row>
    <row r="24" spans="1:10" ht="16" x14ac:dyDescent="0.2">
      <c r="A24" s="389"/>
      <c r="B24" s="430"/>
      <c r="C24" s="431" t="s">
        <v>720</v>
      </c>
      <c r="D24" s="660">
        <v>34686</v>
      </c>
      <c r="E24" s="432">
        <f>D24/('STEP 1 - Project Information'!$C$8*1000)</f>
        <v>0.11562</v>
      </c>
      <c r="F24" s="433">
        <f t="shared" si="0"/>
        <v>6.5306899580689975E-4</v>
      </c>
      <c r="G24" s="389"/>
      <c r="H24" s="389"/>
      <c r="I24" s="389"/>
      <c r="J24" s="389"/>
    </row>
    <row r="25" spans="1:10" ht="16" x14ac:dyDescent="0.2">
      <c r="A25" s="389"/>
      <c r="B25" s="430"/>
      <c r="C25" s="431" t="s">
        <v>458</v>
      </c>
      <c r="D25" s="660">
        <v>7790047.9660859304</v>
      </c>
      <c r="E25" s="432">
        <f>D25/('STEP 1 - Project Information'!$C$8*1000)</f>
        <v>25.966826553619768</v>
      </c>
      <c r="F25" s="433">
        <f t="shared" si="0"/>
        <v>0.1466712449547172</v>
      </c>
      <c r="G25" s="389"/>
      <c r="H25" s="389"/>
      <c r="I25" s="389"/>
      <c r="J25" s="389"/>
    </row>
    <row r="26" spans="1:10" ht="16" x14ac:dyDescent="0.2">
      <c r="A26" s="389"/>
      <c r="B26" s="430"/>
      <c r="C26" s="431" t="s">
        <v>536</v>
      </c>
      <c r="D26" s="660">
        <v>0</v>
      </c>
      <c r="E26" s="432">
        <f>D26/('STEP 1 - Project Information'!$C$8*1000)</f>
        <v>0</v>
      </c>
      <c r="F26" s="433">
        <f t="shared" si="0"/>
        <v>0</v>
      </c>
      <c r="G26" s="389"/>
      <c r="H26" s="389"/>
      <c r="I26" s="389"/>
      <c r="J26" s="389"/>
    </row>
    <row r="27" spans="1:10" ht="16" x14ac:dyDescent="0.2">
      <c r="A27" s="389"/>
      <c r="B27" s="430"/>
      <c r="C27" s="431" t="s">
        <v>716</v>
      </c>
      <c r="D27" s="660">
        <v>899310</v>
      </c>
      <c r="E27" s="432">
        <f>D27/('STEP 1 - Project Information'!$C$8*1000)</f>
        <v>2.9977</v>
      </c>
      <c r="F27" s="433">
        <f t="shared" si="0"/>
        <v>1.6932234291042583E-2</v>
      </c>
      <c r="G27" s="389"/>
      <c r="H27" s="389"/>
      <c r="I27" s="389"/>
      <c r="J27" s="389"/>
    </row>
    <row r="28" spans="1:10" ht="16" x14ac:dyDescent="0.2">
      <c r="A28" s="389"/>
      <c r="B28" s="430"/>
      <c r="C28" s="431" t="s">
        <v>719</v>
      </c>
      <c r="D28" s="660">
        <v>0</v>
      </c>
      <c r="E28" s="432">
        <f>D28/('STEP 1 - Project Information'!$C$8*1000)</f>
        <v>0</v>
      </c>
      <c r="F28" s="433">
        <f t="shared" si="0"/>
        <v>0</v>
      </c>
      <c r="G28" s="389"/>
      <c r="H28" s="389"/>
      <c r="I28" s="389"/>
      <c r="J28" s="389"/>
    </row>
    <row r="29" spans="1:10" ht="16" x14ac:dyDescent="0.2">
      <c r="A29" s="389"/>
      <c r="B29" s="426" t="s">
        <v>718</v>
      </c>
      <c r="C29" s="427" t="s">
        <v>16</v>
      </c>
      <c r="D29" s="659">
        <v>7456958.4732831102</v>
      </c>
      <c r="E29" s="428">
        <f>D29/('STEP 1 - Project Information'!$C$8*1000)</f>
        <v>24.856528244277033</v>
      </c>
      <c r="F29" s="429">
        <f t="shared" si="0"/>
        <v>0.14039982649832072</v>
      </c>
      <c r="G29" s="389"/>
      <c r="H29" s="389"/>
      <c r="I29" s="389"/>
      <c r="J29" s="389"/>
    </row>
    <row r="30" spans="1:10" ht="16" x14ac:dyDescent="0.2">
      <c r="A30" s="389"/>
      <c r="B30" s="430"/>
      <c r="C30" s="431" t="s">
        <v>717</v>
      </c>
      <c r="D30" s="660">
        <v>659684.93109589384</v>
      </c>
      <c r="E30" s="432">
        <f>D30/('STEP 1 - Project Information'!$C$8*1000)</f>
        <v>2.1989497703196461</v>
      </c>
      <c r="F30" s="433">
        <f t="shared" si="0"/>
        <v>1.2420566669542157E-2</v>
      </c>
      <c r="G30" s="389"/>
      <c r="H30" s="389"/>
      <c r="I30" s="389"/>
      <c r="J30" s="389"/>
    </row>
    <row r="31" spans="1:10" ht="16" x14ac:dyDescent="0.2">
      <c r="A31" s="389"/>
      <c r="B31" s="430"/>
      <c r="C31" s="431" t="s">
        <v>458</v>
      </c>
      <c r="D31" s="660">
        <v>1773965.3638829268</v>
      </c>
      <c r="E31" s="432">
        <f>D31/('STEP 1 - Project Information'!$C$8*1000)</f>
        <v>5.9132178796097561</v>
      </c>
      <c r="F31" s="433">
        <f t="shared" si="0"/>
        <v>3.3400270391144682E-2</v>
      </c>
      <c r="G31" s="389"/>
      <c r="H31" s="389"/>
      <c r="I31" s="389"/>
      <c r="J31" s="389"/>
    </row>
    <row r="32" spans="1:10" ht="16" x14ac:dyDescent="0.2">
      <c r="A32" s="389"/>
      <c r="B32" s="430"/>
      <c r="C32" s="431" t="s">
        <v>536</v>
      </c>
      <c r="D32" s="660">
        <v>4668214.9176717605</v>
      </c>
      <c r="E32" s="432">
        <f>D32/('STEP 1 - Project Information'!$C$8*1000)</f>
        <v>15.560716392239202</v>
      </c>
      <c r="F32" s="433">
        <f t="shared" si="0"/>
        <v>8.7893283413904344E-2</v>
      </c>
      <c r="G32" s="389"/>
      <c r="H32" s="389"/>
      <c r="I32" s="389"/>
      <c r="J32" s="389"/>
    </row>
    <row r="33" spans="1:10" ht="16" x14ac:dyDescent="0.2">
      <c r="A33" s="389"/>
      <c r="B33" s="430"/>
      <c r="C33" s="431" t="s">
        <v>716</v>
      </c>
      <c r="D33" s="660">
        <v>355093.2606325291</v>
      </c>
      <c r="E33" s="432">
        <f>D33/('STEP 1 - Project Information'!$C$8*1000)</f>
        <v>1.1836442021084304</v>
      </c>
      <c r="F33" s="433">
        <f t="shared" si="0"/>
        <v>6.6857060237295596E-3</v>
      </c>
      <c r="G33" s="389"/>
      <c r="H33" s="389"/>
      <c r="I33" s="389"/>
      <c r="J33" s="389"/>
    </row>
    <row r="34" spans="1:10" ht="16" x14ac:dyDescent="0.2">
      <c r="A34" s="389"/>
      <c r="B34" s="426" t="s">
        <v>715</v>
      </c>
      <c r="C34" s="427" t="s">
        <v>16</v>
      </c>
      <c r="D34" s="659">
        <v>1563881.1528987759</v>
      </c>
      <c r="E34" s="428">
        <f>D34/('STEP 1 - Project Information'!$C$8*1000)</f>
        <v>5.2129371763292527</v>
      </c>
      <c r="F34" s="429">
        <f t="shared" si="0"/>
        <v>2.94447988838419E-2</v>
      </c>
      <c r="G34" s="389"/>
      <c r="H34" s="389"/>
      <c r="I34" s="389"/>
      <c r="J34" s="389"/>
    </row>
    <row r="35" spans="1:10" ht="16" x14ac:dyDescent="0.2">
      <c r="A35" s="389"/>
      <c r="B35" s="426" t="s">
        <v>714</v>
      </c>
      <c r="C35" s="427" t="s">
        <v>16</v>
      </c>
      <c r="D35" s="659">
        <v>6626455.233760477</v>
      </c>
      <c r="E35" s="428">
        <f>D35/('STEP 1 - Project Information'!$C$8*1000)</f>
        <v>22.088184112534922</v>
      </c>
      <c r="F35" s="429">
        <f t="shared" si="0"/>
        <v>0.12476308785306262</v>
      </c>
      <c r="G35" s="389"/>
      <c r="H35" s="389"/>
      <c r="I35" s="389"/>
      <c r="J35" s="389"/>
    </row>
    <row r="36" spans="1:10" ht="16" x14ac:dyDescent="0.2">
      <c r="A36" s="389"/>
      <c r="B36" s="426" t="s">
        <v>713</v>
      </c>
      <c r="C36" s="427" t="s">
        <v>16</v>
      </c>
      <c r="D36" s="659">
        <v>13164182.453833625</v>
      </c>
      <c r="E36" s="428">
        <f>D36/('STEP 1 - Project Information'!$C$8*1000)</f>
        <v>43.880608179445417</v>
      </c>
      <c r="F36" s="429">
        <f t="shared" si="0"/>
        <v>0.24785560213757524</v>
      </c>
      <c r="G36" s="389"/>
      <c r="H36" s="389"/>
      <c r="I36" s="389"/>
      <c r="J36" s="389"/>
    </row>
    <row r="37" spans="1:10" ht="16" x14ac:dyDescent="0.2">
      <c r="A37" s="389"/>
      <c r="B37" s="430"/>
      <c r="C37" s="431" t="s">
        <v>712</v>
      </c>
      <c r="D37" s="660">
        <v>257196.46919436837</v>
      </c>
      <c r="E37" s="432">
        <f>D37/('STEP 1 - Project Information'!$C$8*1000)</f>
        <v>0.85732156398122794</v>
      </c>
      <c r="F37" s="433">
        <f t="shared" si="0"/>
        <v>4.8425024465734408E-3</v>
      </c>
      <c r="G37" s="389"/>
      <c r="H37" s="389"/>
      <c r="I37" s="389"/>
      <c r="J37" s="389"/>
    </row>
    <row r="38" spans="1:10" ht="16" x14ac:dyDescent="0.2">
      <c r="A38" s="389"/>
      <c r="B38" s="430"/>
      <c r="C38" s="431" t="s">
        <v>711</v>
      </c>
      <c r="D38" s="660">
        <v>437229.63951422449</v>
      </c>
      <c r="E38" s="432">
        <f>D38/('STEP 1 - Project Information'!$C$8*1000)</f>
        <v>1.4574321317140817</v>
      </c>
      <c r="F38" s="433">
        <f t="shared" si="0"/>
        <v>8.232172104438891E-3</v>
      </c>
      <c r="G38" s="389"/>
      <c r="H38" s="389"/>
      <c r="I38" s="389"/>
      <c r="J38" s="389"/>
    </row>
    <row r="39" spans="1:10" ht="16" x14ac:dyDescent="0.2">
      <c r="A39" s="389"/>
      <c r="B39" s="430"/>
      <c r="C39" s="431" t="s">
        <v>710</v>
      </c>
      <c r="D39" s="660">
        <v>2047903.0070803107</v>
      </c>
      <c r="E39" s="432">
        <f>D39/('STEP 1 - Project Information'!$C$8*1000)</f>
        <v>6.8263433569343688</v>
      </c>
      <c r="F39" s="433">
        <f t="shared" si="0"/>
        <v>3.855797613861122E-2</v>
      </c>
      <c r="G39" s="389"/>
      <c r="H39" s="389"/>
      <c r="I39" s="389"/>
      <c r="J39" s="389"/>
    </row>
    <row r="40" spans="1:10" ht="16" x14ac:dyDescent="0.2">
      <c r="A40" s="389"/>
      <c r="B40" s="430"/>
      <c r="C40" s="431" t="s">
        <v>709</v>
      </c>
      <c r="D40" s="660">
        <v>459279.40927565785</v>
      </c>
      <c r="E40" s="432">
        <f>D40/('STEP 1 - Project Information'!$C$8*1000)</f>
        <v>1.5309313642521929</v>
      </c>
      <c r="F40" s="433">
        <f t="shared" si="0"/>
        <v>8.6473257974525736E-3</v>
      </c>
      <c r="G40" s="389"/>
      <c r="H40" s="389"/>
      <c r="I40" s="389"/>
      <c r="J40" s="389"/>
    </row>
    <row r="41" spans="1:10" ht="16" x14ac:dyDescent="0.2">
      <c r="A41" s="389"/>
      <c r="B41" s="430"/>
      <c r="C41" s="431" t="s">
        <v>708</v>
      </c>
      <c r="D41" s="660">
        <v>2376670</v>
      </c>
      <c r="E41" s="432">
        <f>D41/('STEP 1 - Project Information'!$C$8*1000)</f>
        <v>7.9222333333333337</v>
      </c>
      <c r="F41" s="433">
        <f t="shared" si="0"/>
        <v>4.4748010444109566E-2</v>
      </c>
      <c r="G41" s="389"/>
      <c r="H41" s="389"/>
      <c r="I41" s="389"/>
      <c r="J41" s="389"/>
    </row>
    <row r="42" spans="1:10" ht="16" x14ac:dyDescent="0.2">
      <c r="A42" s="389"/>
      <c r="B42" s="430"/>
      <c r="C42" s="431" t="s">
        <v>707</v>
      </c>
      <c r="D42" s="660">
        <v>1606086.02</v>
      </c>
      <c r="E42" s="432">
        <f>D42/('STEP 1 - Project Information'!$C$8*1000)</f>
        <v>5.3536200666666671</v>
      </c>
      <c r="F42" s="433">
        <f t="shared" si="0"/>
        <v>3.0239433323557063E-2</v>
      </c>
      <c r="G42" s="389"/>
      <c r="H42" s="389"/>
      <c r="I42" s="389"/>
      <c r="J42" s="389"/>
    </row>
    <row r="43" spans="1:10" ht="35" customHeight="1" x14ac:dyDescent="0.25">
      <c r="A43" s="389"/>
      <c r="B43" s="406" t="s">
        <v>706</v>
      </c>
      <c r="C43" s="407"/>
      <c r="D43" s="408">
        <f>D5+D12+D13+D14+D15+D16+D18+D19+D20+D21+D23+D24+D25+D26+D27+D28+D30+D31+D32+D33+D34+D35+D37+D38+D39+D40+D41+D42</f>
        <v>53112305.472630337</v>
      </c>
      <c r="E43" s="408">
        <f>SUM(E5,E11,E17,E22,E29,E34,E35,E36)</f>
        <v>196.97374460466466</v>
      </c>
      <c r="F43" s="409">
        <f>SUM(F5,F11,F17,F22,F29,F34,F35,F36)</f>
        <v>1.1125881818828325</v>
      </c>
      <c r="G43" s="389"/>
      <c r="H43" s="389"/>
      <c r="I43" s="389"/>
      <c r="J43" s="389"/>
    </row>
    <row r="44" spans="1:10" x14ac:dyDescent="0.2">
      <c r="A44" s="389"/>
      <c r="B44" s="389"/>
      <c r="C44" s="389"/>
      <c r="D44" s="389"/>
      <c r="E44" s="389"/>
      <c r="F44" s="389"/>
      <c r="G44" s="389"/>
      <c r="H44" s="389"/>
      <c r="I44" s="389"/>
      <c r="J44" s="389"/>
    </row>
    <row r="45" spans="1:10" x14ac:dyDescent="0.2">
      <c r="A45" s="389"/>
      <c r="B45" s="389"/>
      <c r="C45" s="389"/>
      <c r="D45" s="389"/>
      <c r="E45" s="389"/>
      <c r="F45" s="389"/>
      <c r="G45" s="389"/>
      <c r="H45" s="389"/>
      <c r="I45" s="389"/>
      <c r="J45" s="389"/>
    </row>
    <row r="46" spans="1:10" x14ac:dyDescent="0.2">
      <c r="A46" s="389"/>
      <c r="B46" s="389"/>
      <c r="C46" s="389"/>
      <c r="D46" s="389"/>
      <c r="E46" s="389"/>
      <c r="F46" s="389"/>
      <c r="G46" s="389"/>
      <c r="H46" s="389"/>
      <c r="I46" s="389"/>
      <c r="J46" s="389"/>
    </row>
    <row r="47" spans="1:10" x14ac:dyDescent="0.2">
      <c r="A47" s="389"/>
      <c r="B47" s="389"/>
      <c r="C47" s="389"/>
      <c r="D47" s="389"/>
      <c r="E47" s="389"/>
      <c r="F47" s="389"/>
      <c r="G47" s="389"/>
      <c r="H47" s="389"/>
      <c r="I47" s="389"/>
      <c r="J47" s="389"/>
    </row>
    <row r="48" spans="1:10" x14ac:dyDescent="0.2">
      <c r="A48" s="389"/>
      <c r="B48" s="389"/>
      <c r="C48" s="389"/>
      <c r="D48" s="389"/>
      <c r="E48" s="389"/>
      <c r="F48" s="389"/>
      <c r="G48" s="389"/>
      <c r="H48" s="389"/>
      <c r="I48" s="389"/>
      <c r="J48" s="389"/>
    </row>
    <row r="49" spans="1:10" x14ac:dyDescent="0.2">
      <c r="A49" s="389"/>
      <c r="B49" s="389"/>
      <c r="C49" s="389"/>
      <c r="D49" s="389"/>
      <c r="E49" s="389"/>
      <c r="F49" s="389"/>
      <c r="G49" s="389"/>
      <c r="H49" s="389"/>
      <c r="I49" s="389"/>
      <c r="J49" s="389"/>
    </row>
    <row r="50" spans="1:10" x14ac:dyDescent="0.2">
      <c r="A50" s="389"/>
      <c r="B50" s="389"/>
      <c r="C50" s="389"/>
      <c r="D50" s="389"/>
      <c r="E50" s="389"/>
      <c r="F50" s="389"/>
      <c r="G50" s="389"/>
      <c r="H50" s="389"/>
      <c r="I50" s="389"/>
      <c r="J50" s="389"/>
    </row>
    <row r="51" spans="1:10" x14ac:dyDescent="0.2">
      <c r="A51" s="389"/>
      <c r="B51" s="389"/>
      <c r="C51" s="389"/>
      <c r="D51" s="389"/>
      <c r="E51" s="389"/>
      <c r="F51" s="389"/>
      <c r="G51" s="389"/>
      <c r="H51" s="389"/>
      <c r="I51" s="389"/>
      <c r="J51" s="389"/>
    </row>
    <row r="52" spans="1:10" x14ac:dyDescent="0.2">
      <c r="A52" s="389"/>
      <c r="B52" s="389"/>
      <c r="C52" s="389"/>
      <c r="D52" s="389"/>
      <c r="E52" s="389"/>
      <c r="F52" s="389"/>
      <c r="G52" s="389"/>
      <c r="H52" s="389"/>
      <c r="I52" s="389"/>
      <c r="J52" s="389"/>
    </row>
    <row r="53" spans="1:10" x14ac:dyDescent="0.2">
      <c r="A53" s="389"/>
      <c r="B53" s="389"/>
      <c r="C53" s="389"/>
      <c r="D53" s="389"/>
      <c r="E53" s="389"/>
      <c r="F53" s="389"/>
      <c r="G53" s="389"/>
      <c r="H53" s="389"/>
      <c r="I53" s="389"/>
      <c r="J53" s="389"/>
    </row>
    <row r="54" spans="1:10" x14ac:dyDescent="0.2">
      <c r="A54" s="389"/>
      <c r="B54" s="389"/>
      <c r="C54" s="389"/>
      <c r="D54" s="389"/>
      <c r="E54" s="389"/>
      <c r="F54" s="389"/>
      <c r="G54" s="389"/>
      <c r="H54" s="389"/>
      <c r="I54" s="389"/>
      <c r="J54" s="389"/>
    </row>
    <row r="55" spans="1:10" x14ac:dyDescent="0.2">
      <c r="A55" s="389"/>
      <c r="B55" s="389"/>
      <c r="C55" s="389"/>
      <c r="D55" s="389"/>
      <c r="E55" s="389"/>
      <c r="F55" s="389"/>
      <c r="G55" s="389"/>
      <c r="H55" s="389"/>
      <c r="I55" s="389"/>
      <c r="J55" s="389"/>
    </row>
    <row r="56" spans="1:10" x14ac:dyDescent="0.2">
      <c r="A56" s="389"/>
      <c r="B56" s="389"/>
      <c r="C56" s="389"/>
      <c r="D56" s="389"/>
      <c r="E56" s="389"/>
      <c r="F56" s="389"/>
      <c r="G56" s="389"/>
      <c r="H56" s="389"/>
      <c r="I56" s="389"/>
      <c r="J56" s="389"/>
    </row>
    <row r="57" spans="1:10" x14ac:dyDescent="0.2">
      <c r="A57" s="389"/>
      <c r="B57" s="389"/>
      <c r="C57" s="389"/>
      <c r="D57" s="389"/>
      <c r="E57" s="389"/>
      <c r="F57" s="389"/>
      <c r="G57" s="389"/>
      <c r="H57" s="389"/>
      <c r="I57" s="389"/>
      <c r="J57" s="389"/>
    </row>
    <row r="58" spans="1:10" x14ac:dyDescent="0.2">
      <c r="A58" s="389"/>
      <c r="B58" s="389"/>
      <c r="C58" s="389"/>
      <c r="D58" s="389"/>
      <c r="E58" s="389"/>
      <c r="F58" s="389"/>
      <c r="G58" s="389"/>
      <c r="H58" s="389"/>
      <c r="I58" s="389"/>
      <c r="J58" s="389"/>
    </row>
    <row r="59" spans="1:10" x14ac:dyDescent="0.2">
      <c r="A59" s="389"/>
      <c r="B59" s="389"/>
      <c r="C59" s="389"/>
      <c r="D59" s="389"/>
      <c r="E59" s="389"/>
      <c r="F59" s="389"/>
      <c r="G59" s="389"/>
      <c r="H59" s="389"/>
      <c r="I59" s="389"/>
      <c r="J59" s="389"/>
    </row>
    <row r="60" spans="1:10" x14ac:dyDescent="0.2">
      <c r="A60" s="389"/>
      <c r="B60" s="389"/>
      <c r="C60" s="389"/>
      <c r="D60" s="389"/>
      <c r="E60" s="389"/>
      <c r="F60" s="389"/>
      <c r="G60" s="389"/>
      <c r="H60" s="389"/>
      <c r="I60" s="389"/>
      <c r="J60" s="389"/>
    </row>
    <row r="61" spans="1:10" x14ac:dyDescent="0.2">
      <c r="A61" s="389"/>
      <c r="B61" s="389"/>
      <c r="C61" s="389"/>
      <c r="D61" s="389"/>
      <c r="E61" s="389"/>
      <c r="F61" s="389"/>
      <c r="G61" s="389"/>
      <c r="H61" s="389"/>
      <c r="I61" s="389"/>
      <c r="J61" s="389"/>
    </row>
    <row r="62" spans="1:10" x14ac:dyDescent="0.2">
      <c r="A62" s="389"/>
      <c r="B62" s="389"/>
      <c r="C62" s="389"/>
      <c r="D62" s="389"/>
      <c r="E62" s="389"/>
      <c r="F62" s="389"/>
      <c r="G62" s="389"/>
      <c r="H62" s="389"/>
      <c r="I62" s="389"/>
      <c r="J62" s="389"/>
    </row>
    <row r="63" spans="1:10" x14ac:dyDescent="0.2">
      <c r="A63" s="389"/>
      <c r="B63" s="389"/>
      <c r="C63" s="389"/>
      <c r="D63" s="389"/>
      <c r="E63" s="389"/>
      <c r="F63" s="389"/>
      <c r="G63" s="389"/>
      <c r="H63" s="389"/>
      <c r="I63" s="389"/>
      <c r="J63" s="389"/>
    </row>
    <row r="64" spans="1:10" x14ac:dyDescent="0.2">
      <c r="A64" s="389"/>
      <c r="B64" s="389"/>
      <c r="C64" s="389"/>
      <c r="D64" s="389"/>
      <c r="E64" s="389"/>
      <c r="F64" s="389"/>
      <c r="G64" s="389"/>
      <c r="H64" s="389"/>
      <c r="I64" s="389"/>
      <c r="J64" s="389"/>
    </row>
    <row r="65" spans="1:10" x14ac:dyDescent="0.2">
      <c r="A65" s="389"/>
      <c r="B65" s="389"/>
      <c r="C65" s="389"/>
      <c r="D65" s="389"/>
      <c r="E65" s="389"/>
      <c r="F65" s="389"/>
      <c r="G65" s="389"/>
      <c r="H65" s="389"/>
      <c r="I65" s="389"/>
      <c r="J65" s="389"/>
    </row>
    <row r="66" spans="1:10" x14ac:dyDescent="0.2">
      <c r="A66" s="389"/>
      <c r="B66" s="389"/>
      <c r="C66" s="389"/>
      <c r="D66" s="389"/>
      <c r="E66" s="389"/>
      <c r="F66" s="389"/>
      <c r="G66" s="389"/>
      <c r="H66" s="389"/>
      <c r="I66" s="389"/>
      <c r="J66" s="389"/>
    </row>
    <row r="67" spans="1:10" x14ac:dyDescent="0.2">
      <c r="A67" s="389"/>
      <c r="B67" s="389"/>
      <c r="C67" s="389"/>
      <c r="D67" s="389"/>
      <c r="E67" s="389"/>
      <c r="F67" s="389"/>
      <c r="G67" s="389"/>
      <c r="H67" s="389"/>
      <c r="I67" s="389"/>
      <c r="J67" s="389"/>
    </row>
    <row r="68" spans="1:10" x14ac:dyDescent="0.2">
      <c r="A68" s="389"/>
      <c r="B68" s="389"/>
      <c r="C68" s="389"/>
      <c r="D68" s="389"/>
      <c r="E68" s="389"/>
      <c r="F68" s="389"/>
      <c r="G68" s="389"/>
      <c r="H68" s="389"/>
      <c r="I68" s="389"/>
      <c r="J68" s="389"/>
    </row>
    <row r="69" spans="1:10" x14ac:dyDescent="0.2">
      <c r="A69" s="389"/>
      <c r="B69" s="389"/>
      <c r="C69" s="389"/>
      <c r="D69" s="389"/>
      <c r="E69" s="389"/>
      <c r="F69" s="389"/>
      <c r="G69" s="389"/>
      <c r="H69" s="389"/>
      <c r="I69" s="389"/>
      <c r="J69" s="389"/>
    </row>
    <row r="70" spans="1:10" x14ac:dyDescent="0.2">
      <c r="A70" s="389"/>
      <c r="B70" s="389"/>
      <c r="C70" s="389"/>
      <c r="D70" s="389"/>
      <c r="E70" s="389"/>
      <c r="F70" s="389"/>
      <c r="G70" s="389"/>
      <c r="H70" s="389"/>
      <c r="I70" s="389"/>
      <c r="J70" s="389"/>
    </row>
    <row r="71" spans="1:10" x14ac:dyDescent="0.2">
      <c r="A71" s="389"/>
      <c r="B71" s="389"/>
      <c r="C71" s="389"/>
      <c r="D71" s="389"/>
      <c r="E71" s="389"/>
      <c r="F71" s="389"/>
      <c r="G71" s="389"/>
      <c r="H71" s="389"/>
      <c r="I71" s="389"/>
      <c r="J71" s="389"/>
    </row>
    <row r="72" spans="1:10" x14ac:dyDescent="0.2">
      <c r="A72" s="389"/>
      <c r="B72" s="389"/>
      <c r="C72" s="389"/>
      <c r="D72" s="389"/>
      <c r="E72" s="389"/>
      <c r="F72" s="389"/>
      <c r="G72" s="389"/>
      <c r="H72" s="389"/>
      <c r="I72" s="389"/>
      <c r="J72" s="389"/>
    </row>
    <row r="73" spans="1:10" x14ac:dyDescent="0.2">
      <c r="A73" s="389"/>
      <c r="B73" s="389"/>
      <c r="C73" s="389"/>
      <c r="D73" s="389"/>
      <c r="E73" s="389"/>
      <c r="F73" s="389"/>
      <c r="G73" s="389"/>
      <c r="H73" s="389"/>
      <c r="I73" s="389"/>
      <c r="J73" s="389"/>
    </row>
    <row r="74" spans="1:10" x14ac:dyDescent="0.2">
      <c r="A74" s="389"/>
      <c r="B74" s="389"/>
      <c r="C74" s="389"/>
      <c r="D74" s="389"/>
      <c r="E74" s="389"/>
      <c r="F74" s="389"/>
      <c r="G74" s="389"/>
      <c r="H74" s="389"/>
      <c r="I74" s="389"/>
      <c r="J74" s="389"/>
    </row>
    <row r="75" spans="1:10" x14ac:dyDescent="0.2">
      <c r="A75" s="389"/>
      <c r="B75" s="389"/>
      <c r="C75" s="389"/>
      <c r="D75" s="389"/>
      <c r="E75" s="389"/>
      <c r="F75" s="389"/>
      <c r="G75" s="389"/>
      <c r="H75" s="389"/>
      <c r="I75" s="389"/>
      <c r="J75" s="389"/>
    </row>
    <row r="76" spans="1:10" x14ac:dyDescent="0.2">
      <c r="A76" s="389"/>
      <c r="B76" s="389"/>
      <c r="C76" s="389"/>
      <c r="D76" s="389"/>
      <c r="E76" s="389"/>
      <c r="F76" s="389"/>
      <c r="G76" s="389"/>
      <c r="H76" s="389"/>
      <c r="I76" s="389"/>
      <c r="J76" s="389"/>
    </row>
    <row r="77" spans="1:10" x14ac:dyDescent="0.2">
      <c r="A77" s="389"/>
      <c r="B77" s="389"/>
      <c r="C77" s="389"/>
      <c r="D77" s="389"/>
      <c r="E77" s="389"/>
      <c r="F77" s="389"/>
      <c r="G77" s="389"/>
      <c r="H77" s="389"/>
      <c r="I77" s="389"/>
      <c r="J77" s="389"/>
    </row>
    <row r="78" spans="1:10" x14ac:dyDescent="0.2">
      <c r="A78" s="389"/>
      <c r="B78" s="389"/>
      <c r="C78" s="389"/>
      <c r="D78" s="389"/>
      <c r="E78" s="389"/>
      <c r="F78" s="389"/>
      <c r="G78" s="389"/>
      <c r="H78" s="389"/>
      <c r="I78" s="389"/>
      <c r="J78" s="389"/>
    </row>
    <row r="79" spans="1:10" x14ac:dyDescent="0.2">
      <c r="A79" s="389"/>
      <c r="B79" s="389"/>
      <c r="C79" s="389"/>
      <c r="D79" s="389"/>
      <c r="E79" s="389"/>
      <c r="F79" s="389"/>
      <c r="G79" s="389"/>
      <c r="H79" s="389"/>
      <c r="I79" s="389"/>
      <c r="J79" s="389"/>
    </row>
    <row r="80" spans="1:10" x14ac:dyDescent="0.2">
      <c r="A80" s="389"/>
      <c r="B80" s="389"/>
      <c r="C80" s="389"/>
      <c r="D80" s="389"/>
      <c r="E80" s="389"/>
      <c r="F80" s="389"/>
      <c r="G80" s="389"/>
      <c r="H80" s="389"/>
      <c r="I80" s="389"/>
      <c r="J80" s="389"/>
    </row>
    <row r="81" spans="1:10" x14ac:dyDescent="0.2">
      <c r="A81" s="389"/>
      <c r="B81" s="389"/>
      <c r="C81" s="389"/>
      <c r="D81" s="389"/>
      <c r="E81" s="389"/>
      <c r="F81" s="389"/>
      <c r="G81" s="389"/>
      <c r="H81" s="389"/>
      <c r="I81" s="389"/>
      <c r="J81" s="389"/>
    </row>
    <row r="82" spans="1:10" x14ac:dyDescent="0.2">
      <c r="A82" s="389"/>
      <c r="B82" s="389"/>
      <c r="C82" s="389"/>
      <c r="D82" s="389"/>
      <c r="E82" s="389"/>
      <c r="F82" s="389"/>
      <c r="G82" s="389"/>
      <c r="H82" s="389"/>
      <c r="I82" s="389"/>
      <c r="J82" s="389"/>
    </row>
    <row r="83" spans="1:10" x14ac:dyDescent="0.2">
      <c r="A83" s="389"/>
      <c r="B83" s="389"/>
      <c r="C83" s="389"/>
      <c r="D83" s="389"/>
      <c r="E83" s="389"/>
      <c r="F83" s="389"/>
      <c r="G83" s="389"/>
      <c r="H83" s="389"/>
      <c r="I83" s="389"/>
      <c r="J83" s="389"/>
    </row>
    <row r="84" spans="1:10" x14ac:dyDescent="0.2">
      <c r="A84" s="389"/>
      <c r="B84" s="389"/>
      <c r="C84" s="389"/>
      <c r="D84" s="389"/>
      <c r="E84" s="389"/>
      <c r="F84" s="389"/>
      <c r="G84" s="389"/>
      <c r="H84" s="389"/>
      <c r="I84" s="389"/>
      <c r="J84" s="389"/>
    </row>
    <row r="85" spans="1:10" x14ac:dyDescent="0.2">
      <c r="A85" s="389"/>
      <c r="B85" s="389"/>
      <c r="C85" s="389"/>
      <c r="D85" s="389"/>
      <c r="E85" s="389"/>
      <c r="F85" s="389"/>
      <c r="G85" s="389"/>
      <c r="H85" s="389"/>
      <c r="I85" s="389"/>
      <c r="J85" s="389"/>
    </row>
    <row r="86" spans="1:10" x14ac:dyDescent="0.2">
      <c r="A86" s="389"/>
      <c r="B86" s="389"/>
      <c r="C86" s="389"/>
      <c r="D86" s="389"/>
      <c r="E86" s="389"/>
      <c r="F86" s="389"/>
      <c r="G86" s="389"/>
      <c r="H86" s="389"/>
      <c r="I86" s="389"/>
      <c r="J86" s="389"/>
    </row>
    <row r="87" spans="1:10" x14ac:dyDescent="0.2">
      <c r="A87" s="389"/>
      <c r="B87" s="389"/>
      <c r="C87" s="389"/>
      <c r="D87" s="389"/>
      <c r="E87" s="389"/>
      <c r="F87" s="389"/>
      <c r="G87" s="389"/>
      <c r="H87" s="389"/>
      <c r="I87" s="389"/>
      <c r="J87" s="389"/>
    </row>
    <row r="88" spans="1:10" x14ac:dyDescent="0.2">
      <c r="A88" s="389"/>
      <c r="B88" s="389"/>
      <c r="C88" s="389"/>
      <c r="D88" s="389"/>
      <c r="E88" s="389"/>
      <c r="F88" s="389"/>
      <c r="G88" s="389"/>
      <c r="H88" s="389"/>
      <c r="I88" s="389"/>
      <c r="J88" s="389"/>
    </row>
    <row r="89" spans="1:10" x14ac:dyDescent="0.2">
      <c r="A89" s="389"/>
      <c r="B89" s="389"/>
      <c r="C89" s="389"/>
      <c r="D89" s="389"/>
      <c r="E89" s="389"/>
      <c r="F89" s="389"/>
      <c r="G89" s="389"/>
      <c r="H89" s="389"/>
      <c r="I89" s="389"/>
      <c r="J89" s="389"/>
    </row>
    <row r="90" spans="1:10" x14ac:dyDescent="0.2">
      <c r="A90" s="389"/>
      <c r="B90" s="389"/>
      <c r="C90" s="389"/>
      <c r="D90" s="389"/>
      <c r="E90" s="389"/>
      <c r="F90" s="389"/>
      <c r="G90" s="389"/>
      <c r="H90" s="389"/>
      <c r="I90" s="389"/>
      <c r="J90" s="389"/>
    </row>
    <row r="91" spans="1:10" x14ac:dyDescent="0.2">
      <c r="A91" s="389"/>
      <c r="B91" s="389"/>
      <c r="C91" s="389"/>
      <c r="D91" s="389"/>
      <c r="E91" s="389"/>
      <c r="F91" s="389"/>
      <c r="G91" s="389"/>
      <c r="H91" s="389"/>
      <c r="I91" s="389"/>
      <c r="J91" s="389"/>
    </row>
    <row r="92" spans="1:10" x14ac:dyDescent="0.2">
      <c r="A92" s="389"/>
      <c r="B92" s="389"/>
      <c r="C92" s="389"/>
      <c r="D92" s="389"/>
      <c r="E92" s="389"/>
      <c r="F92" s="389"/>
      <c r="G92" s="389"/>
      <c r="H92" s="389"/>
      <c r="I92" s="389"/>
      <c r="J92" s="389"/>
    </row>
    <row r="93" spans="1:10" x14ac:dyDescent="0.2">
      <c r="A93" s="389"/>
      <c r="B93" s="389"/>
      <c r="C93" s="389"/>
      <c r="D93" s="389"/>
      <c r="E93" s="389"/>
      <c r="F93" s="389"/>
      <c r="G93" s="389"/>
      <c r="H93" s="389"/>
      <c r="I93" s="389"/>
      <c r="J93" s="389"/>
    </row>
    <row r="94" spans="1:10" x14ac:dyDescent="0.2">
      <c r="A94" s="389"/>
      <c r="B94" s="389"/>
      <c r="C94" s="389"/>
      <c r="D94" s="389"/>
      <c r="E94" s="389"/>
      <c r="F94" s="389"/>
      <c r="G94" s="389"/>
      <c r="H94" s="389"/>
      <c r="I94" s="389"/>
      <c r="J94" s="389"/>
    </row>
    <row r="95" spans="1:10" x14ac:dyDescent="0.2">
      <c r="A95" s="389"/>
      <c r="B95" s="389"/>
      <c r="C95" s="389"/>
      <c r="D95" s="389"/>
      <c r="E95" s="389"/>
      <c r="F95" s="389"/>
      <c r="G95" s="389"/>
      <c r="H95" s="389"/>
      <c r="I95" s="389"/>
      <c r="J95" s="389"/>
    </row>
    <row r="96" spans="1:10" x14ac:dyDescent="0.2">
      <c r="A96" s="389"/>
      <c r="B96" s="389"/>
      <c r="C96" s="389"/>
      <c r="D96" s="389"/>
      <c r="E96" s="389"/>
      <c r="F96" s="389"/>
      <c r="G96" s="389"/>
      <c r="H96" s="389"/>
      <c r="I96" s="389"/>
      <c r="J96" s="389"/>
    </row>
    <row r="97" spans="1:10" x14ac:dyDescent="0.2">
      <c r="A97" s="389"/>
      <c r="B97" s="389"/>
      <c r="C97" s="389"/>
      <c r="D97" s="389"/>
      <c r="E97" s="389"/>
      <c r="F97" s="389"/>
      <c r="G97" s="389"/>
      <c r="H97" s="389"/>
      <c r="I97" s="389"/>
      <c r="J97" s="389"/>
    </row>
    <row r="98" spans="1:10" x14ac:dyDescent="0.2">
      <c r="A98" s="389"/>
      <c r="B98" s="389"/>
      <c r="C98" s="389"/>
      <c r="D98" s="389"/>
      <c r="E98" s="389"/>
      <c r="F98" s="389"/>
      <c r="G98" s="389"/>
      <c r="H98" s="389"/>
      <c r="I98" s="389"/>
      <c r="J98" s="389"/>
    </row>
    <row r="99" spans="1:10" x14ac:dyDescent="0.2">
      <c r="A99" s="389"/>
      <c r="B99" s="389"/>
      <c r="C99" s="389"/>
      <c r="D99" s="389"/>
      <c r="E99" s="389"/>
      <c r="F99" s="389"/>
      <c r="G99" s="389"/>
      <c r="H99" s="389"/>
      <c r="I99" s="389"/>
      <c r="J99" s="389"/>
    </row>
    <row r="100" spans="1:10" x14ac:dyDescent="0.2">
      <c r="A100" s="389"/>
      <c r="B100" s="389"/>
      <c r="C100" s="389"/>
      <c r="D100" s="389"/>
      <c r="E100" s="389"/>
      <c r="F100" s="389"/>
      <c r="G100" s="389"/>
      <c r="H100" s="389"/>
      <c r="I100" s="389"/>
      <c r="J100" s="389"/>
    </row>
    <row r="101" spans="1:10" x14ac:dyDescent="0.2">
      <c r="A101" s="389"/>
      <c r="B101" s="389"/>
      <c r="C101" s="389"/>
      <c r="D101" s="389"/>
      <c r="E101" s="389"/>
      <c r="F101" s="389"/>
      <c r="G101" s="389"/>
      <c r="H101" s="389"/>
      <c r="I101" s="389"/>
      <c r="J101" s="389"/>
    </row>
    <row r="102" spans="1:10" x14ac:dyDescent="0.2">
      <c r="B102" s="389"/>
      <c r="C102" s="389"/>
      <c r="D102" s="389"/>
      <c r="E102" s="389"/>
      <c r="F102" s="389"/>
      <c r="G102" s="389"/>
      <c r="H102" s="389"/>
      <c r="I102" s="389"/>
      <c r="J102" s="389"/>
    </row>
    <row r="139" spans="2:3" x14ac:dyDescent="0.2">
      <c r="B139" s="317" t="str">
        <f>B5</f>
        <v>Development Costs</v>
      </c>
      <c r="C139" s="487">
        <f>F5</f>
        <v>9.6022945240592419E-2</v>
      </c>
    </row>
    <row r="140" spans="2:3" x14ac:dyDescent="0.2">
      <c r="B140" s="317" t="str">
        <f t="shared" ref="B140" si="1">B11</f>
        <v>Site Preparation Costs</v>
      </c>
      <c r="C140" s="487">
        <f>F11</f>
        <v>6.9596420294428848E-2</v>
      </c>
    </row>
    <row r="141" spans="2:3" x14ac:dyDescent="0.2">
      <c r="B141" s="317" t="str">
        <f t="shared" ref="B141" si="2">B17</f>
        <v>Foundation Costs</v>
      </c>
      <c r="C141" s="487">
        <f>F17</f>
        <v>0.22332832043646919</v>
      </c>
    </row>
    <row r="142" spans="2:3" x14ac:dyDescent="0.2">
      <c r="B142" s="317" t="str">
        <f t="shared" ref="B142" si="3">B22</f>
        <v>Erection Costs</v>
      </c>
      <c r="C142" s="487">
        <f>F22</f>
        <v>0.18117718053854157</v>
      </c>
    </row>
    <row r="143" spans="2:3" x14ac:dyDescent="0.2">
      <c r="B143" s="317" t="str">
        <f t="shared" ref="B143" si="4">B29</f>
        <v>Collection Costs</v>
      </c>
      <c r="C143" s="487">
        <f>F29</f>
        <v>0.14039982649832072</v>
      </c>
    </row>
    <row r="144" spans="2:3" x14ac:dyDescent="0.2">
      <c r="B144" s="317" t="str">
        <f t="shared" ref="B144" si="5">B34</f>
        <v>Grid Connection Costs</v>
      </c>
      <c r="C144" s="487">
        <f>F34</f>
        <v>2.94447988838419E-2</v>
      </c>
    </row>
    <row r="145" spans="2:3" x14ac:dyDescent="0.2">
      <c r="B145" s="317" t="str">
        <f t="shared" ref="B145" si="6">B35</f>
        <v>Substation Costs</v>
      </c>
      <c r="C145" s="487">
        <f>F35</f>
        <v>0.12476308785306262</v>
      </c>
    </row>
    <row r="146" spans="2:3" x14ac:dyDescent="0.2">
      <c r="B146" s="317" t="str">
        <f t="shared" ref="B146" si="7">B36</f>
        <v>Management Costs</v>
      </c>
      <c r="C146" s="487">
        <f>F36</f>
        <v>0.24785560213757524</v>
      </c>
    </row>
    <row r="147" spans="2:3" x14ac:dyDescent="0.2">
      <c r="B147" s="317" t="str">
        <f>B43</f>
        <v>TOTAL BALANCE OF SYSTEM COSTS</v>
      </c>
      <c r="C147" s="487">
        <f>F43</f>
        <v>1.1125881818828325</v>
      </c>
    </row>
  </sheetData>
  <sheetProtection algorithmName="SHA-512" hashValue="Uxi6dFlj3j85e5ZRXMgXZAHdtSa55Uqz9F27h4kzaqTkM3ADWsx82zNj3ETyI4HLwfdRrIwa2PjUKSeIFpGwrQ==" saltValue="CuFsp2CuRwLAMHrt8epdPA==" spinCount="100000" sheet="1" objects="1" scenarios="1"/>
  <mergeCells count="7">
    <mergeCell ref="I11:L12"/>
    <mergeCell ref="B1:F1"/>
    <mergeCell ref="I3:J3"/>
    <mergeCell ref="B2:F2"/>
    <mergeCell ref="B4:C4"/>
    <mergeCell ref="B3:F3"/>
    <mergeCell ref="I4:J4"/>
  </mergeCells>
  <dataValidations count="1">
    <dataValidation type="list" allowBlank="1" showInputMessage="1" showErrorMessage="1" sqref="J7" xr:uid="{7E9BFD90-BC1E-954C-AFC2-D94FD060C269}">
      <formula1>constyears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Button 4">
              <controlPr defaultSize="0" print="0" autoFill="0" autoPict="0" macro="[0]!GoToStep3">
                <anchor moveWithCells="1" sizeWithCells="1">
                  <from>
                    <xdr:col>7</xdr:col>
                    <xdr:colOff>317500</xdr:colOff>
                    <xdr:row>12</xdr:row>
                    <xdr:rowOff>190500</xdr:rowOff>
                  </from>
                  <to>
                    <xdr:col>9</xdr:col>
                    <xdr:colOff>215900</xdr:colOff>
                    <xdr:row>16</xdr:row>
                    <xdr:rowOff>114300</xdr:rowOff>
                  </to>
                </anchor>
              </controlPr>
            </control>
          </mc:Choice>
        </mc:AlternateContent>
        <mc:AlternateContent xmlns:mc="http://schemas.openxmlformats.org/markup-compatibility/2006">
          <mc:Choice Requires="x14">
            <control shapeId="27656" r:id="rId5" name="Button 8">
              <controlPr defaultSize="0" print="0" autoFill="0" autoPict="0" macro="[0]!RestoreDefaultsStep2Costs" altText="Restore Default Equipment and O&amp;M Costs">
                <anchor moveWithCells="1" sizeWithCells="1">
                  <from>
                    <xdr:col>10</xdr:col>
                    <xdr:colOff>241300</xdr:colOff>
                    <xdr:row>3</xdr:row>
                    <xdr:rowOff>330200</xdr:rowOff>
                  </from>
                  <to>
                    <xdr:col>11</xdr:col>
                    <xdr:colOff>889000</xdr:colOff>
                    <xdr:row>7</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92D050"/>
  </sheetPr>
  <dimension ref="A1:AI738"/>
  <sheetViews>
    <sheetView zoomScaleNormal="100" workbookViewId="0">
      <selection activeCell="I65" sqref="I65"/>
    </sheetView>
  </sheetViews>
  <sheetFormatPr baseColWidth="10" defaultColWidth="8.83203125" defaultRowHeight="13" x14ac:dyDescent="0.15"/>
  <cols>
    <col min="1" max="1" width="50.6640625" style="146" customWidth="1"/>
    <col min="2" max="2" width="19.33203125" style="146" customWidth="1"/>
    <col min="3" max="3" width="11.5" style="146" customWidth="1"/>
    <col min="4" max="4" width="10.6640625" style="146" customWidth="1"/>
    <col min="5" max="5" width="17.83203125" style="146" customWidth="1"/>
    <col min="6" max="6" width="18.1640625" style="146" bestFit="1" customWidth="1"/>
    <col min="7" max="7" width="12.33203125" style="146" customWidth="1"/>
    <col min="8" max="8" width="12.33203125" style="146" bestFit="1" customWidth="1"/>
    <col min="9" max="9" width="12.33203125" style="146" customWidth="1"/>
    <col min="10" max="12" width="9.33203125" style="146"/>
    <col min="13" max="13" width="10.33203125" style="146" bestFit="1" customWidth="1"/>
    <col min="14" max="14" width="87.33203125" style="146" customWidth="1"/>
    <col min="15" max="15" width="24" style="146" customWidth="1"/>
    <col min="16" max="30" width="8.83203125" style="146"/>
    <col min="31" max="31" width="46.6640625" style="146" customWidth="1"/>
    <col min="32" max="32" width="13" style="146" customWidth="1"/>
    <col min="33" max="33" width="14.6640625" style="146" customWidth="1"/>
    <col min="34" max="34" width="12.6640625" style="146" customWidth="1"/>
    <col min="35" max="16384" width="8.83203125" style="146"/>
  </cols>
  <sheetData>
    <row r="1" spans="1:24" ht="26" customHeight="1" x14ac:dyDescent="0.2">
      <c r="A1" s="533" t="s">
        <v>492</v>
      </c>
      <c r="B1" s="534"/>
      <c r="C1" s="534"/>
      <c r="D1" s="534"/>
      <c r="E1" s="534"/>
      <c r="F1" s="534"/>
      <c r="G1" s="535"/>
      <c r="H1" s="535"/>
      <c r="I1" s="535"/>
      <c r="J1" s="535"/>
      <c r="K1" s="535"/>
      <c r="L1" s="535"/>
      <c r="M1" s="535"/>
      <c r="N1" s="535"/>
      <c r="O1" s="535"/>
      <c r="P1" s="535"/>
      <c r="Q1" s="535"/>
    </row>
    <row r="2" spans="1:24" ht="12.75" customHeight="1" x14ac:dyDescent="0.2">
      <c r="A2" s="536"/>
      <c r="B2" s="343"/>
      <c r="C2" s="343"/>
      <c r="D2" s="343"/>
      <c r="E2" s="343"/>
      <c r="F2" s="343"/>
      <c r="G2" s="535"/>
      <c r="H2" s="535"/>
      <c r="I2" s="535"/>
      <c r="J2" s="535"/>
      <c r="K2" s="535"/>
      <c r="L2" s="535"/>
      <c r="M2" s="535"/>
      <c r="N2" s="535"/>
      <c r="O2" s="535"/>
      <c r="P2" s="535"/>
      <c r="Q2" s="535"/>
    </row>
    <row r="3" spans="1:24" x14ac:dyDescent="0.15">
      <c r="A3" s="537" t="s">
        <v>783</v>
      </c>
      <c r="B3" s="343"/>
      <c r="C3" s="343"/>
      <c r="D3" s="343"/>
      <c r="E3" s="343"/>
      <c r="F3" s="343"/>
      <c r="G3" s="535"/>
      <c r="H3" s="535"/>
      <c r="I3" s="535"/>
      <c r="J3" s="535"/>
      <c r="K3" s="535"/>
      <c r="L3" s="535"/>
      <c r="M3" s="535"/>
      <c r="N3" s="535"/>
      <c r="O3" s="535"/>
      <c r="P3" s="535"/>
      <c r="Q3" s="535"/>
    </row>
    <row r="4" spans="1:24" x14ac:dyDescent="0.15">
      <c r="A4" s="537" t="s">
        <v>784</v>
      </c>
      <c r="B4" s="343"/>
      <c r="C4" s="343"/>
      <c r="D4" s="343"/>
      <c r="E4" s="343"/>
      <c r="F4" s="343"/>
      <c r="G4" s="535"/>
      <c r="H4" s="535"/>
      <c r="I4" s="535"/>
      <c r="J4" s="535"/>
      <c r="K4" s="535"/>
      <c r="L4" s="535"/>
      <c r="M4" s="535"/>
      <c r="N4" s="535"/>
      <c r="O4" s="535"/>
      <c r="P4" s="535"/>
      <c r="Q4" s="535"/>
    </row>
    <row r="5" spans="1:24" x14ac:dyDescent="0.15">
      <c r="A5" s="537" t="s">
        <v>785</v>
      </c>
      <c r="B5" s="343"/>
      <c r="C5" s="342"/>
      <c r="D5" s="343"/>
      <c r="E5" s="343"/>
      <c r="F5" s="343"/>
      <c r="G5" s="535"/>
      <c r="H5" s="535"/>
      <c r="I5" s="535"/>
      <c r="J5" s="535"/>
      <c r="K5" s="535"/>
      <c r="L5" s="535"/>
      <c r="M5" s="535"/>
      <c r="N5" s="535"/>
      <c r="O5" s="535"/>
      <c r="P5" s="535"/>
      <c r="Q5" s="535"/>
    </row>
    <row r="6" spans="1:24" x14ac:dyDescent="0.15">
      <c r="A6" s="537"/>
      <c r="B6" s="343"/>
      <c r="C6" s="343"/>
      <c r="D6" s="343"/>
      <c r="E6" s="343"/>
      <c r="F6" s="343"/>
      <c r="G6" s="535"/>
      <c r="H6" s="535"/>
      <c r="I6" s="535"/>
      <c r="J6" s="535"/>
      <c r="K6" s="535"/>
      <c r="L6" s="535"/>
      <c r="M6" s="535"/>
      <c r="N6" s="535"/>
      <c r="O6" s="535"/>
      <c r="P6" s="535"/>
      <c r="Q6" s="535"/>
    </row>
    <row r="7" spans="1:24" x14ac:dyDescent="0.15">
      <c r="A7" s="537"/>
      <c r="B7" s="343"/>
      <c r="C7" s="343"/>
      <c r="D7" s="343"/>
      <c r="E7" s="343"/>
      <c r="F7" s="343"/>
      <c r="G7" s="535"/>
      <c r="H7" s="535"/>
      <c r="I7" s="535"/>
      <c r="J7" s="535"/>
      <c r="K7" s="535"/>
      <c r="L7" s="535"/>
      <c r="M7" s="535"/>
      <c r="N7" s="535"/>
      <c r="O7" s="535"/>
      <c r="P7" s="535"/>
      <c r="Q7" s="535"/>
    </row>
    <row r="8" spans="1:24" x14ac:dyDescent="0.15">
      <c r="A8" s="537"/>
      <c r="B8" s="343"/>
      <c r="C8" s="343"/>
      <c r="D8" s="343"/>
      <c r="E8" s="343"/>
      <c r="F8" s="343"/>
      <c r="G8" s="535"/>
      <c r="H8" s="535"/>
      <c r="I8" s="535"/>
      <c r="J8" s="535"/>
      <c r="K8" s="535"/>
      <c r="L8" s="535"/>
      <c r="M8" s="535"/>
      <c r="N8" s="535"/>
      <c r="O8" s="535"/>
      <c r="P8" s="535"/>
      <c r="Q8" s="535"/>
    </row>
    <row r="9" spans="1:24" x14ac:dyDescent="0.15">
      <c r="A9" s="537"/>
      <c r="B9" s="343"/>
      <c r="C9" s="343"/>
      <c r="D9" s="343"/>
      <c r="E9" s="538"/>
      <c r="F9" s="343"/>
      <c r="G9" s="535"/>
      <c r="H9" s="535"/>
      <c r="I9" s="535"/>
      <c r="J9" s="535"/>
      <c r="K9" s="535"/>
      <c r="L9" s="535"/>
      <c r="M9" s="535"/>
      <c r="N9" s="535"/>
      <c r="O9" s="535"/>
      <c r="P9" s="535"/>
      <c r="Q9" s="535"/>
      <c r="X9" s="146">
        <v>2000</v>
      </c>
    </row>
    <row r="10" spans="1:24" ht="9.75" customHeight="1" x14ac:dyDescent="0.15">
      <c r="A10" s="537"/>
      <c r="B10" s="343"/>
      <c r="C10" s="343"/>
      <c r="D10" s="343"/>
      <c r="E10" s="343"/>
      <c r="F10" s="343"/>
      <c r="G10" s="535"/>
      <c r="H10" s="535"/>
      <c r="I10" s="535"/>
      <c r="J10" s="535"/>
      <c r="K10" s="535"/>
      <c r="L10" s="535"/>
      <c r="M10" s="535"/>
      <c r="N10" s="535"/>
      <c r="O10" s="535"/>
      <c r="P10" s="535"/>
      <c r="Q10" s="535"/>
      <c r="X10" s="146">
        <f>X9+1</f>
        <v>2001</v>
      </c>
    </row>
    <row r="11" spans="1:24" x14ac:dyDescent="0.15">
      <c r="A11" s="537"/>
      <c r="B11" s="343"/>
      <c r="C11" s="539" t="str">
        <f>IF(AND(OR(B13="MYCOUNTY",B13="MYSTATE"),ISBLANK('User Add-in Location'!B5)),"You must enter a state in the User Add-in Location tab that most closely represents your custom region.","")</f>
        <v/>
      </c>
      <c r="D11" s="343"/>
      <c r="E11" s="343"/>
      <c r="F11" s="343"/>
      <c r="G11" s="535"/>
      <c r="H11" s="535"/>
      <c r="I11" s="535"/>
      <c r="J11" s="535"/>
      <c r="K11" s="535"/>
      <c r="L11" s="535"/>
      <c r="M11" s="535"/>
      <c r="N11" s="535"/>
      <c r="O11" s="535"/>
      <c r="P11" s="535"/>
      <c r="Q11" s="535"/>
      <c r="X11" s="146">
        <f t="shared" ref="X11:X39" si="0">X10+1</f>
        <v>2002</v>
      </c>
    </row>
    <row r="12" spans="1:24" ht="16" x14ac:dyDescent="0.2">
      <c r="A12" s="540" t="s">
        <v>772</v>
      </c>
      <c r="B12" s="541"/>
      <c r="C12" s="542" t="str">
        <f>IF(B13="MYREGION",IF('User Add-in Location'!F23=0,"Error - No Regional multiplier data in User Add-in Location",""),IF(B13="MYCOUNTY",IF('User Add-in Location'!E23=0,"Error - No County multiplier data in User Add-in Location",""),""))</f>
        <v/>
      </c>
      <c r="D12" s="541"/>
      <c r="E12" s="541"/>
      <c r="F12" s="541"/>
      <c r="G12" s="535"/>
      <c r="H12" s="535"/>
      <c r="I12" s="535"/>
      <c r="J12" s="535"/>
      <c r="K12" s="535"/>
      <c r="L12" s="535"/>
      <c r="M12" s="535"/>
      <c r="N12" s="535"/>
      <c r="O12" s="535"/>
      <c r="P12" s="535"/>
      <c r="Q12" s="535"/>
      <c r="T12" s="179">
        <f>IF(B13="MYCOUNTY",IF(B14="",2,1),IF(B13="MYREGION",IF(B14="",2,1),0))</f>
        <v>0</v>
      </c>
      <c r="X12" s="146">
        <f t="shared" si="0"/>
        <v>2003</v>
      </c>
    </row>
    <row r="13" spans="1:24" ht="13.5" customHeight="1" x14ac:dyDescent="0.15">
      <c r="A13" s="537" t="s">
        <v>323</v>
      </c>
      <c r="B13" s="689" t="str">
        <f>'STEP 1 - Project Information'!C6</f>
        <v>COLORADO</v>
      </c>
      <c r="C13" s="543" t="str">
        <f>IF(B13="MYREGION",IF('User Add-in Location'!F23=0,"",IF(B13="MYREGION","          Enter Region Population","")),IF(B13="MYCOUNTY",IF('User Add-in Location'!E23=0,"",IF(B13="MYCOUNTY","                Enter County Population","")),""))</f>
        <v/>
      </c>
      <c r="D13" s="539" t="str">
        <f>IF(B106="NA","User must provide additional data in financial parameters section specific to MYCOUNTY or MYREGION being used","")</f>
        <v/>
      </c>
      <c r="E13" s="343"/>
      <c r="F13" s="343"/>
      <c r="G13" s="535"/>
      <c r="H13" s="535"/>
      <c r="I13" s="535"/>
      <c r="J13" s="535"/>
      <c r="K13" s="535"/>
      <c r="L13" s="535"/>
      <c r="M13" s="535"/>
      <c r="N13" s="535"/>
      <c r="O13" s="535"/>
      <c r="P13" s="535"/>
      <c r="Q13" s="535"/>
      <c r="X13" s="146">
        <f t="shared" si="0"/>
        <v>2004</v>
      </c>
    </row>
    <row r="14" spans="1:24" ht="13.5" customHeight="1" x14ac:dyDescent="0.15">
      <c r="A14" s="544" t="s">
        <v>548</v>
      </c>
      <c r="B14" s="545"/>
      <c r="C14" s="543"/>
      <c r="D14" s="546" t="str">
        <f>IF(C13="","",IF(B14&lt;1,"**Error - Population Data Missing**",""))</f>
        <v/>
      </c>
      <c r="E14" s="343"/>
      <c r="F14" s="545"/>
      <c r="G14" s="535"/>
      <c r="H14" s="535"/>
      <c r="I14" s="535"/>
      <c r="J14" s="535"/>
      <c r="K14" s="535"/>
      <c r="L14" s="535"/>
      <c r="M14" s="535"/>
      <c r="N14" s="535"/>
      <c r="O14" s="535"/>
      <c r="P14" s="535"/>
      <c r="Q14" s="535"/>
      <c r="X14" s="146">
        <f t="shared" si="0"/>
        <v>2005</v>
      </c>
    </row>
    <row r="15" spans="1:24" ht="14.25" customHeight="1" x14ac:dyDescent="0.15">
      <c r="A15" s="537" t="s">
        <v>313</v>
      </c>
      <c r="B15" s="690">
        <f>'STEP 1 - Project Information'!C20</f>
        <v>2020</v>
      </c>
      <c r="C15" s="543" t="str">
        <f>IF(B15&gt;2030,"     **Error - Year of Construction exceeds 2030 - please revise**","")</f>
        <v/>
      </c>
      <c r="D15" s="343"/>
      <c r="E15" s="343"/>
      <c r="F15" s="343"/>
      <c r="G15" s="535"/>
      <c r="H15" s="535"/>
      <c r="I15" s="535"/>
      <c r="J15" s="535"/>
      <c r="K15" s="535"/>
      <c r="L15" s="535"/>
      <c r="M15" s="535"/>
      <c r="N15" s="535"/>
      <c r="O15" s="535"/>
      <c r="P15" s="535"/>
      <c r="Q15" s="535"/>
      <c r="X15" s="146">
        <f t="shared" si="0"/>
        <v>2006</v>
      </c>
    </row>
    <row r="16" spans="1:24" x14ac:dyDescent="0.15">
      <c r="A16" s="537" t="s">
        <v>543</v>
      </c>
      <c r="B16" s="691">
        <f>'STEP 1 - Project Information'!C8</f>
        <v>300</v>
      </c>
      <c r="C16" s="546" t="str">
        <f>IF(B$17&gt;1," **Note: Modeling results are calculated based on 'Total Project Size'.","")</f>
        <v/>
      </c>
      <c r="D16" s="343"/>
      <c r="E16" s="343"/>
      <c r="F16" s="343"/>
      <c r="G16" s="535"/>
      <c r="H16" s="535"/>
      <c r="I16" s="535"/>
      <c r="J16" s="535"/>
      <c r="K16" s="535"/>
      <c r="L16" s="535"/>
      <c r="M16" s="535"/>
      <c r="N16" s="535"/>
      <c r="O16" s="535"/>
      <c r="P16" s="535"/>
      <c r="Q16" s="535"/>
      <c r="T16" s="179" t="s">
        <v>394</v>
      </c>
      <c r="X16" s="146">
        <f t="shared" si="0"/>
        <v>2007</v>
      </c>
    </row>
    <row r="17" spans="1:35" x14ac:dyDescent="0.15">
      <c r="A17" s="547" t="s">
        <v>550</v>
      </c>
      <c r="B17" s="691">
        <f>'STEP 1 - Project Information'!C9</f>
        <v>1</v>
      </c>
      <c r="C17" s="546" t="str">
        <f>IF(B$17&gt;1,"   The 'Number of Projects' entered does not change the calculation.**","")</f>
        <v/>
      </c>
      <c r="D17" s="343"/>
      <c r="E17" s="343"/>
      <c r="F17" s="343"/>
      <c r="G17" s="535"/>
      <c r="H17" s="535"/>
      <c r="I17" s="535"/>
      <c r="J17" s="535"/>
      <c r="K17" s="535"/>
      <c r="L17" s="535"/>
      <c r="M17" s="535"/>
      <c r="N17" s="535"/>
      <c r="O17" s="535"/>
      <c r="P17" s="535"/>
      <c r="Q17" s="535"/>
      <c r="T17" s="179" t="s">
        <v>546</v>
      </c>
      <c r="X17" s="146">
        <f t="shared" si="0"/>
        <v>2008</v>
      </c>
    </row>
    <row r="18" spans="1:35" x14ac:dyDescent="0.15">
      <c r="A18" s="537" t="s">
        <v>603</v>
      </c>
      <c r="B18" s="545">
        <f>'STEP 1 - Project Information'!C13*1000</f>
        <v>2500</v>
      </c>
      <c r="C18" s="546" t="str">
        <f>IF(B$17&gt;1,"   Due to economies of scale for projects above 20 MW, Users are ","")</f>
        <v/>
      </c>
      <c r="D18" s="343"/>
      <c r="E18" s="343"/>
      <c r="F18" s="343"/>
      <c r="G18" s="535"/>
      <c r="H18" s="535"/>
      <c r="I18" s="535"/>
      <c r="J18" s="535"/>
      <c r="K18" s="535"/>
      <c r="L18" s="535"/>
      <c r="M18" s="535"/>
      <c r="N18" s="535"/>
      <c r="O18" s="548"/>
      <c r="P18" s="535"/>
      <c r="Q18" s="535"/>
      <c r="X18" s="146">
        <f t="shared" si="0"/>
        <v>2009</v>
      </c>
    </row>
    <row r="19" spans="1:35" x14ac:dyDescent="0.15">
      <c r="A19" s="537" t="s">
        <v>249</v>
      </c>
      <c r="B19" s="692">
        <f>DefaultData!D5</f>
        <v>120</v>
      </c>
      <c r="C19" s="546" t="str">
        <f>IF(B$17&gt;1,"   encouraged to analyze projects individually rather than as a group. ","")</f>
        <v/>
      </c>
      <c r="D19" s="343"/>
      <c r="E19" s="543"/>
      <c r="F19" s="343"/>
      <c r="G19" s="535"/>
      <c r="H19" s="535"/>
      <c r="I19" s="535"/>
      <c r="J19" s="535"/>
      <c r="K19" s="535"/>
      <c r="L19" s="535"/>
      <c r="M19" s="535"/>
      <c r="N19" s="535"/>
      <c r="O19" s="535"/>
      <c r="P19" s="535"/>
      <c r="Q19" s="535"/>
      <c r="X19" s="146">
        <f t="shared" si="0"/>
        <v>2010</v>
      </c>
    </row>
    <row r="20" spans="1:35" x14ac:dyDescent="0.15">
      <c r="A20" s="537" t="s">
        <v>594</v>
      </c>
      <c r="B20" s="344">
        <v>1308.9554000000001</v>
      </c>
      <c r="C20" s="549"/>
      <c r="D20" s="546" t="str">
        <f>IF(B$21&lt;DefaultData!AT$56,"  Please review O&amp;M Materials &amp; Services parameters; ","")</f>
        <v/>
      </c>
      <c r="E20" s="543"/>
      <c r="F20" s="343"/>
      <c r="G20" s="535"/>
      <c r="H20" s="535"/>
      <c r="I20" s="535"/>
      <c r="J20" s="535"/>
      <c r="K20" s="535"/>
      <c r="L20" s="535"/>
      <c r="M20" s="535"/>
      <c r="N20" s="535"/>
      <c r="O20" s="535"/>
      <c r="P20" s="535"/>
      <c r="Q20" s="535"/>
      <c r="X20" s="146">
        <f t="shared" si="0"/>
        <v>2011</v>
      </c>
    </row>
    <row r="21" spans="1:35" x14ac:dyDescent="0.15">
      <c r="A21" s="537" t="s">
        <v>457</v>
      </c>
      <c r="B21" s="345">
        <f>'STEP 2 - Cost Information'!J6</f>
        <v>44</v>
      </c>
      <c r="C21" s="549"/>
      <c r="D21" s="546" t="str">
        <f>IF(B$21&lt;DefaultData!AT$56,"  costs may be below industry standards.**","")</f>
        <v/>
      </c>
      <c r="E21" s="343"/>
      <c r="F21" s="343"/>
      <c r="G21" s="535"/>
      <c r="H21" s="535"/>
      <c r="I21" s="535"/>
      <c r="J21" s="535"/>
      <c r="K21" s="535"/>
      <c r="L21" s="535"/>
      <c r="M21" s="535"/>
      <c r="N21" s="535"/>
      <c r="O21" s="535"/>
      <c r="P21" s="535"/>
      <c r="Q21" s="535"/>
      <c r="X21" s="146">
        <f t="shared" si="0"/>
        <v>2012</v>
      </c>
    </row>
    <row r="22" spans="1:35" x14ac:dyDescent="0.15">
      <c r="A22" s="547" t="s">
        <v>602</v>
      </c>
      <c r="B22" s="346">
        <f>'STEP 2 - Cost Information'!J7</f>
        <v>2020</v>
      </c>
      <c r="C22" s="549" t="str">
        <f>IF($B$22&gt;2030,"     **Error - Money Value (Dollar Year) Exceeds 2030 - please revise**",IF(B22&lt;1996,"     **Error - Money Value (Dollar Year) is Below 1996 - please revise**",""))</f>
        <v/>
      </c>
      <c r="D22" s="343"/>
      <c r="E22" s="343"/>
      <c r="F22" s="343"/>
      <c r="G22" s="535"/>
      <c r="H22" s="535"/>
      <c r="I22" s="535"/>
      <c r="J22" s="535"/>
      <c r="K22" s="535"/>
      <c r="L22" s="535"/>
      <c r="M22" s="535"/>
      <c r="N22" s="535"/>
      <c r="O22" s="535"/>
      <c r="P22" s="535"/>
      <c r="Q22" s="535"/>
      <c r="X22" s="146">
        <f t="shared" si="0"/>
        <v>2013</v>
      </c>
    </row>
    <row r="23" spans="1:35" hidden="1" x14ac:dyDescent="0.15">
      <c r="A23" s="343"/>
      <c r="B23" s="549"/>
      <c r="C23" s="343"/>
      <c r="D23" s="347"/>
      <c r="E23" s="343"/>
      <c r="F23" s="535"/>
      <c r="G23" s="535"/>
      <c r="H23" s="535"/>
      <c r="I23" s="535"/>
      <c r="J23" s="535"/>
      <c r="K23" s="535"/>
      <c r="L23" s="535"/>
      <c r="M23" s="535"/>
      <c r="N23" s="535"/>
      <c r="O23" s="535"/>
      <c r="P23" s="535"/>
      <c r="Q23" s="535"/>
      <c r="X23" s="146">
        <f t="shared" si="0"/>
        <v>2014</v>
      </c>
    </row>
    <row r="24" spans="1:35" hidden="1" x14ac:dyDescent="0.15">
      <c r="A24" s="723" t="s">
        <v>773</v>
      </c>
      <c r="B24" s="550" t="s">
        <v>546</v>
      </c>
      <c r="C24" s="343"/>
      <c r="D24" s="551"/>
      <c r="E24" s="343"/>
      <c r="F24" s="535"/>
      <c r="G24" s="535"/>
      <c r="H24" s="535"/>
      <c r="I24" s="535"/>
      <c r="J24" s="535"/>
      <c r="K24" s="535"/>
      <c r="L24" s="535"/>
      <c r="M24" s="535"/>
      <c r="N24" s="535"/>
      <c r="O24" s="535"/>
      <c r="P24" s="535"/>
      <c r="Q24" s="535"/>
      <c r="X24" s="146">
        <f t="shared" si="0"/>
        <v>2015</v>
      </c>
    </row>
    <row r="25" spans="1:35" hidden="1" x14ac:dyDescent="0.15">
      <c r="A25" s="724"/>
      <c r="B25" s="552"/>
      <c r="C25" s="343"/>
      <c r="D25" s="343"/>
      <c r="E25" s="343"/>
      <c r="F25" s="535"/>
      <c r="G25" s="535"/>
      <c r="H25" s="535"/>
      <c r="I25" s="535"/>
      <c r="J25" s="535"/>
      <c r="K25" s="535"/>
      <c r="L25" s="535"/>
      <c r="M25" s="535"/>
      <c r="N25" s="535"/>
      <c r="O25" s="535"/>
      <c r="P25" s="535"/>
      <c r="Q25" s="535"/>
      <c r="X25" s="146">
        <f t="shared" si="0"/>
        <v>2016</v>
      </c>
    </row>
    <row r="26" spans="1:35" ht="31.5" hidden="1" customHeight="1" x14ac:dyDescent="0.15">
      <c r="A26" s="724"/>
      <c r="B26" s="552"/>
      <c r="C26" s="343"/>
      <c r="D26" s="343"/>
      <c r="E26" s="343"/>
      <c r="F26" s="535"/>
      <c r="G26" s="535"/>
      <c r="H26" s="535"/>
      <c r="I26" s="535"/>
      <c r="J26" s="535"/>
      <c r="K26" s="535"/>
      <c r="L26" s="535"/>
      <c r="M26" s="535"/>
      <c r="N26" s="535"/>
      <c r="O26" s="535"/>
      <c r="P26" s="535"/>
      <c r="Q26" s="535"/>
      <c r="X26" s="146">
        <f t="shared" si="0"/>
        <v>2017</v>
      </c>
    </row>
    <row r="27" spans="1:35" ht="40.5" hidden="1" customHeight="1" x14ac:dyDescent="0.15">
      <c r="A27" s="721" t="s">
        <v>774</v>
      </c>
      <c r="B27" s="722"/>
      <c r="C27" s="722"/>
      <c r="D27" s="722"/>
      <c r="E27" s="722"/>
      <c r="F27" s="535"/>
      <c r="G27" s="535"/>
      <c r="H27" s="535"/>
      <c r="I27" s="535"/>
      <c r="J27" s="535"/>
      <c r="K27" s="535"/>
      <c r="L27" s="535"/>
      <c r="M27" s="535"/>
      <c r="N27" s="535"/>
      <c r="O27" s="535"/>
      <c r="P27" s="535"/>
      <c r="Q27" s="535"/>
      <c r="X27" s="146">
        <f t="shared" si="0"/>
        <v>2018</v>
      </c>
    </row>
    <row r="28" spans="1:35" ht="14" hidden="1" x14ac:dyDescent="0.15">
      <c r="A28" s="416"/>
      <c r="B28" s="553"/>
      <c r="C28" s="535"/>
      <c r="D28" s="535"/>
      <c r="E28" s="535"/>
      <c r="F28" s="535"/>
      <c r="G28" s="535"/>
      <c r="H28" s="535"/>
      <c r="I28" s="535"/>
      <c r="J28" s="535"/>
      <c r="K28" s="535"/>
      <c r="L28" s="535"/>
      <c r="M28" s="535"/>
      <c r="N28" s="535"/>
      <c r="O28" s="535"/>
      <c r="P28" s="535"/>
      <c r="Q28" s="535"/>
      <c r="X28" s="146">
        <f t="shared" si="0"/>
        <v>2019</v>
      </c>
    </row>
    <row r="29" spans="1:35" ht="16" x14ac:dyDescent="0.2">
      <c r="A29" s="554" t="s">
        <v>547</v>
      </c>
      <c r="B29" s="555"/>
      <c r="C29" s="555"/>
      <c r="D29" s="555"/>
      <c r="E29" s="555"/>
      <c r="F29" s="555"/>
      <c r="G29" s="535"/>
      <c r="H29" s="535"/>
      <c r="I29" s="535"/>
      <c r="J29" s="535"/>
      <c r="K29" s="535"/>
      <c r="L29" s="535"/>
      <c r="M29" s="535"/>
      <c r="N29" s="535"/>
      <c r="O29" s="535"/>
      <c r="P29" s="535"/>
      <c r="Q29" s="535"/>
      <c r="X29" s="146">
        <f t="shared" si="0"/>
        <v>2020</v>
      </c>
      <c r="AE29" s="176" t="s">
        <v>349</v>
      </c>
    </row>
    <row r="30" spans="1:35" ht="62.25" customHeight="1" x14ac:dyDescent="0.15">
      <c r="A30" s="351"/>
      <c r="B30" s="556"/>
      <c r="C30" s="557" t="s">
        <v>309</v>
      </c>
      <c r="D30" s="558" t="s">
        <v>239</v>
      </c>
      <c r="E30" s="557"/>
      <c r="F30" s="725" t="s">
        <v>855</v>
      </c>
      <c r="G30" s="535"/>
      <c r="H30" s="535"/>
      <c r="I30" s="535"/>
      <c r="J30" s="535"/>
      <c r="K30" s="535"/>
      <c r="L30" s="535"/>
      <c r="M30" s="535"/>
      <c r="N30" s="535"/>
      <c r="O30" s="535"/>
      <c r="P30" s="535"/>
      <c r="Q30" s="535"/>
      <c r="X30" s="146">
        <f t="shared" si="0"/>
        <v>2021</v>
      </c>
      <c r="AA30" s="173"/>
      <c r="AE30" s="172" t="s">
        <v>17</v>
      </c>
      <c r="AF30" s="559" t="s">
        <v>133</v>
      </c>
      <c r="AG30" s="559" t="s">
        <v>309</v>
      </c>
      <c r="AH30" s="177" t="s">
        <v>239</v>
      </c>
      <c r="AI30" s="559"/>
    </row>
    <row r="31" spans="1:35" ht="13.5" customHeight="1" x14ac:dyDescent="0.15">
      <c r="A31" s="362" t="s">
        <v>17</v>
      </c>
      <c r="B31" s="560" t="s">
        <v>133</v>
      </c>
      <c r="C31" s="557" t="s">
        <v>595</v>
      </c>
      <c r="D31" s="558" t="s">
        <v>240</v>
      </c>
      <c r="E31" s="560" t="s">
        <v>18</v>
      </c>
      <c r="F31" s="725"/>
      <c r="G31" s="535"/>
      <c r="H31" s="535"/>
      <c r="I31" s="535"/>
      <c r="J31" s="535"/>
      <c r="K31" s="535"/>
      <c r="L31" s="535"/>
      <c r="M31" s="535"/>
      <c r="N31" s="535"/>
      <c r="O31" s="535"/>
      <c r="P31" s="535"/>
      <c r="Q31" s="535"/>
      <c r="X31" s="146">
        <f t="shared" si="0"/>
        <v>2022</v>
      </c>
      <c r="AA31" s="173"/>
      <c r="AE31" s="95" t="s">
        <v>2</v>
      </c>
      <c r="AG31" s="559" t="s">
        <v>310</v>
      </c>
      <c r="AH31" s="177" t="s">
        <v>240</v>
      </c>
      <c r="AI31" s="559" t="s">
        <v>18</v>
      </c>
    </row>
    <row r="32" spans="1:35" ht="13.5" customHeight="1" x14ac:dyDescent="0.15">
      <c r="A32" s="351" t="s">
        <v>19</v>
      </c>
      <c r="B32" s="358"/>
      <c r="C32" s="360"/>
      <c r="D32" s="359"/>
      <c r="E32" s="353"/>
      <c r="F32" s="556"/>
      <c r="G32" s="535"/>
      <c r="H32" s="535"/>
      <c r="I32" s="535"/>
      <c r="J32" s="535"/>
      <c r="K32" s="535"/>
      <c r="L32" s="535"/>
      <c r="M32" s="535"/>
      <c r="N32" s="535"/>
      <c r="O32" s="535"/>
      <c r="P32" s="535"/>
      <c r="Q32" s="535"/>
      <c r="T32" s="173"/>
      <c r="V32" s="561" t="s">
        <v>794</v>
      </c>
      <c r="X32" s="146">
        <f t="shared" si="0"/>
        <v>2023</v>
      </c>
      <c r="AA32" s="173"/>
      <c r="AE32" s="172" t="s">
        <v>19</v>
      </c>
      <c r="AF32" s="170"/>
      <c r="AG32" s="181"/>
      <c r="AH32" s="171"/>
      <c r="AI32" s="173"/>
    </row>
    <row r="33" spans="1:35" ht="15" customHeight="1" x14ac:dyDescent="0.15">
      <c r="A33" s="354" t="s">
        <v>662</v>
      </c>
      <c r="B33" s="41">
        <f>DefaultData!$D32</f>
        <v>180900000</v>
      </c>
      <c r="C33" s="360">
        <f>B33/(B$16*1000)</f>
        <v>603</v>
      </c>
      <c r="D33" s="359">
        <f>B33/(B$64)</f>
        <v>0.45598977162859766</v>
      </c>
      <c r="E33" s="40">
        <f>IF(F33="Yes",HLOOKUP('STEP 3 - Edit Project Data'!$B$13,DefaultData!E174:BE175,2),$T33)</f>
        <v>0</v>
      </c>
      <c r="F33" s="524" t="s">
        <v>854</v>
      </c>
      <c r="G33" s="562"/>
      <c r="H33" s="535"/>
      <c r="I33" s="535"/>
      <c r="J33" s="535"/>
      <c r="K33" s="535"/>
      <c r="L33" s="535"/>
      <c r="M33" s="535"/>
      <c r="N33" s="535"/>
      <c r="O33" s="535"/>
      <c r="P33" s="535"/>
      <c r="Q33" s="535"/>
      <c r="T33" s="173">
        <f>IF($T$12=0,DefaultData!$G32,IF($T$12=2,"Pop. Data Missing",IF($B$14&lt;DefaultData!$H$13,DefaultData!$H32,IF($B$14&lt;DefaultData!$I$13,DefaultData!$O32,IF($B$14&lt;DefaultData!$J$13,DefaultData!$R32,DefaultData!$U32)))))</f>
        <v>0</v>
      </c>
      <c r="V33" s="561" t="s">
        <v>853</v>
      </c>
      <c r="X33" s="146">
        <f t="shared" si="0"/>
        <v>2024</v>
      </c>
      <c r="AA33" s="173"/>
      <c r="AE33" s="92" t="s">
        <v>238</v>
      </c>
      <c r="AF33" s="170">
        <f>DefaultData!$D32</f>
        <v>180900000</v>
      </c>
      <c r="AG33" s="181"/>
      <c r="AH33" s="171"/>
      <c r="AI33" s="173">
        <f>$T33</f>
        <v>0</v>
      </c>
    </row>
    <row r="34" spans="1:35" ht="15" customHeight="1" x14ac:dyDescent="0.15">
      <c r="A34" s="355" t="s">
        <v>237</v>
      </c>
      <c r="B34" s="41">
        <f>DefaultData!$D33</f>
        <v>56400000</v>
      </c>
      <c r="C34" s="360">
        <f>B34/(B$16*1000)</f>
        <v>188</v>
      </c>
      <c r="D34" s="359">
        <f>B34/(B$64)</f>
        <v>0.14216596528387457</v>
      </c>
      <c r="E34" s="40">
        <f>IF(F34="Yes",HLOOKUP('STEP 3 - Edit Project Data'!$B$13,DefaultData!E174:BE176,3),$T34)</f>
        <v>0</v>
      </c>
      <c r="F34" s="96" t="s">
        <v>854</v>
      </c>
      <c r="G34" s="535"/>
      <c r="H34" s="563"/>
      <c r="I34" s="535"/>
      <c r="J34" s="535"/>
      <c r="K34" s="535"/>
      <c r="L34" s="535"/>
      <c r="M34" s="535"/>
      <c r="N34" s="535"/>
      <c r="O34" s="535"/>
      <c r="P34" s="535"/>
      <c r="Q34" s="535"/>
      <c r="T34" s="173">
        <f>IF($T$12=0,DefaultData!$G33,IF($T$12=2,"Pop. Data Missing",IF($B$14&lt;DefaultData!$H$13,DefaultData!$H33,IF($B$14&lt;DefaultData!$I$13,DefaultData!$O33,IF($B$14&lt;DefaultData!$J$13,DefaultData!$R33,DefaultData!$U33)))))</f>
        <v>0</v>
      </c>
      <c r="V34" s="561" t="s">
        <v>854</v>
      </c>
      <c r="X34" s="146">
        <f>X33+1</f>
        <v>2025</v>
      </c>
      <c r="AA34" s="173"/>
      <c r="AE34" s="95" t="s">
        <v>237</v>
      </c>
      <c r="AF34" s="170">
        <f>DefaultData!$D33</f>
        <v>56400000</v>
      </c>
      <c r="AG34" s="181"/>
      <c r="AH34" s="171"/>
      <c r="AI34" s="173">
        <f>$T34</f>
        <v>0</v>
      </c>
    </row>
    <row r="35" spans="1:35" ht="15" customHeight="1" x14ac:dyDescent="0.15">
      <c r="A35" s="355" t="s">
        <v>15</v>
      </c>
      <c r="B35" s="41">
        <f>DefaultData!$D34</f>
        <v>65700000</v>
      </c>
      <c r="C35" s="360">
        <f>B35/(B$16*1000)</f>
        <v>219</v>
      </c>
      <c r="D35" s="359">
        <f>B35/(B$64)</f>
        <v>0.16560822551685389</v>
      </c>
      <c r="E35" s="40">
        <f>IF(F35="Yes",HLOOKUP('STEP 3 - Edit Project Data'!$B$13,DefaultData!E174:BE177,4),$T35)</f>
        <v>0</v>
      </c>
      <c r="F35" s="96" t="s">
        <v>854</v>
      </c>
      <c r="G35" s="535"/>
      <c r="H35" s="535"/>
      <c r="I35" s="535"/>
      <c r="J35" s="535"/>
      <c r="K35" s="535"/>
      <c r="L35" s="535"/>
      <c r="M35" s="535"/>
      <c r="N35" s="535"/>
      <c r="O35" s="535"/>
      <c r="P35" s="535"/>
      <c r="Q35" s="535"/>
      <c r="T35" s="173">
        <f>IF($T$12=0,DefaultData!$G34,IF($T$12=2,"Pop. Data Missing",IF($B$14&lt;DefaultData!$H$13,DefaultData!$H34,IF($B$14&lt;DefaultData!$I$13,DefaultData!$O34,IF($B$14&lt;DefaultData!$J$13,DefaultData!$R34,DefaultData!$U34)))))</f>
        <v>0</v>
      </c>
      <c r="X35" s="146">
        <f t="shared" si="0"/>
        <v>2026</v>
      </c>
      <c r="AA35" s="173"/>
      <c r="AE35" s="95" t="s">
        <v>15</v>
      </c>
      <c r="AF35" s="170">
        <f>DefaultData!$D34</f>
        <v>65700000</v>
      </c>
      <c r="AG35" s="181"/>
      <c r="AH35" s="171"/>
      <c r="AI35" s="173">
        <f>$T35</f>
        <v>0</v>
      </c>
    </row>
    <row r="36" spans="1:35" ht="13.5" customHeight="1" x14ac:dyDescent="0.15">
      <c r="A36" s="355" t="s">
        <v>445</v>
      </c>
      <c r="B36" s="41">
        <f>DefaultData!$D35</f>
        <v>31071692.333119016</v>
      </c>
      <c r="C36" s="360">
        <f>B36/(B$16*1000)</f>
        <v>103.57230777706339</v>
      </c>
      <c r="D36" s="359">
        <f>B36/(B$64)</f>
        <v>7.8321580381940245E-2</v>
      </c>
      <c r="E36" s="40">
        <f>$T36</f>
        <v>0</v>
      </c>
      <c r="F36" s="556"/>
      <c r="G36" s="535"/>
      <c r="H36" s="535"/>
      <c r="I36" s="535"/>
      <c r="J36" s="535"/>
      <c r="K36" s="535"/>
      <c r="L36" s="535"/>
      <c r="M36" s="535"/>
      <c r="N36" s="535"/>
      <c r="O36" s="535"/>
      <c r="P36" s="535"/>
      <c r="Q36" s="535"/>
      <c r="T36" s="173">
        <f>IF($T$12=0,DefaultData!$G35,IF($T$12=2,"Pop. Data Missing",IF($B$14&lt;DefaultData!$H$13,DefaultData!$H35,IF($B$14&lt;DefaultData!$I$13,DefaultData!$O35,IF($B$14&lt;DefaultData!$J$13,DefaultData!$R35,DefaultData!$U35)))))</f>
        <v>0</v>
      </c>
      <c r="X36" s="146">
        <f t="shared" si="0"/>
        <v>2027</v>
      </c>
      <c r="AA36" s="173"/>
      <c r="AE36" s="95" t="s">
        <v>445</v>
      </c>
      <c r="AF36" s="170">
        <f>DefaultData!$D35</f>
        <v>31071692.333119016</v>
      </c>
      <c r="AG36" s="181"/>
      <c r="AH36" s="171"/>
      <c r="AI36" s="173">
        <f>$T36</f>
        <v>0</v>
      </c>
    </row>
    <row r="37" spans="1:35" ht="13.5" customHeight="1" x14ac:dyDescent="0.15">
      <c r="A37" s="356" t="s">
        <v>468</v>
      </c>
      <c r="B37" s="358">
        <f>SUM(B33:B36)</f>
        <v>334071692.33311903</v>
      </c>
      <c r="C37" s="360">
        <f>SUM(C33:C36)</f>
        <v>1113.5723077770633</v>
      </c>
      <c r="D37" s="359">
        <f>SUM(D33:D36)</f>
        <v>0.84208554281126646</v>
      </c>
      <c r="E37" s="353"/>
      <c r="F37" s="556"/>
      <c r="G37" s="535"/>
      <c r="H37" s="535"/>
      <c r="I37" s="535"/>
      <c r="J37" s="535"/>
      <c r="K37" s="535"/>
      <c r="L37" s="535"/>
      <c r="M37" s="535"/>
      <c r="N37" s="535"/>
      <c r="O37" s="535"/>
      <c r="P37" s="535"/>
      <c r="Q37" s="535"/>
      <c r="T37" s="173"/>
      <c r="X37" s="146">
        <f t="shared" si="0"/>
        <v>2028</v>
      </c>
      <c r="AA37" s="173"/>
      <c r="AE37" s="92" t="s">
        <v>243</v>
      </c>
      <c r="AF37" s="170">
        <f>SUM(AF33:AF36)</f>
        <v>334071692.33311903</v>
      </c>
      <c r="AG37" s="181"/>
      <c r="AH37" s="171"/>
      <c r="AI37" s="173"/>
    </row>
    <row r="38" spans="1:35" ht="13.5" customHeight="1" x14ac:dyDescent="0.15">
      <c r="A38" s="357" t="s">
        <v>453</v>
      </c>
      <c r="B38" s="358"/>
      <c r="C38" s="360"/>
      <c r="D38" s="359"/>
      <c r="E38" s="359"/>
      <c r="F38" s="556"/>
      <c r="G38" s="535"/>
      <c r="H38" s="535"/>
      <c r="I38" s="535"/>
      <c r="J38" s="535"/>
      <c r="K38" s="535"/>
      <c r="L38" s="535"/>
      <c r="M38" s="535"/>
      <c r="N38" s="535"/>
      <c r="O38" s="535"/>
      <c r="P38" s="535"/>
      <c r="Q38" s="535"/>
      <c r="T38" s="173"/>
      <c r="X38" s="146">
        <f t="shared" si="0"/>
        <v>2029</v>
      </c>
      <c r="AA38" s="173"/>
      <c r="AE38" s="172" t="s">
        <v>20</v>
      </c>
      <c r="AF38" s="170"/>
      <c r="AG38" s="181"/>
      <c r="AH38" s="171"/>
      <c r="AI38" s="171"/>
    </row>
    <row r="39" spans="1:35" ht="13.5" customHeight="1" x14ac:dyDescent="0.15">
      <c r="A39" s="355" t="s">
        <v>2</v>
      </c>
      <c r="B39" s="556"/>
      <c r="C39" s="557"/>
      <c r="D39" s="558"/>
      <c r="E39" s="557"/>
      <c r="F39" s="557"/>
      <c r="G39" s="535"/>
      <c r="H39" s="535"/>
      <c r="I39" s="535"/>
      <c r="J39" s="535"/>
      <c r="K39" s="535"/>
      <c r="L39" s="535"/>
      <c r="M39" s="535"/>
      <c r="N39" s="535"/>
      <c r="O39" s="535"/>
      <c r="P39" s="535"/>
      <c r="Q39" s="535"/>
      <c r="X39" s="146">
        <f t="shared" si="0"/>
        <v>2030</v>
      </c>
      <c r="AA39" s="173"/>
      <c r="AE39" s="95" t="s">
        <v>2</v>
      </c>
      <c r="AG39" s="559"/>
      <c r="AH39" s="177"/>
      <c r="AI39" s="559"/>
    </row>
    <row r="40" spans="1:35" ht="14.25" customHeight="1" x14ac:dyDescent="0.15">
      <c r="A40" s="356" t="s">
        <v>274</v>
      </c>
      <c r="B40" s="41">
        <f>DefaultData!$D18</f>
        <v>18560959.539846696</v>
      </c>
      <c r="C40" s="360">
        <f>B40/(B$16*1000)</f>
        <v>61.869865132822319</v>
      </c>
      <c r="D40" s="359">
        <f>B40/(B$64)</f>
        <v>4.6786112226546911E-2</v>
      </c>
      <c r="E40" s="40">
        <f>$T40</f>
        <v>0.9</v>
      </c>
      <c r="F40" s="556"/>
      <c r="G40" s="535"/>
      <c r="H40" s="535"/>
      <c r="I40" s="535"/>
      <c r="J40" s="535"/>
      <c r="K40" s="535"/>
      <c r="L40" s="535"/>
      <c r="M40" s="535"/>
      <c r="N40" s="535"/>
      <c r="O40" s="535"/>
      <c r="P40" s="535"/>
      <c r="Q40" s="535"/>
      <c r="T40" s="173">
        <f>IF($T$12=0,DefaultData!$G18,IF($T$12=2,"Pop. Data Missing",IF($B$14&lt;DefaultData!$H$13,DefaultData!$H18,IF($B$14&lt;DefaultData!$I$13,DefaultData!$O18,IF($B$14&lt;DefaultData!$J$13,DefaultData!$R18,DefaultData!$U18)))))</f>
        <v>0.9</v>
      </c>
      <c r="AA40" s="173"/>
      <c r="AE40" s="92" t="s">
        <v>274</v>
      </c>
      <c r="AF40" s="170">
        <f>DefaultData!$D18</f>
        <v>18560959.539846696</v>
      </c>
      <c r="AG40" s="181"/>
      <c r="AH40" s="171"/>
      <c r="AI40" s="173">
        <f>$T40</f>
        <v>0.9</v>
      </c>
    </row>
    <row r="41" spans="1:35" x14ac:dyDescent="0.15">
      <c r="A41" s="355" t="s">
        <v>4</v>
      </c>
      <c r="B41" s="41">
        <f>DefaultData!$D19</f>
        <v>0</v>
      </c>
      <c r="C41" s="360">
        <f>B41/(B$16*1000)</f>
        <v>0</v>
      </c>
      <c r="D41" s="359">
        <f>B41/(B$64)</f>
        <v>0</v>
      </c>
      <c r="E41" s="40">
        <f>$T41</f>
        <v>0</v>
      </c>
      <c r="F41" s="556"/>
      <c r="G41" s="535"/>
      <c r="H41" s="535"/>
      <c r="I41" s="535"/>
      <c r="J41" s="535"/>
      <c r="K41" s="535"/>
      <c r="L41" s="535"/>
      <c r="M41" s="535"/>
      <c r="N41" s="535"/>
      <c r="O41" s="535"/>
      <c r="P41" s="535"/>
      <c r="Q41" s="535"/>
      <c r="T41" s="173">
        <f>IF($T$12=0,DefaultData!$G19,IF($T$12=2,"Pop. Data Missing",IF($B$14&lt;DefaultData!$H$13,DefaultData!$H19,IF($B$14&lt;DefaultData!$I$13,DefaultData!$O19,IF($B$14&lt;DefaultData!$J$13,DefaultData!$R19,DefaultData!$U19)))))</f>
        <v>0</v>
      </c>
      <c r="AA41" s="173"/>
      <c r="AE41" s="95" t="s">
        <v>4</v>
      </c>
      <c r="AF41" s="170">
        <f>DefaultData!$D19</f>
        <v>0</v>
      </c>
      <c r="AG41" s="181"/>
      <c r="AH41" s="171"/>
      <c r="AI41" s="173">
        <f>$T41</f>
        <v>0</v>
      </c>
    </row>
    <row r="42" spans="1:35" x14ac:dyDescent="0.15">
      <c r="A42" s="355" t="s">
        <v>5</v>
      </c>
      <c r="B42" s="41">
        <f>DefaultData!$D20</f>
        <v>5682993.109400183</v>
      </c>
      <c r="C42" s="360">
        <f>B42/(B$16*1000)</f>
        <v>18.943310364667276</v>
      </c>
      <c r="D42" s="359">
        <f>B42/(B$64)</f>
        <v>1.4324968104600794E-2</v>
      </c>
      <c r="E42" s="40">
        <f>$T42</f>
        <v>1</v>
      </c>
      <c r="F42" s="556"/>
      <c r="G42" s="535"/>
      <c r="H42" s="535"/>
      <c r="I42" s="535"/>
      <c r="J42" s="535"/>
      <c r="K42" s="535"/>
      <c r="L42" s="535"/>
      <c r="M42" s="535"/>
      <c r="N42" s="535"/>
      <c r="O42" s="535"/>
      <c r="P42" s="535"/>
      <c r="Q42" s="535"/>
      <c r="T42" s="173">
        <f>IF($T$12=0,DefaultData!$G20,IF($T$12=2,"Pop. Data Missing",IF($B$14&lt;DefaultData!$H$13,DefaultData!$H20,IF($B$14&lt;DefaultData!$I$13,DefaultData!$O20,IF($B$14&lt;DefaultData!$J$13,DefaultData!$R20,DefaultData!$U20)))))</f>
        <v>1</v>
      </c>
      <c r="AA42" s="173"/>
      <c r="AE42" s="95" t="s">
        <v>5</v>
      </c>
      <c r="AF42" s="170">
        <f>DefaultData!$D20</f>
        <v>5682993.109400183</v>
      </c>
      <c r="AG42" s="181"/>
      <c r="AH42" s="171"/>
      <c r="AI42" s="173">
        <f>$T42</f>
        <v>1</v>
      </c>
    </row>
    <row r="43" spans="1:35" x14ac:dyDescent="0.15">
      <c r="A43" s="355" t="s">
        <v>6</v>
      </c>
      <c r="B43" s="41">
        <f>DefaultData!$D21</f>
        <v>1563881.1528987759</v>
      </c>
      <c r="C43" s="360">
        <f>B43/(B$16*1000)</f>
        <v>5.2129371763292527</v>
      </c>
      <c r="D43" s="359">
        <f>B43/(B$64)</f>
        <v>3.9420332214736365E-3</v>
      </c>
      <c r="E43" s="40">
        <f>$T43</f>
        <v>0.7</v>
      </c>
      <c r="F43" s="556"/>
      <c r="G43" s="535"/>
      <c r="H43" s="535"/>
      <c r="I43" s="535"/>
      <c r="J43" s="535"/>
      <c r="K43" s="535"/>
      <c r="L43" s="535"/>
      <c r="M43" s="535"/>
      <c r="N43" s="535"/>
      <c r="O43" s="535"/>
      <c r="P43" s="535"/>
      <c r="Q43" s="535"/>
      <c r="T43" s="173">
        <f>IF($T$12=0,DefaultData!$G21,IF($T$12=2,"Pop. Data Missing",IF($B$14&lt;DefaultData!$H$13,DefaultData!$H21,IF($B$14&lt;DefaultData!$I$13,DefaultData!$O21,IF($B$14&lt;DefaultData!$J$13,DefaultData!$R21,DefaultData!$U21)))))</f>
        <v>0.7</v>
      </c>
      <c r="AA43" s="173"/>
      <c r="AE43" s="95" t="s">
        <v>6</v>
      </c>
      <c r="AF43" s="170">
        <f>DefaultData!$D21</f>
        <v>1563881.1528987759</v>
      </c>
      <c r="AG43" s="181"/>
      <c r="AH43" s="171"/>
      <c r="AI43" s="173">
        <f>$T43</f>
        <v>0.7</v>
      </c>
    </row>
    <row r="44" spans="1:35" x14ac:dyDescent="0.15">
      <c r="A44" s="356" t="s">
        <v>241</v>
      </c>
      <c r="B44" s="358">
        <f>SUM(B40:B43)</f>
        <v>25807833.802145656</v>
      </c>
      <c r="C44" s="360">
        <f>SUM(C40:C43)</f>
        <v>86.026112673818844</v>
      </c>
      <c r="D44" s="359">
        <f>SUM(D40:D43)</f>
        <v>6.5053113552621347E-2</v>
      </c>
      <c r="E44" s="353"/>
      <c r="F44" s="556"/>
      <c r="G44" s="535"/>
      <c r="H44" s="535"/>
      <c r="I44" s="535"/>
      <c r="J44" s="535"/>
      <c r="K44" s="535"/>
      <c r="L44" s="535"/>
      <c r="M44" s="535"/>
      <c r="N44" s="535"/>
      <c r="O44" s="535"/>
      <c r="P44" s="535"/>
      <c r="Q44" s="535"/>
      <c r="T44" s="173"/>
      <c r="AA44" s="173"/>
      <c r="AE44" s="92" t="s">
        <v>241</v>
      </c>
      <c r="AF44" s="170">
        <f>SUM(AF40:AF43)</f>
        <v>25807833.802145656</v>
      </c>
      <c r="AG44" s="181"/>
      <c r="AH44" s="171"/>
      <c r="AI44" s="173"/>
    </row>
    <row r="45" spans="1:35" x14ac:dyDescent="0.15">
      <c r="A45" s="355" t="s">
        <v>8</v>
      </c>
      <c r="B45" s="564" t="str">
        <f>IF($B$51=DefaultData!D29,"","Do not change 'Labor Costs' without changing Construction 'Wages per Hour' below." )</f>
        <v/>
      </c>
      <c r="C45" s="360"/>
      <c r="D45" s="359"/>
      <c r="E45" s="353"/>
      <c r="F45" s="556"/>
      <c r="G45" s="535"/>
      <c r="H45" s="535"/>
      <c r="I45" s="535"/>
      <c r="J45" s="535"/>
      <c r="K45" s="535"/>
      <c r="L45" s="535"/>
      <c r="M45" s="535"/>
      <c r="N45" s="535"/>
      <c r="O45" s="535"/>
      <c r="P45" s="535"/>
      <c r="Q45" s="535"/>
      <c r="T45" s="173"/>
      <c r="AA45" s="173"/>
      <c r="AE45" s="95" t="s">
        <v>8</v>
      </c>
      <c r="AF45" s="565"/>
      <c r="AG45" s="181"/>
      <c r="AH45" s="171"/>
      <c r="AI45" s="173"/>
    </row>
    <row r="46" spans="1:35" x14ac:dyDescent="0.15">
      <c r="A46" s="355" t="s">
        <v>9</v>
      </c>
      <c r="B46" s="41">
        <f>DefaultData!$D24</f>
        <v>4239947.7575955112</v>
      </c>
      <c r="C46" s="360">
        <f>B46/(B$16*1000)</f>
        <v>14.133159191985037</v>
      </c>
      <c r="D46" s="359">
        <f>B46/(B$64)</f>
        <v>1.0687522441697966E-2</v>
      </c>
      <c r="E46" s="40">
        <f>$T46</f>
        <v>0.95</v>
      </c>
      <c r="F46" s="564" t="str">
        <f>IF($B$51=DefaultData!D$29,"","  See comment - point cursor to" )</f>
        <v/>
      </c>
      <c r="G46" s="535"/>
      <c r="H46" s="535"/>
      <c r="I46" s="535"/>
      <c r="J46" s="535"/>
      <c r="K46" s="535"/>
      <c r="L46" s="535"/>
      <c r="M46" s="535"/>
      <c r="N46" s="535"/>
      <c r="O46" s="535"/>
      <c r="P46" s="535"/>
      <c r="Q46" s="535"/>
      <c r="T46" s="173">
        <f>IF($T$12=0,DefaultData!$G24,IF($T$12=2,"Pop. Data Missing",IF($B$14&lt;DefaultData!$H$13,DefaultData!$H24,IF($B$14&lt;DefaultData!$I$13,DefaultData!$O24,IF($B$14&lt;DefaultData!$J$13,DefaultData!$R24,DefaultData!$U24)))))</f>
        <v>0.95</v>
      </c>
      <c r="AA46" s="173"/>
      <c r="AE46" s="95" t="s">
        <v>9</v>
      </c>
      <c r="AF46" s="170">
        <f>DefaultData!$D24</f>
        <v>4239947.7575955112</v>
      </c>
      <c r="AG46" s="181"/>
      <c r="AH46" s="171"/>
      <c r="AI46" s="173">
        <f>$T46</f>
        <v>0.95</v>
      </c>
    </row>
    <row r="47" spans="1:35" x14ac:dyDescent="0.15">
      <c r="A47" s="355" t="s">
        <v>10</v>
      </c>
      <c r="B47" s="41">
        <f>DefaultData!$D25</f>
        <v>7790047.9660859304</v>
      </c>
      <c r="C47" s="360">
        <f>B47/(B$16*1000)</f>
        <v>25.966826553619768</v>
      </c>
      <c r="D47" s="359">
        <f>B47/(B$64)</f>
        <v>1.9636164693373936E-2</v>
      </c>
      <c r="E47" s="40">
        <f>$T47</f>
        <v>0.75</v>
      </c>
      <c r="F47" s="564" t="str">
        <f>IF($B$51=DefaultData!D$29,"","   red triangle in cell corner." )</f>
        <v/>
      </c>
      <c r="G47" s="535"/>
      <c r="H47" s="535"/>
      <c r="I47" s="535"/>
      <c r="J47" s="535"/>
      <c r="K47" s="535"/>
      <c r="L47" s="535"/>
      <c r="M47" s="535"/>
      <c r="N47" s="535"/>
      <c r="O47" s="535"/>
      <c r="P47" s="535"/>
      <c r="Q47" s="535"/>
      <c r="T47" s="173">
        <f>IF($T$12=0,DefaultData!$G25,IF($T$12=2,"Pop. Data Missing",IF($B$14&lt;DefaultData!$H$13,DefaultData!$H25,IF($B$14&lt;DefaultData!$I$13,DefaultData!$O25,IF($B$14&lt;DefaultData!$J$13,DefaultData!$R25,DefaultData!$U25)))))</f>
        <v>0.75</v>
      </c>
      <c r="AA47" s="173"/>
      <c r="AE47" s="95" t="s">
        <v>10</v>
      </c>
      <c r="AF47" s="170">
        <f>DefaultData!$D25</f>
        <v>7790047.9660859304</v>
      </c>
      <c r="AG47" s="181"/>
      <c r="AH47" s="171"/>
      <c r="AI47" s="173">
        <f>$T47</f>
        <v>0.75</v>
      </c>
    </row>
    <row r="48" spans="1:35" x14ac:dyDescent="0.15">
      <c r="A48" s="355" t="s">
        <v>11</v>
      </c>
      <c r="B48" s="41">
        <f>DefaultData!$D26</f>
        <v>1773965.3638829268</v>
      </c>
      <c r="C48" s="360">
        <f>B48/(B$16*1000)</f>
        <v>5.9132178796097561</v>
      </c>
      <c r="D48" s="359">
        <f>B48/(B$64)</f>
        <v>4.4715868499392922E-3</v>
      </c>
      <c r="E48" s="40">
        <f>$T48</f>
        <v>0.7</v>
      </c>
      <c r="F48" s="566"/>
      <c r="G48" s="535"/>
      <c r="H48" s="535"/>
      <c r="I48" s="535"/>
      <c r="J48" s="535"/>
      <c r="K48" s="535"/>
      <c r="L48" s="535"/>
      <c r="M48" s="535"/>
      <c r="N48" s="535"/>
      <c r="O48" s="535"/>
      <c r="P48" s="535"/>
      <c r="Q48" s="535"/>
      <c r="T48" s="173">
        <f>IF($T$12=0,DefaultData!$G26,IF($T$12=2,"Pop. Data Missing",IF($B$14&lt;DefaultData!$H$13,DefaultData!$H26,IF($B$14&lt;DefaultData!$I$13,DefaultData!$O26,IF($B$14&lt;DefaultData!$J$13,DefaultData!$R26,DefaultData!$U26)))))</f>
        <v>0.7</v>
      </c>
      <c r="AA48" s="173"/>
      <c r="AE48" s="95" t="s">
        <v>11</v>
      </c>
      <c r="AF48" s="170">
        <f>DefaultData!$D26</f>
        <v>1773965.3638829268</v>
      </c>
      <c r="AG48" s="181"/>
      <c r="AH48" s="171"/>
      <c r="AI48" s="173">
        <f>$T48</f>
        <v>0.7</v>
      </c>
    </row>
    <row r="49" spans="1:35" x14ac:dyDescent="0.15">
      <c r="A49" s="355" t="s">
        <v>493</v>
      </c>
      <c r="B49" s="41">
        <f>DefaultData!$D27</f>
        <v>2047903.0070803107</v>
      </c>
      <c r="C49" s="360">
        <f>B49/(B$16*1000)</f>
        <v>6.8263433569343688</v>
      </c>
      <c r="D49" s="359">
        <f>B49/(B$64)</f>
        <v>5.162094110094358E-3</v>
      </c>
      <c r="E49" s="40">
        <f>$T49</f>
        <v>0</v>
      </c>
      <c r="F49" s="566"/>
      <c r="G49" s="535"/>
      <c r="H49" s="535"/>
      <c r="I49" s="535"/>
      <c r="J49" s="535"/>
      <c r="K49" s="535"/>
      <c r="L49" s="535"/>
      <c r="M49" s="535"/>
      <c r="N49" s="535"/>
      <c r="O49" s="535"/>
      <c r="P49" s="535"/>
      <c r="Q49" s="535"/>
      <c r="T49" s="173">
        <f>IF($T$12=0,DefaultData!$G27,IF($T$12=2,"Pop. Data Missing",IF($B$14&lt;DefaultData!$H$13,DefaultData!$H27,IF($B$14&lt;DefaultData!$I$13,DefaultData!$O27,IF($B$14&lt;DefaultData!$J$13,DefaultData!$R27,DefaultData!$U27)))))</f>
        <v>0</v>
      </c>
      <c r="AA49" s="173"/>
      <c r="AE49" s="95" t="s">
        <v>12</v>
      </c>
      <c r="AF49" s="170">
        <f>DefaultData!$D27</f>
        <v>2047903.0070803107</v>
      </c>
      <c r="AG49" s="181"/>
      <c r="AH49" s="171"/>
      <c r="AI49" s="173">
        <f>$T49</f>
        <v>0</v>
      </c>
    </row>
    <row r="50" spans="1:35" x14ac:dyDescent="0.15">
      <c r="A50" s="355" t="s">
        <v>524</v>
      </c>
      <c r="B50" s="41">
        <f>DefaultData!$D28</f>
        <v>1295776.8240952727</v>
      </c>
      <c r="C50" s="360">
        <f>B50/(B$16*1000)</f>
        <v>4.3192560803175759</v>
      </c>
      <c r="D50" s="359">
        <f>B50/(B$64)</f>
        <v>3.266229840247833E-3</v>
      </c>
      <c r="E50" s="40">
        <f>$T50</f>
        <v>0.5</v>
      </c>
      <c r="F50" s="566"/>
      <c r="G50" s="535"/>
      <c r="H50" s="535"/>
      <c r="I50" s="535"/>
      <c r="J50" s="535"/>
      <c r="K50" s="535"/>
      <c r="L50" s="535"/>
      <c r="M50" s="535"/>
      <c r="N50" s="535"/>
      <c r="O50" s="535"/>
      <c r="P50" s="535"/>
      <c r="Q50" s="535"/>
      <c r="T50" s="173">
        <f>IF($T$12=0,DefaultData!$G28,IF($T$12=2,"Pop. Data Missing",IF($B$14&lt;DefaultData!$H$13,DefaultData!$H28,IF($B$14&lt;DefaultData!$I$13,DefaultData!$O28,IF($B$14&lt;DefaultData!$J$13,DefaultData!$R28,DefaultData!$U28)))))</f>
        <v>0.5</v>
      </c>
      <c r="AA50" s="173"/>
      <c r="AE50" s="95" t="s">
        <v>524</v>
      </c>
      <c r="AF50" s="170">
        <f>DefaultData!$D28</f>
        <v>1295776.8240952727</v>
      </c>
      <c r="AG50" s="181"/>
      <c r="AH50" s="171"/>
      <c r="AI50" s="173">
        <f>$T50</f>
        <v>0.5</v>
      </c>
    </row>
    <row r="51" spans="1:35" x14ac:dyDescent="0.15">
      <c r="A51" s="356" t="s">
        <v>242</v>
      </c>
      <c r="B51" s="358">
        <f>SUM(B46:B50)</f>
        <v>17147640.918739952</v>
      </c>
      <c r="C51" s="360">
        <f>SUM(C46:C50)</f>
        <v>57.158803062466504</v>
      </c>
      <c r="D51" s="359">
        <f>SUM(D46:D50)</f>
        <v>4.3223597935353381E-2</v>
      </c>
      <c r="E51" s="353"/>
      <c r="F51" s="556"/>
      <c r="G51" s="535"/>
      <c r="H51" s="535"/>
      <c r="I51" s="535"/>
      <c r="J51" s="535"/>
      <c r="K51" s="535"/>
      <c r="L51" s="535"/>
      <c r="M51" s="535"/>
      <c r="N51" s="535"/>
      <c r="O51" s="535"/>
      <c r="P51" s="535"/>
      <c r="Q51" s="535"/>
      <c r="T51" s="173"/>
      <c r="AA51" s="173"/>
      <c r="AE51" s="92" t="s">
        <v>242</v>
      </c>
      <c r="AF51" s="170">
        <f>SUM(AF46:AF50)</f>
        <v>17147640.918739952</v>
      </c>
      <c r="AG51" s="181"/>
      <c r="AH51" s="171"/>
      <c r="AI51" s="173"/>
    </row>
    <row r="52" spans="1:35" x14ac:dyDescent="0.15">
      <c r="A52" s="355" t="s">
        <v>460</v>
      </c>
      <c r="B52" s="567"/>
      <c r="C52" s="360"/>
      <c r="D52" s="359"/>
      <c r="E52" s="353"/>
      <c r="F52" s="556"/>
      <c r="G52" s="535"/>
      <c r="H52" s="535"/>
      <c r="I52" s="535"/>
      <c r="J52" s="535"/>
      <c r="K52" s="535"/>
      <c r="L52" s="535"/>
      <c r="M52" s="535"/>
      <c r="N52" s="535"/>
      <c r="O52" s="535"/>
      <c r="P52" s="535"/>
      <c r="Q52" s="535"/>
      <c r="AF52" s="568"/>
      <c r="AG52" s="181"/>
      <c r="AH52" s="171"/>
      <c r="AI52" s="173"/>
    </row>
    <row r="53" spans="1:35" x14ac:dyDescent="0.15">
      <c r="A53" s="355" t="s">
        <v>461</v>
      </c>
      <c r="B53" s="358"/>
      <c r="C53" s="360"/>
      <c r="D53" s="359"/>
      <c r="E53" s="353"/>
      <c r="F53" s="556"/>
      <c r="G53" s="535"/>
      <c r="H53" s="535"/>
      <c r="I53" s="535"/>
      <c r="J53" s="535"/>
      <c r="K53" s="535"/>
      <c r="L53" s="535"/>
      <c r="M53" s="535"/>
      <c r="N53" s="535"/>
      <c r="O53" s="535"/>
      <c r="P53" s="535"/>
      <c r="Q53" s="535"/>
      <c r="T53" s="173">
        <f>IF($T$12=0,DefaultData!$G38,IF($T$12=2,"Pop. Data Missing",IF($B$14&lt;DefaultData!$H$13,DefaultData!$H38,IF($B$14&lt;DefaultData!$I$13,DefaultData!$O38,IF($B$14&lt;DefaultData!$J$13,DefaultData!$R38,DefaultData!$U38)))))</f>
        <v>0.9</v>
      </c>
      <c r="AA53" s="173"/>
      <c r="AE53" s="95" t="s">
        <v>21</v>
      </c>
      <c r="AF53" s="170"/>
      <c r="AG53" s="181"/>
      <c r="AH53" s="171"/>
      <c r="AI53" s="173"/>
    </row>
    <row r="54" spans="1:35" x14ac:dyDescent="0.15">
      <c r="A54" s="355" t="s">
        <v>538</v>
      </c>
      <c r="B54" s="41">
        <f>DefaultData!$D39</f>
        <v>4638518.6636323333</v>
      </c>
      <c r="C54" s="360">
        <f t="shared" ref="C54:C59" si="1">B54/(B$16*1000)</f>
        <v>15.461728878774444</v>
      </c>
      <c r="D54" s="359">
        <f t="shared" ref="D54:D59" si="2">B54/(B$64)</f>
        <v>1.1692189420258131E-2</v>
      </c>
      <c r="E54" s="40">
        <f t="shared" ref="E54:E59" si="3">$T54</f>
        <v>0.9</v>
      </c>
      <c r="F54" s="556"/>
      <c r="G54" s="535"/>
      <c r="H54" s="535"/>
      <c r="I54" s="535"/>
      <c r="J54" s="535"/>
      <c r="K54" s="535"/>
      <c r="L54" s="535"/>
      <c r="M54" s="535"/>
      <c r="N54" s="535"/>
      <c r="O54" s="535"/>
      <c r="P54" s="535"/>
      <c r="Q54" s="535"/>
      <c r="T54" s="173">
        <f>IF($T$12=0,DefaultData!$G39,IF($T$12=2,"Pop. Data Missing",IF($B$14&lt;DefaultData!$H$13,DefaultData!$H39,IF($B$14&lt;DefaultData!$I$13,DefaultData!$O39,IF($B$14&lt;DefaultData!$J$13,DefaultData!$R39,DefaultData!$U39)))))</f>
        <v>0.9</v>
      </c>
      <c r="AA54" s="173"/>
      <c r="AE54" s="95" t="s">
        <v>538</v>
      </c>
      <c r="AF54" s="170">
        <f>DefaultData!$D39</f>
        <v>4638518.6636323333</v>
      </c>
      <c r="AG54" s="181"/>
      <c r="AH54" s="171"/>
      <c r="AI54" s="173">
        <f t="shared" ref="AI54:AI59" si="4">$T54</f>
        <v>0.9</v>
      </c>
    </row>
    <row r="55" spans="1:35" x14ac:dyDescent="0.15">
      <c r="A55" s="355" t="s">
        <v>539</v>
      </c>
      <c r="B55" s="41">
        <f>DefaultData!$D40</f>
        <v>1987936.5701281431</v>
      </c>
      <c r="C55" s="360">
        <f t="shared" si="1"/>
        <v>6.6264552337604767</v>
      </c>
      <c r="D55" s="359">
        <f t="shared" si="2"/>
        <v>5.010938322967771E-3</v>
      </c>
      <c r="E55" s="40">
        <f t="shared" si="3"/>
        <v>0.1</v>
      </c>
      <c r="F55" s="556"/>
      <c r="G55" s="535"/>
      <c r="H55" s="535"/>
      <c r="I55" s="535"/>
      <c r="J55" s="535"/>
      <c r="K55" s="535"/>
      <c r="L55" s="535"/>
      <c r="M55" s="535"/>
      <c r="N55" s="535"/>
      <c r="O55" s="535"/>
      <c r="P55" s="535"/>
      <c r="Q55" s="535"/>
      <c r="T55" s="173">
        <f>IF($T$12=0,DefaultData!$G40,IF($T$12=2,"Pop. Data Missing",IF($B$14&lt;DefaultData!$H$13,DefaultData!$H40,IF($B$14&lt;DefaultData!$I$13,DefaultData!$O40,IF($B$14&lt;DefaultData!$J$13,DefaultData!$R40,DefaultData!$U40)))))</f>
        <v>0.1</v>
      </c>
      <c r="AA55" s="173"/>
      <c r="AE55" s="95" t="s">
        <v>539</v>
      </c>
      <c r="AF55" s="170">
        <f>DefaultData!$D40</f>
        <v>1987936.5701281431</v>
      </c>
      <c r="AG55" s="181"/>
      <c r="AH55" s="171"/>
      <c r="AI55" s="173">
        <f t="shared" si="4"/>
        <v>0.1</v>
      </c>
    </row>
    <row r="56" spans="1:35" x14ac:dyDescent="0.15">
      <c r="A56" s="355" t="s">
        <v>462</v>
      </c>
      <c r="B56" s="41">
        <f>DefaultData!$D41</f>
        <v>2376670</v>
      </c>
      <c r="C56" s="360">
        <f t="shared" si="1"/>
        <v>7.9222333333333337</v>
      </c>
      <c r="D56" s="359">
        <f t="shared" si="2"/>
        <v>5.9908082395607474E-3</v>
      </c>
      <c r="E56" s="40">
        <f t="shared" si="3"/>
        <v>0</v>
      </c>
      <c r="F56" s="556"/>
      <c r="G56" s="535"/>
      <c r="H56" s="535"/>
      <c r="I56" s="535"/>
      <c r="J56" s="535"/>
      <c r="K56" s="535"/>
      <c r="L56" s="535"/>
      <c r="M56" s="535"/>
      <c r="N56" s="535"/>
      <c r="O56" s="535"/>
      <c r="P56" s="535"/>
      <c r="Q56" s="535"/>
      <c r="T56" s="173">
        <f>IF($T$12=0,DefaultData!$G41,IF($T$12=2,"Pop. Data Missing",IF($B$14&lt;DefaultData!$H$13,DefaultData!$H41,IF($B$14&lt;DefaultData!$I$13,DefaultData!$O41,IF($B$14&lt;DefaultData!$J$13,DefaultData!$R41,DefaultData!$U41)))))</f>
        <v>0</v>
      </c>
      <c r="AA56" s="173"/>
      <c r="AE56" s="95" t="s">
        <v>307</v>
      </c>
      <c r="AF56" s="170">
        <f>DefaultData!$D41</f>
        <v>2376670</v>
      </c>
      <c r="AG56" s="181"/>
      <c r="AH56" s="171"/>
      <c r="AI56" s="173">
        <f t="shared" si="4"/>
        <v>0</v>
      </c>
    </row>
    <row r="57" spans="1:35" x14ac:dyDescent="0.15">
      <c r="A57" s="355" t="s">
        <v>463</v>
      </c>
      <c r="B57" s="41">
        <f>DefaultData!$D42</f>
        <v>716475.87847002619</v>
      </c>
      <c r="C57" s="360">
        <f t="shared" si="1"/>
        <v>2.3882529282334208</v>
      </c>
      <c r="D57" s="359">
        <f t="shared" si="2"/>
        <v>1.8060015047039588E-3</v>
      </c>
      <c r="E57" s="40">
        <f t="shared" si="3"/>
        <v>1</v>
      </c>
      <c r="F57" s="556"/>
      <c r="G57" s="535"/>
      <c r="H57" s="535"/>
      <c r="I57" s="535"/>
      <c r="J57" s="535"/>
      <c r="K57" s="535"/>
      <c r="L57" s="535"/>
      <c r="M57" s="535"/>
      <c r="N57" s="535"/>
      <c r="O57" s="535"/>
      <c r="P57" s="535"/>
      <c r="Q57" s="535"/>
      <c r="T57" s="173">
        <f>IF($T$12=0,DefaultData!$G42,IF($T$12=2,"Pop. Data Missing",IF($B$14&lt;DefaultData!$H$13,DefaultData!$H42,IF($B$14&lt;DefaultData!$I$13,DefaultData!$O42,IF($B$14&lt;DefaultData!$J$13,DefaultData!$R42,DefaultData!$U42)))))</f>
        <v>1</v>
      </c>
      <c r="AA57" s="173"/>
      <c r="AE57" s="95" t="s">
        <v>308</v>
      </c>
      <c r="AF57" s="170">
        <f>DefaultData!$D42</f>
        <v>716475.87847002619</v>
      </c>
      <c r="AG57" s="181"/>
      <c r="AH57" s="171"/>
      <c r="AI57" s="173">
        <f t="shared" si="4"/>
        <v>1</v>
      </c>
    </row>
    <row r="58" spans="1:35" x14ac:dyDescent="0.15">
      <c r="A58" s="355" t="s">
        <v>464</v>
      </c>
      <c r="B58" s="41">
        <f>DefaultData!$D43</f>
        <v>0</v>
      </c>
      <c r="C58" s="360">
        <f t="shared" si="1"/>
        <v>0</v>
      </c>
      <c r="D58" s="359">
        <f t="shared" si="2"/>
        <v>0</v>
      </c>
      <c r="E58" s="40">
        <f t="shared" si="3"/>
        <v>1</v>
      </c>
      <c r="F58" s="556"/>
      <c r="G58" s="535"/>
      <c r="H58" s="535"/>
      <c r="I58" s="535"/>
      <c r="J58" s="535"/>
      <c r="K58" s="535"/>
      <c r="L58" s="535"/>
      <c r="M58" s="535"/>
      <c r="N58" s="535"/>
      <c r="O58" s="535"/>
      <c r="P58" s="535"/>
      <c r="Q58" s="535"/>
      <c r="T58" s="173">
        <f>IF($T$12=0,DefaultData!$G43,IF($T$12=2,"Pop. Data Missing",IF($B$14&lt;DefaultData!$H$13,DefaultData!$H43,IF($B$14&lt;DefaultData!$I$13,DefaultData!$O43,IF($B$14&lt;DefaultData!$J$13,DefaultData!$R43,DefaultData!$U43)))))</f>
        <v>1</v>
      </c>
      <c r="AA58" s="173"/>
      <c r="AE58" s="95" t="s">
        <v>22</v>
      </c>
      <c r="AF58" s="170">
        <f>DefaultData!$D43</f>
        <v>0</v>
      </c>
      <c r="AG58" s="181"/>
      <c r="AH58" s="171"/>
      <c r="AI58" s="173">
        <f t="shared" si="4"/>
        <v>1</v>
      </c>
    </row>
    <row r="59" spans="1:35" x14ac:dyDescent="0.15">
      <c r="A59" s="355" t="s">
        <v>465</v>
      </c>
      <c r="B59" s="41">
        <f>DefaultData!$D44</f>
        <v>437229.63951422449</v>
      </c>
      <c r="C59" s="360">
        <f t="shared" si="1"/>
        <v>1.4574321317140817</v>
      </c>
      <c r="D59" s="359">
        <f t="shared" si="2"/>
        <v>1.1021130097918479E-3</v>
      </c>
      <c r="E59" s="40">
        <f t="shared" si="3"/>
        <v>1</v>
      </c>
      <c r="F59" s="556"/>
      <c r="G59" s="535"/>
      <c r="H59" s="535"/>
      <c r="I59" s="535"/>
      <c r="J59" s="535"/>
      <c r="K59" s="535"/>
      <c r="L59" s="535"/>
      <c r="M59" s="535"/>
      <c r="N59" s="535"/>
      <c r="O59" s="535"/>
      <c r="P59" s="535"/>
      <c r="Q59" s="535"/>
      <c r="T59" s="173">
        <f>IF($T$12=0,DefaultData!$G44,IF($T$12=2,"Pop. Data Missing",IF($B$14&lt;DefaultData!$H$13,DefaultData!$H44,IF($B$14&lt;DefaultData!$I$13,DefaultData!$O44,IF($B$14&lt;DefaultData!$J$13,DefaultData!$R44,DefaultData!$U44)))))</f>
        <v>1</v>
      </c>
      <c r="AA59" s="173"/>
      <c r="AE59" s="95" t="s">
        <v>143</v>
      </c>
      <c r="AF59" s="170">
        <f>DefaultData!$D44</f>
        <v>437229.63951422449</v>
      </c>
      <c r="AG59" s="181"/>
      <c r="AH59" s="171"/>
      <c r="AI59" s="173">
        <f t="shared" si="4"/>
        <v>1</v>
      </c>
    </row>
    <row r="60" spans="1:35" x14ac:dyDescent="0.15">
      <c r="A60" s="356" t="s">
        <v>470</v>
      </c>
      <c r="B60" s="358">
        <f>SUM(B53:B59)</f>
        <v>10156830.751744727</v>
      </c>
      <c r="C60" s="360">
        <f>SUM(C53:C59)</f>
        <v>33.856102505815755</v>
      </c>
      <c r="D60" s="359">
        <f>SUM(D53:D59)</f>
        <v>2.5602050497282453E-2</v>
      </c>
      <c r="E60" s="353"/>
      <c r="F60" s="556"/>
      <c r="G60" s="535"/>
      <c r="H60" s="535"/>
      <c r="I60" s="535"/>
      <c r="J60" s="535"/>
      <c r="K60" s="535"/>
      <c r="L60" s="535"/>
      <c r="M60" s="535"/>
      <c r="N60" s="535"/>
      <c r="O60" s="535"/>
      <c r="P60" s="535"/>
      <c r="Q60" s="535"/>
      <c r="T60" s="173"/>
      <c r="AA60" s="175"/>
      <c r="AE60" s="92" t="s">
        <v>244</v>
      </c>
      <c r="AF60" s="170">
        <f>SUM(AF53:AF59)</f>
        <v>10156830.751744727</v>
      </c>
      <c r="AG60" s="181"/>
      <c r="AH60" s="171"/>
      <c r="AI60" s="173"/>
    </row>
    <row r="61" spans="1:35" x14ac:dyDescent="0.15">
      <c r="A61" s="361" t="s">
        <v>471</v>
      </c>
      <c r="B61" s="358">
        <f>B60+B51+B44</f>
        <v>53112305.472630337</v>
      </c>
      <c r="C61" s="360">
        <f>C60+C51+C44</f>
        <v>177.0410182421011</v>
      </c>
      <c r="D61" s="359">
        <f>D60+D51+D44</f>
        <v>0.13387876198525717</v>
      </c>
      <c r="E61" s="353"/>
      <c r="F61" s="556"/>
      <c r="G61" s="535"/>
      <c r="H61" s="535"/>
      <c r="I61" s="535"/>
      <c r="J61" s="535"/>
      <c r="K61" s="535"/>
      <c r="L61" s="535"/>
      <c r="M61" s="535"/>
      <c r="N61" s="535"/>
      <c r="O61" s="535"/>
      <c r="P61" s="535"/>
      <c r="Q61" s="535"/>
      <c r="T61" s="173"/>
      <c r="AA61" s="175"/>
      <c r="AE61" s="239" t="s">
        <v>471</v>
      </c>
      <c r="AF61" s="170">
        <f>AF60+AF51+AF44</f>
        <v>53112305.472630337</v>
      </c>
      <c r="AG61" s="181"/>
      <c r="AH61" s="171"/>
      <c r="AI61" s="173"/>
    </row>
    <row r="62" spans="1:35" x14ac:dyDescent="0.15">
      <c r="A62" s="357" t="s">
        <v>580</v>
      </c>
      <c r="B62" s="358">
        <f>B61+B37</f>
        <v>387183997.80574936</v>
      </c>
      <c r="C62" s="360">
        <f>B62/(B$16*1000)</f>
        <v>1290.6133260191646</v>
      </c>
      <c r="D62" s="359">
        <f>D61+D37</f>
        <v>0.97596430479652363</v>
      </c>
      <c r="E62" s="353"/>
      <c r="F62" s="556"/>
      <c r="G62" s="535"/>
      <c r="H62" s="535"/>
      <c r="I62" s="535"/>
      <c r="J62" s="535"/>
      <c r="K62" s="535"/>
      <c r="L62" s="535"/>
      <c r="M62" s="535"/>
      <c r="N62" s="535"/>
      <c r="O62" s="535"/>
      <c r="P62" s="535"/>
      <c r="Q62" s="535"/>
      <c r="T62" s="173"/>
      <c r="AA62" s="175"/>
      <c r="AE62" s="189" t="s">
        <v>580</v>
      </c>
      <c r="AF62" s="170">
        <f>AF61+AF37</f>
        <v>387183997.80574936</v>
      </c>
      <c r="AG62" s="181"/>
      <c r="AH62" s="171"/>
      <c r="AI62" s="173"/>
    </row>
    <row r="63" spans="1:35" x14ac:dyDescent="0.15">
      <c r="A63" s="357" t="s">
        <v>581</v>
      </c>
      <c r="B63" s="41">
        <f>DefaultData!$D47</f>
        <v>9535427.1802622247</v>
      </c>
      <c r="C63" s="360">
        <f>B63/(B$16*1000)</f>
        <v>31.784757267540748</v>
      </c>
      <c r="D63" s="359">
        <f>B63/(B$64)</f>
        <v>2.4035695203476478E-2</v>
      </c>
      <c r="E63" s="40">
        <f>$E$108</f>
        <v>1</v>
      </c>
      <c r="F63" s="556"/>
      <c r="G63" s="535"/>
      <c r="H63" s="535"/>
      <c r="I63" s="535"/>
      <c r="J63" s="535"/>
      <c r="K63" s="535"/>
      <c r="L63" s="535"/>
      <c r="M63" s="535"/>
      <c r="N63" s="535"/>
      <c r="O63" s="535"/>
      <c r="P63" s="535"/>
      <c r="Q63" s="535"/>
      <c r="T63" s="173">
        <f>IF($T$12=0,DefaultData!$G47,IF($T$12=2,"Pop. Data Missing",IF($B$14&lt;DefaultData!$H$13,DefaultData!$H47,IF($B$14&lt;DefaultData!$I$13,DefaultData!$O47,IF($B$14&lt;DefaultData!$J$13,DefaultData!$R47,DefaultData!$U47)))))</f>
        <v>1</v>
      </c>
      <c r="AA63" s="175"/>
      <c r="AE63" s="189" t="s">
        <v>581</v>
      </c>
      <c r="AF63" s="170">
        <f>DefaultData!$D47</f>
        <v>9535427.1802622247</v>
      </c>
      <c r="AG63" s="181"/>
      <c r="AH63" s="171"/>
      <c r="AI63" s="173">
        <f>$E$108</f>
        <v>1</v>
      </c>
    </row>
    <row r="64" spans="1:35" ht="14" x14ac:dyDescent="0.15">
      <c r="A64" s="362" t="s">
        <v>16</v>
      </c>
      <c r="B64" s="358">
        <f>+B63+B62</f>
        <v>396719424.98601156</v>
      </c>
      <c r="C64" s="360">
        <f>B64/(B$16*1000)</f>
        <v>1322.3980832867053</v>
      </c>
      <c r="D64" s="359">
        <f>D63+D62</f>
        <v>1</v>
      </c>
      <c r="E64" s="353"/>
      <c r="F64" s="556"/>
      <c r="G64" s="535"/>
      <c r="H64" s="535"/>
      <c r="I64" s="535"/>
      <c r="J64" s="535"/>
      <c r="K64" s="535"/>
      <c r="L64" s="535"/>
      <c r="M64" s="535"/>
      <c r="N64" s="535"/>
      <c r="O64" s="535"/>
      <c r="P64" s="535"/>
      <c r="Q64" s="535"/>
      <c r="T64" s="175"/>
      <c r="AA64" s="175"/>
      <c r="AE64" s="174" t="s">
        <v>16</v>
      </c>
      <c r="AF64" s="170">
        <f>+AF63+AF62</f>
        <v>396719424.98601156</v>
      </c>
      <c r="AG64" s="181"/>
      <c r="AH64" s="171"/>
      <c r="AI64" s="173"/>
    </row>
    <row r="65" spans="1:35" ht="14" x14ac:dyDescent="0.15">
      <c r="A65" s="416"/>
      <c r="B65" s="569"/>
      <c r="C65" s="535"/>
      <c r="D65" s="417"/>
      <c r="E65" s="417"/>
      <c r="F65" s="535"/>
      <c r="G65" s="535"/>
      <c r="H65" s="535"/>
      <c r="I65" s="535"/>
      <c r="J65" s="535"/>
      <c r="K65" s="535"/>
      <c r="L65" s="535"/>
      <c r="M65" s="535"/>
      <c r="N65" s="535"/>
      <c r="O65" s="535"/>
      <c r="P65" s="535"/>
      <c r="Q65" s="535"/>
      <c r="T65" s="175"/>
      <c r="AF65" s="170"/>
      <c r="AH65" s="175"/>
      <c r="AI65" s="175"/>
    </row>
    <row r="66" spans="1:35" ht="16" x14ac:dyDescent="0.2">
      <c r="A66" s="371" t="s">
        <v>437</v>
      </c>
      <c r="B66" s="570"/>
      <c r="C66" s="571"/>
      <c r="D66" s="372"/>
      <c r="E66" s="372"/>
      <c r="F66" s="571"/>
      <c r="G66" s="535"/>
      <c r="H66" s="535"/>
      <c r="I66" s="535"/>
      <c r="J66" s="535"/>
      <c r="K66" s="535"/>
      <c r="L66" s="535"/>
      <c r="M66" s="535"/>
      <c r="N66" s="535"/>
      <c r="O66" s="535"/>
      <c r="P66" s="535"/>
      <c r="Q66" s="535"/>
      <c r="T66" s="559"/>
      <c r="AA66" s="175"/>
      <c r="AE66" s="176" t="s">
        <v>437</v>
      </c>
      <c r="AF66" s="170"/>
      <c r="AH66" s="175"/>
      <c r="AI66" s="175"/>
    </row>
    <row r="67" spans="1:35" ht="15" customHeight="1" x14ac:dyDescent="0.15">
      <c r="A67" s="572" t="str">
        <f>D20</f>
        <v/>
      </c>
      <c r="B67" s="573"/>
      <c r="C67" s="574" t="s">
        <v>309</v>
      </c>
      <c r="D67" s="374" t="s">
        <v>239</v>
      </c>
      <c r="E67" s="574"/>
      <c r="F67" s="574"/>
      <c r="G67" s="535"/>
      <c r="H67" s="535"/>
      <c r="I67" s="535"/>
      <c r="J67" s="535"/>
      <c r="K67" s="535"/>
      <c r="L67" s="535"/>
      <c r="M67" s="535"/>
      <c r="N67" s="535"/>
      <c r="O67" s="535"/>
      <c r="P67" s="535"/>
      <c r="Q67" s="535"/>
      <c r="T67" s="559"/>
      <c r="U67" s="177"/>
      <c r="V67" s="559"/>
      <c r="AA67" s="173"/>
      <c r="AE67" s="175"/>
      <c r="AG67" s="559"/>
      <c r="AH67" s="177"/>
      <c r="AI67" s="559"/>
    </row>
    <row r="68" spans="1:35" ht="41" customHeight="1" x14ac:dyDescent="0.15">
      <c r="A68" s="572" t="str">
        <f>D21</f>
        <v/>
      </c>
      <c r="B68" s="575" t="s">
        <v>133</v>
      </c>
      <c r="C68" s="574" t="s">
        <v>595</v>
      </c>
      <c r="D68" s="374" t="s">
        <v>240</v>
      </c>
      <c r="E68" s="576" t="s">
        <v>661</v>
      </c>
      <c r="F68" s="574"/>
      <c r="G68" s="535"/>
      <c r="H68" s="535"/>
      <c r="I68" s="535"/>
      <c r="J68" s="535"/>
      <c r="K68" s="535"/>
      <c r="L68" s="535"/>
      <c r="M68" s="535"/>
      <c r="N68" s="535"/>
      <c r="O68" s="535"/>
      <c r="P68" s="535"/>
      <c r="Q68" s="535"/>
      <c r="AA68" s="173"/>
      <c r="AE68" s="177"/>
      <c r="AF68" s="577" t="s">
        <v>133</v>
      </c>
      <c r="AG68" s="559"/>
      <c r="AH68" s="177"/>
      <c r="AI68" s="559" t="s">
        <v>18</v>
      </c>
    </row>
    <row r="69" spans="1:35" ht="14" x14ac:dyDescent="0.15">
      <c r="A69" s="377" t="s">
        <v>458</v>
      </c>
      <c r="B69" s="574"/>
      <c r="C69" s="574"/>
      <c r="D69" s="374"/>
      <c r="E69" s="574"/>
      <c r="F69" s="574"/>
      <c r="G69" s="535"/>
      <c r="H69" s="535"/>
      <c r="I69" s="535"/>
      <c r="J69" s="535"/>
      <c r="K69" s="535"/>
      <c r="L69" s="535"/>
      <c r="M69" s="535"/>
      <c r="N69" s="535"/>
      <c r="O69" s="535"/>
      <c r="P69" s="535"/>
      <c r="Q69" s="535"/>
      <c r="AA69" s="173"/>
      <c r="AE69" s="189" t="s">
        <v>458</v>
      </c>
      <c r="AF69" s="559"/>
      <c r="AG69" s="559"/>
      <c r="AH69" s="177"/>
      <c r="AI69" s="559"/>
    </row>
    <row r="70" spans="1:35" x14ac:dyDescent="0.15">
      <c r="A70" s="374" t="s">
        <v>167</v>
      </c>
      <c r="B70" s="578"/>
      <c r="C70" s="574"/>
      <c r="D70" s="374"/>
      <c r="E70" s="574"/>
      <c r="F70" s="574"/>
      <c r="G70" s="535"/>
      <c r="H70" s="535"/>
      <c r="I70" s="535"/>
      <c r="J70" s="535"/>
      <c r="K70" s="535"/>
      <c r="L70" s="535"/>
      <c r="M70" s="535"/>
      <c r="N70" s="535"/>
      <c r="O70" s="535"/>
      <c r="P70" s="535"/>
      <c r="Q70" s="535"/>
      <c r="T70" s="173"/>
      <c r="AA70" s="173"/>
      <c r="AE70" s="177" t="s">
        <v>167</v>
      </c>
      <c r="AF70" s="565"/>
      <c r="AG70" s="559"/>
      <c r="AH70" s="177"/>
      <c r="AI70" s="559"/>
    </row>
    <row r="71" spans="1:35" x14ac:dyDescent="0.15">
      <c r="A71" s="579" t="s">
        <v>660</v>
      </c>
      <c r="B71" s="41">
        <f>DefaultData!U239</f>
        <v>654949.51326797565</v>
      </c>
      <c r="C71" s="580">
        <f>B71/(B$16*1000)</f>
        <v>2.1831650442265853</v>
      </c>
      <c r="D71" s="581">
        <f>B71/B$87</f>
        <v>4.865618184537316E-2</v>
      </c>
      <c r="E71" s="40">
        <f>$T71</f>
        <v>1</v>
      </c>
      <c r="F71" s="578" t="str">
        <f>IF($B$71=DefaultData!D$55,"","  See comment - point cursor to" )</f>
        <v xml:space="preserve">  See comment - point cursor to</v>
      </c>
      <c r="G71" s="535"/>
      <c r="H71" s="535"/>
      <c r="I71" s="535"/>
      <c r="J71" s="535"/>
      <c r="K71" s="535"/>
      <c r="L71" s="535"/>
      <c r="M71" s="535"/>
      <c r="N71" s="535"/>
      <c r="O71" s="535"/>
      <c r="P71" s="535"/>
      <c r="Q71" s="535"/>
      <c r="T71" s="173">
        <f>IF($T$12=0,DefaultData!$G55,IF($T$12=2,"Pop. Data Missing",IF($B$14&lt;DefaultData!$H$13,DefaultData!$H55,IF($B$14&lt;DefaultData!$I$13,DefaultData!$O55,IF($B$14&lt;DefaultData!$J$13,DefaultData!$R55,DefaultData!$U55)))))</f>
        <v>1</v>
      </c>
      <c r="AA71" s="173"/>
      <c r="AE71" s="95" t="s">
        <v>168</v>
      </c>
      <c r="AF71" s="170">
        <f>DefaultData!$D55</f>
        <v>767078.24868139951</v>
      </c>
      <c r="AG71" s="582"/>
      <c r="AH71" s="171"/>
      <c r="AI71" s="173">
        <f>$T71</f>
        <v>1</v>
      </c>
    </row>
    <row r="72" spans="1:35" x14ac:dyDescent="0.15">
      <c r="A72" s="573" t="s">
        <v>409</v>
      </c>
      <c r="B72" s="41">
        <f>DefaultData!U240</f>
        <v>82097.395480421284</v>
      </c>
      <c r="C72" s="580">
        <f>B72/(B$16*1000)</f>
        <v>0.27365798493473764</v>
      </c>
      <c r="D72" s="581">
        <f>B72/B$87</f>
        <v>6.0990133172180976E-3</v>
      </c>
      <c r="E72" s="40">
        <f>$T72</f>
        <v>1</v>
      </c>
      <c r="F72" s="578" t="str">
        <f>IF($B$71=DefaultData!D$55,"","   red triangle in cell corner." )</f>
        <v xml:space="preserve">   red triangle in cell corner.</v>
      </c>
      <c r="G72" s="535"/>
      <c r="H72" s="535"/>
      <c r="I72" s="535"/>
      <c r="J72" s="535"/>
      <c r="K72" s="535"/>
      <c r="L72" s="535"/>
      <c r="M72" s="535"/>
      <c r="N72" s="535"/>
      <c r="O72" s="535"/>
      <c r="P72" s="535"/>
      <c r="Q72" s="535"/>
      <c r="T72" s="173">
        <f>IF($T$12=0,DefaultData!$G56,IF($T$12=2,"Pop. Data Missing",IF($B$14&lt;DefaultData!$H$13,DefaultData!$H56,IF($B$14&lt;DefaultData!$I$13,DefaultData!$O56,IF($B$14&lt;DefaultData!$J$13,DefaultData!$R56,DefaultData!$U56)))))</f>
        <v>1</v>
      </c>
      <c r="AA72" s="173"/>
      <c r="AE72" s="95" t="s">
        <v>409</v>
      </c>
      <c r="AF72" s="170">
        <f>DefaultData!$D56</f>
        <v>72730.38209719937</v>
      </c>
      <c r="AG72" s="582"/>
      <c r="AH72" s="171"/>
      <c r="AI72" s="173">
        <f>$T72</f>
        <v>1</v>
      </c>
    </row>
    <row r="73" spans="1:35" x14ac:dyDescent="0.15">
      <c r="A73" s="573" t="s">
        <v>410</v>
      </c>
      <c r="B73" s="41">
        <f>DefaultData!U241</f>
        <v>106994.11327050562</v>
      </c>
      <c r="C73" s="580">
        <f>B73/(B$16*1000)</f>
        <v>0.35664704423501875</v>
      </c>
      <c r="D73" s="581">
        <f>B73/B$87</f>
        <v>7.9485898167911857E-3</v>
      </c>
      <c r="E73" s="40">
        <f>$T73</f>
        <v>1</v>
      </c>
      <c r="F73" s="573"/>
      <c r="G73" s="535"/>
      <c r="H73" s="535"/>
      <c r="I73" s="535"/>
      <c r="J73" s="535"/>
      <c r="K73" s="535"/>
      <c r="L73" s="535"/>
      <c r="M73" s="535"/>
      <c r="N73" s="535"/>
      <c r="O73" s="535"/>
      <c r="P73" s="535"/>
      <c r="Q73" s="535"/>
      <c r="T73" s="173">
        <f>IF($T$12=0,DefaultData!$G57,IF($T$12=2,"Pop. Data Missing",IF($B$14&lt;DefaultData!$H$13,DefaultData!$H57,IF($B$14&lt;DefaultData!$I$13,DefaultData!$O57,IF($B$14&lt;DefaultData!$J$13,DefaultData!$R57,DefaultData!$U57)))))</f>
        <v>1</v>
      </c>
      <c r="AA73" s="173"/>
      <c r="AE73" s="95" t="s">
        <v>410</v>
      </c>
      <c r="AF73" s="170">
        <f>DefaultData!$D57</f>
        <v>136369.46643224882</v>
      </c>
      <c r="AG73" s="582"/>
      <c r="AH73" s="171"/>
      <c r="AI73" s="173">
        <f>$T73</f>
        <v>1</v>
      </c>
    </row>
    <row r="74" spans="1:35" x14ac:dyDescent="0.15">
      <c r="A74" s="375" t="s">
        <v>497</v>
      </c>
      <c r="B74" s="583">
        <f>SUM(B71:B73)</f>
        <v>844041.02201890247</v>
      </c>
      <c r="C74" s="580">
        <f>SUM(C71:C73)</f>
        <v>2.813470073396342</v>
      </c>
      <c r="D74" s="581">
        <f>SUM(D71:D73)</f>
        <v>6.2703784979382449E-2</v>
      </c>
      <c r="E74" s="376"/>
      <c r="F74" s="573"/>
      <c r="G74" s="535"/>
      <c r="H74" s="535"/>
      <c r="I74" s="535"/>
      <c r="J74" s="535"/>
      <c r="K74" s="535"/>
      <c r="L74" s="535"/>
      <c r="M74" s="535"/>
      <c r="N74" s="535"/>
      <c r="O74" s="535"/>
      <c r="P74" s="535"/>
      <c r="Q74" s="535"/>
      <c r="T74" s="173"/>
      <c r="AA74" s="173"/>
      <c r="AE74" s="95" t="s">
        <v>245</v>
      </c>
      <c r="AF74" s="582">
        <f>SUM(AF71:AF73)</f>
        <v>976178.09721084766</v>
      </c>
      <c r="AG74" s="582"/>
      <c r="AH74" s="171"/>
      <c r="AI74" s="173"/>
    </row>
    <row r="75" spans="1:35" ht="14" x14ac:dyDescent="0.15">
      <c r="A75" s="377" t="s">
        <v>171</v>
      </c>
      <c r="B75" s="583"/>
      <c r="C75" s="573"/>
      <c r="D75" s="573"/>
      <c r="E75" s="376"/>
      <c r="F75" s="574"/>
      <c r="G75" s="584"/>
      <c r="H75" s="535"/>
      <c r="I75" s="535"/>
      <c r="J75" s="535"/>
      <c r="K75" s="535"/>
      <c r="L75" s="535"/>
      <c r="M75" s="535"/>
      <c r="N75" s="535"/>
      <c r="O75" s="535"/>
      <c r="P75" s="535"/>
      <c r="Q75" s="535"/>
      <c r="AA75" s="173"/>
      <c r="AE75" s="172" t="s">
        <v>171</v>
      </c>
      <c r="AF75" s="170"/>
      <c r="AI75" s="173"/>
    </row>
    <row r="76" spans="1:35" x14ac:dyDescent="0.15">
      <c r="A76" s="573" t="s">
        <v>182</v>
      </c>
      <c r="B76" s="41">
        <f>DefaultData!X237</f>
        <v>352976.97408887587</v>
      </c>
      <c r="C76" s="580">
        <f t="shared" ref="C76:C86" si="5">B76/(B$16*1000)</f>
        <v>1.1765899136295863</v>
      </c>
      <c r="D76" s="581">
        <f t="shared" ref="D76:D86" si="6">B76/B$87</f>
        <v>2.6222649976183558E-2</v>
      </c>
      <c r="E76" s="40">
        <f>$T76</f>
        <v>1</v>
      </c>
      <c r="F76" s="573"/>
      <c r="G76" s="535"/>
      <c r="H76" s="535"/>
      <c r="I76" s="535"/>
      <c r="J76" s="535"/>
      <c r="K76" s="535"/>
      <c r="L76" s="535"/>
      <c r="M76" s="535"/>
      <c r="N76" s="535"/>
      <c r="O76" s="535"/>
      <c r="P76" s="535"/>
      <c r="Q76" s="535"/>
      <c r="T76" s="173">
        <f>IF($T$12=0,DefaultData!$G63,IF($T$12=2,"Pop. Data Missing",IF($B$14&lt;DefaultData!$H$13,DefaultData!$H63,IF($B$14&lt;DefaultData!$I$13,DefaultData!$O63,IF($B$14&lt;DefaultData!$J$13,DefaultData!$R63,DefaultData!$U63)))))</f>
        <v>1</v>
      </c>
      <c r="AA76" s="173"/>
      <c r="AE76" s="146" t="s">
        <v>182</v>
      </c>
      <c r="AF76" s="170">
        <f>DefaultData!$D63</f>
        <v>349202.16834135569</v>
      </c>
      <c r="AG76" s="582"/>
      <c r="AH76" s="171"/>
      <c r="AI76" s="173">
        <f t="shared" ref="AI76:AI83" si="7">$T76</f>
        <v>1</v>
      </c>
    </row>
    <row r="77" spans="1:35" ht="14" x14ac:dyDescent="0.15">
      <c r="A77" s="585" t="s">
        <v>494</v>
      </c>
      <c r="B77" s="41">
        <f>DefaultData!X238</f>
        <v>137661.01989466159</v>
      </c>
      <c r="C77" s="580">
        <f t="shared" si="5"/>
        <v>0.45887006631553862</v>
      </c>
      <c r="D77" s="581">
        <f t="shared" si="6"/>
        <v>1.0226833490711587E-2</v>
      </c>
      <c r="E77" s="40">
        <f>$T77</f>
        <v>0.8</v>
      </c>
      <c r="F77" s="586"/>
      <c r="G77" s="417"/>
      <c r="H77" s="535"/>
      <c r="I77" s="535"/>
      <c r="J77" s="535"/>
      <c r="K77" s="535"/>
      <c r="L77" s="535"/>
      <c r="M77" s="535"/>
      <c r="N77" s="535"/>
      <c r="O77" s="535"/>
      <c r="P77" s="535"/>
      <c r="Q77" s="535"/>
      <c r="T77" s="173">
        <f>IF($T$12=0,DefaultData!$G64,IF($T$12=2,"Pop. Data Missing",IF($B$14&lt;DefaultData!$H$13,DefaultData!$H64,IF($B$14&lt;DefaultData!$I$13,DefaultData!$O64,IF($B$14&lt;DefaultData!$J$13,DefaultData!$R64,DefaultData!$U64)))))</f>
        <v>0.8</v>
      </c>
      <c r="AA77" s="173"/>
      <c r="AE77" s="146" t="s">
        <v>173</v>
      </c>
      <c r="AF77" s="170">
        <f>DefaultData!$D64</f>
        <v>136188.84565312869</v>
      </c>
      <c r="AG77" s="582"/>
      <c r="AH77" s="171"/>
      <c r="AI77" s="173">
        <f t="shared" si="7"/>
        <v>0.8</v>
      </c>
    </row>
    <row r="78" spans="1:35" ht="14" x14ac:dyDescent="0.15">
      <c r="A78" s="587" t="s">
        <v>174</v>
      </c>
      <c r="B78" s="41">
        <f>DefaultData!X239</f>
        <v>68830.509947330793</v>
      </c>
      <c r="C78" s="580">
        <f t="shared" si="5"/>
        <v>0.22943503315776931</v>
      </c>
      <c r="D78" s="581">
        <f t="shared" si="6"/>
        <v>5.1134167453557935E-3</v>
      </c>
      <c r="E78" s="40">
        <f>$T78</f>
        <v>1</v>
      </c>
      <c r="F78" s="586"/>
      <c r="G78" s="417"/>
      <c r="H78" s="535"/>
      <c r="I78" s="535"/>
      <c r="J78" s="535"/>
      <c r="K78" s="535"/>
      <c r="L78" s="535"/>
      <c r="M78" s="535"/>
      <c r="N78" s="535"/>
      <c r="O78" s="535"/>
      <c r="P78" s="535"/>
      <c r="Q78" s="535"/>
      <c r="T78" s="173">
        <f>IF($T$12=0,DefaultData!$G65,IF($T$12=2,"Pop. Data Missing",IF($B$14&lt;DefaultData!$H$13,DefaultData!$H65,IF($B$14&lt;DefaultData!$I$13,DefaultData!$O65,IF($B$14&lt;DefaultData!$J$13,DefaultData!$R65,DefaultData!$U65)))))</f>
        <v>1</v>
      </c>
      <c r="AA78" s="173"/>
      <c r="AE78" s="146" t="s">
        <v>174</v>
      </c>
      <c r="AF78" s="170">
        <f>DefaultData!$D65</f>
        <v>68094.422826564347</v>
      </c>
      <c r="AG78" s="582"/>
      <c r="AH78" s="171"/>
      <c r="AI78" s="173">
        <f t="shared" si="7"/>
        <v>1</v>
      </c>
    </row>
    <row r="79" spans="1:35" x14ac:dyDescent="0.15">
      <c r="A79" s="588" t="s">
        <v>232</v>
      </c>
      <c r="B79" s="41">
        <f>DefaultData!X240</f>
        <v>275322.03978932317</v>
      </c>
      <c r="C79" s="580">
        <f t="shared" si="5"/>
        <v>0.91774013263107723</v>
      </c>
      <c r="D79" s="581">
        <f t="shared" si="6"/>
        <v>2.0453666981423174E-2</v>
      </c>
      <c r="E79" s="40">
        <f>$T79</f>
        <v>1</v>
      </c>
      <c r="F79" s="586"/>
      <c r="G79" s="417"/>
      <c r="H79" s="535"/>
      <c r="I79" s="535"/>
      <c r="J79" s="535"/>
      <c r="K79" s="535"/>
      <c r="L79" s="535"/>
      <c r="M79" s="535"/>
      <c r="N79" s="535"/>
      <c r="O79" s="535"/>
      <c r="P79" s="535"/>
      <c r="Q79" s="535"/>
      <c r="T79" s="173">
        <f>IF($T$12=0,DefaultData!$G66,IF($T$12=2,"Pop. Data Missing",IF($B$14&lt;DefaultData!$H$13,DefaultData!$H66,IF($B$14&lt;DefaultData!$I$13,DefaultData!$O66,IF($B$14&lt;DefaultData!$J$13,DefaultData!$R66,DefaultData!$U66)))))</f>
        <v>1</v>
      </c>
      <c r="AA79" s="173"/>
      <c r="AE79" s="589" t="s">
        <v>232</v>
      </c>
      <c r="AF79" s="170">
        <f>DefaultData!$D66</f>
        <v>272377.69130625739</v>
      </c>
      <c r="AG79" s="582"/>
      <c r="AH79" s="171"/>
      <c r="AI79" s="173">
        <f t="shared" si="7"/>
        <v>1</v>
      </c>
    </row>
    <row r="80" spans="1:35" ht="14" x14ac:dyDescent="0.15">
      <c r="A80" s="587" t="s">
        <v>172</v>
      </c>
      <c r="B80" s="41">
        <f>DefaultData!X241</f>
        <v>2647327.3056665687</v>
      </c>
      <c r="C80" s="580">
        <f t="shared" si="5"/>
        <v>8.8244243522218948</v>
      </c>
      <c r="D80" s="581">
        <f t="shared" si="6"/>
        <v>0.19666987482137666</v>
      </c>
      <c r="E80" s="40">
        <f>$T710</f>
        <v>0</v>
      </c>
      <c r="F80" s="586"/>
      <c r="G80" s="417"/>
      <c r="H80" s="535"/>
      <c r="I80" s="535"/>
      <c r="J80" s="535"/>
      <c r="K80" s="535"/>
      <c r="L80" s="535"/>
      <c r="M80" s="535"/>
      <c r="N80" s="535"/>
      <c r="O80" s="535"/>
      <c r="P80" s="535"/>
      <c r="Q80" s="535"/>
      <c r="T80" s="173">
        <f>IF($T$12=0,DefaultData!$G67,IF($T$12=2,"Pop. Data Missing",IF($B$14&lt;DefaultData!$H$13,DefaultData!$H67,IF($B$14&lt;DefaultData!$I$13,DefaultData!$O67,IF($B$14&lt;DefaultData!$J$13,DefaultData!$R67,DefaultData!$U67)))))</f>
        <v>0</v>
      </c>
      <c r="AA80" s="173"/>
      <c r="AE80" s="146" t="s">
        <v>172</v>
      </c>
      <c r="AF80" s="170">
        <f>DefaultData!$D67</f>
        <v>2619016.2625601673</v>
      </c>
      <c r="AG80" s="582"/>
      <c r="AH80" s="171"/>
      <c r="AI80" s="173">
        <f t="shared" si="7"/>
        <v>0</v>
      </c>
    </row>
    <row r="81" spans="1:35" x14ac:dyDescent="0.15">
      <c r="A81" s="588" t="s">
        <v>207</v>
      </c>
      <c r="B81" s="41">
        <f>DefaultData!X242</f>
        <v>137661.01989466159</v>
      </c>
      <c r="C81" s="580">
        <f t="shared" si="5"/>
        <v>0.45887006631553862</v>
      </c>
      <c r="D81" s="581">
        <f t="shared" si="6"/>
        <v>1.0226833490711587E-2</v>
      </c>
      <c r="E81" s="40">
        <f>$T711</f>
        <v>0</v>
      </c>
      <c r="F81" s="586"/>
      <c r="G81" s="417"/>
      <c r="H81" s="535"/>
      <c r="I81" s="535"/>
      <c r="J81" s="535"/>
      <c r="K81" s="535"/>
      <c r="L81" s="535"/>
      <c r="M81" s="535"/>
      <c r="N81" s="535"/>
      <c r="O81" s="535"/>
      <c r="P81" s="535"/>
      <c r="Q81" s="535"/>
      <c r="T81" s="173">
        <f>IF($T$12=0,DefaultData!$G68,IF($T$12=2,"Pop. Data Missing",IF($B$14&lt;DefaultData!$H$13,DefaultData!$H68,IF($B$14&lt;DefaultData!$I$13,DefaultData!$O68,IF($B$14&lt;DefaultData!$J$13,DefaultData!$R68,DefaultData!$U68)))))</f>
        <v>1</v>
      </c>
      <c r="AA81" s="173"/>
      <c r="AE81" s="589" t="s">
        <v>207</v>
      </c>
      <c r="AF81" s="170">
        <f>DefaultData!$D68</f>
        <v>136188.84565312869</v>
      </c>
      <c r="AG81" s="582"/>
      <c r="AH81" s="171"/>
      <c r="AI81" s="173">
        <f t="shared" si="7"/>
        <v>1</v>
      </c>
    </row>
    <row r="82" spans="1:35" ht="14" x14ac:dyDescent="0.15">
      <c r="A82" s="585" t="s">
        <v>495</v>
      </c>
      <c r="B82" s="41">
        <f>DefaultData!X243</f>
        <v>894796.62931530038</v>
      </c>
      <c r="C82" s="580">
        <f t="shared" si="5"/>
        <v>2.9826554310510014</v>
      </c>
      <c r="D82" s="581">
        <f t="shared" si="6"/>
        <v>6.6474417689625323E-2</v>
      </c>
      <c r="E82" s="40">
        <f>$T712</f>
        <v>0</v>
      </c>
      <c r="F82" s="586"/>
      <c r="G82" s="417"/>
      <c r="H82" s="535"/>
      <c r="I82" s="535"/>
      <c r="J82" s="535"/>
      <c r="K82" s="535"/>
      <c r="L82" s="535"/>
      <c r="M82" s="535"/>
      <c r="N82" s="535"/>
      <c r="O82" s="535"/>
      <c r="P82" s="535"/>
      <c r="Q82" s="535"/>
      <c r="T82" s="173">
        <f>IF($T$12=0,DefaultData!$G69,IF($T$12=2,"Pop. Data Missing",IF($B$14&lt;DefaultData!$H$13,DefaultData!$H69,IF($B$14&lt;DefaultData!$I$13,DefaultData!$O69,IF($B$14&lt;DefaultData!$J$13,DefaultData!$R69,DefaultData!$U69)))))</f>
        <v>1</v>
      </c>
      <c r="AE82" s="146" t="s">
        <v>180</v>
      </c>
      <c r="AF82" s="170">
        <f>DefaultData!$D69</f>
        <v>885227.49674533657</v>
      </c>
      <c r="AG82" s="582"/>
      <c r="AH82" s="171"/>
      <c r="AI82" s="173">
        <f t="shared" si="7"/>
        <v>1</v>
      </c>
    </row>
    <row r="83" spans="1:35" ht="14" x14ac:dyDescent="0.15">
      <c r="A83" s="585" t="s">
        <v>496</v>
      </c>
      <c r="B83" s="41">
        <f>DefaultData!X244</f>
        <v>7841383.4793843757</v>
      </c>
      <c r="C83" s="580">
        <f t="shared" si="5"/>
        <v>26.137944931281254</v>
      </c>
      <c r="D83" s="581">
        <f t="shared" si="6"/>
        <v>0.58253616922091755</v>
      </c>
      <c r="E83" s="40">
        <f>$T713</f>
        <v>0</v>
      </c>
      <c r="F83" s="586"/>
      <c r="G83" s="417"/>
      <c r="H83" s="535"/>
      <c r="I83" s="535"/>
      <c r="J83" s="535"/>
      <c r="K83" s="535"/>
      <c r="L83" s="535"/>
      <c r="M83" s="535"/>
      <c r="N83" s="535"/>
      <c r="O83" s="535"/>
      <c r="P83" s="535"/>
      <c r="Q83" s="535"/>
      <c r="T83" s="173">
        <f>IF($T$12=0,DefaultData!$G70,IF($T$12=2,"Pop. Data Missing",IF($B$14&lt;DefaultData!$H$13,DefaultData!$H70,IF($B$14&lt;DefaultData!$I$13,DefaultData!$O70,IF($B$14&lt;DefaultData!$J$13,DefaultData!$R70,DefaultData!$U70)))))</f>
        <v>0.02</v>
      </c>
      <c r="AE83" s="146" t="s">
        <v>181</v>
      </c>
      <c r="AF83" s="170">
        <f>DefaultData!$D70</f>
        <v>7757526.1697032144</v>
      </c>
      <c r="AG83" s="582"/>
      <c r="AH83" s="171"/>
      <c r="AI83" s="173">
        <f t="shared" si="7"/>
        <v>0.02</v>
      </c>
    </row>
    <row r="84" spans="1:35" x14ac:dyDescent="0.15">
      <c r="A84" s="590" t="s">
        <v>246</v>
      </c>
      <c r="B84" s="583">
        <f>SUM(B76:B83)</f>
        <v>12355958.977981098</v>
      </c>
      <c r="C84" s="580">
        <f>SUM(C76:C83)</f>
        <v>41.186529926603662</v>
      </c>
      <c r="D84" s="581">
        <f>SUM(D76:D83)</f>
        <v>0.91792386241630519</v>
      </c>
      <c r="E84" s="586"/>
      <c r="F84" s="586"/>
      <c r="G84" s="417"/>
      <c r="H84" s="535"/>
      <c r="I84" s="535"/>
      <c r="J84" s="535"/>
      <c r="K84" s="535"/>
      <c r="L84" s="535"/>
      <c r="M84" s="535"/>
      <c r="N84" s="535"/>
      <c r="O84" s="535"/>
      <c r="P84" s="535"/>
      <c r="Q84" s="535"/>
      <c r="AE84" s="589" t="s">
        <v>246</v>
      </c>
      <c r="AF84" s="170">
        <f>SUM(AF76:AF83)</f>
        <v>12223821.902789153</v>
      </c>
      <c r="AG84" s="582"/>
      <c r="AH84" s="171"/>
      <c r="AI84" s="175"/>
    </row>
    <row r="85" spans="1:35" ht="11.25" customHeight="1" x14ac:dyDescent="0.15">
      <c r="A85" s="378" t="s">
        <v>575</v>
      </c>
      <c r="B85" s="41">
        <f>DefaultData!$D72</f>
        <v>260766.71920890728</v>
      </c>
      <c r="C85" s="580">
        <f t="shared" si="5"/>
        <v>0.86922239736302431</v>
      </c>
      <c r="D85" s="581">
        <f t="shared" si="6"/>
        <v>1.9372352604312321E-2</v>
      </c>
      <c r="E85" s="40">
        <f>$E$108</f>
        <v>1</v>
      </c>
      <c r="F85" s="586"/>
      <c r="G85" s="417"/>
      <c r="H85" s="535"/>
      <c r="I85" s="535"/>
      <c r="J85" s="535"/>
      <c r="K85" s="535"/>
      <c r="L85" s="535"/>
      <c r="M85" s="535"/>
      <c r="N85" s="535"/>
      <c r="O85" s="535"/>
      <c r="P85" s="535"/>
      <c r="Q85" s="535"/>
      <c r="T85" s="173">
        <f>DefaultData!G72</f>
        <v>1</v>
      </c>
      <c r="AE85" s="226" t="s">
        <v>575</v>
      </c>
      <c r="AF85" s="170">
        <f>DefaultData!$D72</f>
        <v>260766.71920890728</v>
      </c>
      <c r="AG85" s="582"/>
      <c r="AH85" s="171"/>
      <c r="AI85" s="173">
        <f>$E$108</f>
        <v>1</v>
      </c>
    </row>
    <row r="86" spans="1:35" x14ac:dyDescent="0.15">
      <c r="A86" s="591" t="s">
        <v>578</v>
      </c>
      <c r="B86" s="41">
        <f>DefaultData!$D73</f>
        <v>0</v>
      </c>
      <c r="C86" s="580">
        <f t="shared" si="5"/>
        <v>0</v>
      </c>
      <c r="D86" s="581">
        <f t="shared" si="6"/>
        <v>0</v>
      </c>
      <c r="E86" s="40">
        <f>$T86</f>
        <v>1</v>
      </c>
      <c r="F86" s="586"/>
      <c r="G86" s="417"/>
      <c r="H86" s="535"/>
      <c r="I86" s="535"/>
      <c r="J86" s="535"/>
      <c r="K86" s="535"/>
      <c r="L86" s="535"/>
      <c r="M86" s="535"/>
      <c r="N86" s="535"/>
      <c r="O86" s="535"/>
      <c r="P86" s="535"/>
      <c r="Q86" s="535"/>
      <c r="T86" s="173">
        <f>DefaultData!G73</f>
        <v>1</v>
      </c>
      <c r="AE86" s="172" t="s">
        <v>578</v>
      </c>
      <c r="AF86" s="170">
        <f>DefaultData!$D73</f>
        <v>0</v>
      </c>
      <c r="AG86" s="582"/>
      <c r="AH86" s="171"/>
      <c r="AI86" s="173">
        <f t="shared" ref="AI86" si="8">$T86</f>
        <v>1</v>
      </c>
    </row>
    <row r="87" spans="1:35" ht="14.25" customHeight="1" x14ac:dyDescent="0.15">
      <c r="A87" s="374" t="s">
        <v>459</v>
      </c>
      <c r="B87" s="583">
        <f>B84+B85+B86+B74</f>
        <v>13460766.719208907</v>
      </c>
      <c r="C87" s="580">
        <f>C86+C85+C84+C74</f>
        <v>44.869222397363032</v>
      </c>
      <c r="D87" s="581">
        <f>D86+D85+D84+D74</f>
        <v>1</v>
      </c>
      <c r="E87" s="573"/>
      <c r="F87" s="586"/>
      <c r="G87" s="417"/>
      <c r="H87" s="535"/>
      <c r="I87" s="535"/>
      <c r="J87" s="535"/>
      <c r="K87" s="535"/>
      <c r="L87" s="535"/>
      <c r="M87" s="535"/>
      <c r="N87" s="535"/>
      <c r="O87" s="535"/>
      <c r="P87" s="535"/>
      <c r="Q87" s="535"/>
      <c r="AE87" s="177" t="s">
        <v>16</v>
      </c>
      <c r="AF87" s="170">
        <f>AF84+AF85+AF86+AF74</f>
        <v>13460766.719208907</v>
      </c>
      <c r="AG87" s="582"/>
      <c r="AH87" s="171"/>
    </row>
    <row r="88" spans="1:35" x14ac:dyDescent="0.15">
      <c r="A88" s="592"/>
      <c r="B88" s="593"/>
      <c r="C88" s="594"/>
      <c r="D88" s="535"/>
      <c r="E88" s="535"/>
      <c r="F88" s="417"/>
      <c r="G88" s="417"/>
      <c r="H88" s="535"/>
      <c r="I88" s="535"/>
      <c r="J88" s="535"/>
      <c r="K88" s="535"/>
      <c r="L88" s="535"/>
      <c r="M88" s="535"/>
      <c r="N88" s="535"/>
      <c r="O88" s="535"/>
      <c r="P88" s="535"/>
      <c r="Q88" s="535"/>
      <c r="AE88" s="177"/>
      <c r="AF88" s="595"/>
      <c r="AG88" s="582"/>
    </row>
    <row r="89" spans="1:35" ht="16" x14ac:dyDescent="0.2">
      <c r="A89" s="370" t="s">
        <v>161</v>
      </c>
      <c r="B89" s="596"/>
      <c r="C89" s="597"/>
      <c r="D89" s="597"/>
      <c r="E89" s="597"/>
      <c r="F89" s="597"/>
      <c r="G89" s="417"/>
      <c r="H89" s="535"/>
      <c r="I89" s="535"/>
      <c r="J89" s="535"/>
      <c r="K89" s="535"/>
      <c r="L89" s="535"/>
      <c r="M89" s="535"/>
      <c r="N89" s="535"/>
      <c r="O89" s="535"/>
      <c r="P89" s="535"/>
      <c r="Q89" s="535"/>
      <c r="AE89" s="178" t="s">
        <v>161</v>
      </c>
      <c r="AG89" s="175"/>
      <c r="AH89" s="175"/>
      <c r="AI89" s="175"/>
    </row>
    <row r="90" spans="1:35" x14ac:dyDescent="0.15">
      <c r="A90" s="598" t="s">
        <v>134</v>
      </c>
      <c r="B90" s="596"/>
      <c r="C90" s="597"/>
      <c r="D90" s="596"/>
      <c r="E90" s="599" t="s">
        <v>18</v>
      </c>
      <c r="F90" s="599"/>
      <c r="G90" s="417"/>
      <c r="H90" s="535"/>
      <c r="I90" s="535"/>
      <c r="J90" s="535"/>
      <c r="K90" s="535"/>
      <c r="L90" s="535"/>
      <c r="M90" s="535"/>
      <c r="N90" s="535"/>
      <c r="O90" s="535"/>
      <c r="P90" s="535"/>
      <c r="Q90" s="535"/>
      <c r="AE90" s="172" t="s">
        <v>134</v>
      </c>
      <c r="AG90" s="175"/>
      <c r="AI90" s="559" t="s">
        <v>18</v>
      </c>
    </row>
    <row r="91" spans="1:35" x14ac:dyDescent="0.15">
      <c r="A91" s="364" t="s">
        <v>230</v>
      </c>
      <c r="B91" s="367"/>
      <c r="C91" s="365"/>
      <c r="D91" s="367"/>
      <c r="E91" s="367"/>
      <c r="F91" s="600"/>
      <c r="G91" s="417"/>
      <c r="H91" s="535"/>
      <c r="I91" s="535"/>
      <c r="J91" s="535"/>
      <c r="K91" s="535"/>
      <c r="L91" s="535"/>
      <c r="M91" s="535"/>
      <c r="N91" s="535"/>
      <c r="O91" s="535"/>
      <c r="P91" s="535"/>
      <c r="Q91" s="535"/>
      <c r="AE91" s="172" t="s">
        <v>230</v>
      </c>
      <c r="AG91" s="175"/>
    </row>
    <row r="92" spans="1:35" x14ac:dyDescent="0.15">
      <c r="A92" s="368" t="s">
        <v>135</v>
      </c>
      <c r="B92" s="253">
        <f>DefaultData!$D84</f>
        <v>0.8</v>
      </c>
      <c r="C92" s="365"/>
      <c r="D92" s="367"/>
      <c r="E92" s="40">
        <f>DefaultData!$F84</f>
        <v>0</v>
      </c>
      <c r="F92" s="365"/>
      <c r="G92" s="417"/>
      <c r="H92" s="535"/>
      <c r="I92" s="535"/>
      <c r="J92" s="535"/>
      <c r="K92" s="535"/>
      <c r="L92" s="535"/>
      <c r="M92" s="535"/>
      <c r="N92" s="535"/>
      <c r="O92" s="535"/>
      <c r="P92" s="535"/>
      <c r="Q92" s="535"/>
      <c r="T92" s="173"/>
      <c r="AE92" s="95" t="s">
        <v>135</v>
      </c>
      <c r="AF92" s="601">
        <f>DefaultData!$D84</f>
        <v>0.8</v>
      </c>
      <c r="AG92" s="175"/>
      <c r="AI92" s="173">
        <f>DefaultData!$F84</f>
        <v>0</v>
      </c>
    </row>
    <row r="93" spans="1:35" x14ac:dyDescent="0.15">
      <c r="A93" s="368" t="s">
        <v>136</v>
      </c>
      <c r="B93" s="252">
        <f>DefaultData!$D85</f>
        <v>10</v>
      </c>
      <c r="C93" s="365"/>
      <c r="D93" s="367"/>
      <c r="E93" s="363"/>
      <c r="F93" s="365"/>
      <c r="G93" s="417"/>
      <c r="H93" s="535"/>
      <c r="I93" s="535"/>
      <c r="J93" s="535"/>
      <c r="K93" s="535"/>
      <c r="L93" s="535"/>
      <c r="M93" s="535"/>
      <c r="N93" s="535"/>
      <c r="O93" s="535"/>
      <c r="P93" s="535"/>
      <c r="Q93" s="535"/>
      <c r="AE93" s="95" t="s">
        <v>136</v>
      </c>
      <c r="AF93" s="602">
        <f>DefaultData!$D85</f>
        <v>10</v>
      </c>
      <c r="AG93" s="175"/>
      <c r="AI93" s="179"/>
    </row>
    <row r="94" spans="1:35" x14ac:dyDescent="0.15">
      <c r="A94" s="368" t="s">
        <v>137</v>
      </c>
      <c r="B94" s="253">
        <f>DefaultData!$D86</f>
        <v>6.3E-2</v>
      </c>
      <c r="C94" s="365"/>
      <c r="D94" s="367"/>
      <c r="E94" s="363"/>
      <c r="F94" s="365"/>
      <c r="G94" s="417"/>
      <c r="H94" s="535"/>
      <c r="I94" s="535"/>
      <c r="J94" s="535"/>
      <c r="K94" s="535"/>
      <c r="L94" s="535"/>
      <c r="M94" s="535"/>
      <c r="N94" s="535"/>
      <c r="O94" s="535"/>
      <c r="P94" s="535"/>
      <c r="Q94" s="535"/>
      <c r="AE94" s="95" t="s">
        <v>137</v>
      </c>
      <c r="AF94" s="601">
        <f>DefaultData!$D86</f>
        <v>6.3E-2</v>
      </c>
      <c r="AG94" s="175"/>
      <c r="AI94" s="179"/>
    </row>
    <row r="95" spans="1:35" x14ac:dyDescent="0.15">
      <c r="A95" s="603" t="s">
        <v>302</v>
      </c>
      <c r="B95" s="604"/>
      <c r="C95" s="365"/>
      <c r="D95" s="367"/>
      <c r="E95" s="364"/>
      <c r="F95" s="365"/>
      <c r="G95" s="417"/>
      <c r="H95" s="535"/>
      <c r="I95" s="535"/>
      <c r="J95" s="535"/>
      <c r="K95" s="535"/>
      <c r="L95" s="535"/>
      <c r="M95" s="535"/>
      <c r="N95" s="535"/>
      <c r="O95" s="535"/>
      <c r="P95" s="535"/>
      <c r="Q95" s="535"/>
      <c r="AE95" s="177" t="s">
        <v>302</v>
      </c>
      <c r="AF95" s="577"/>
      <c r="AG95" s="175"/>
      <c r="AI95" s="172"/>
    </row>
    <row r="96" spans="1:35" x14ac:dyDescent="0.15">
      <c r="A96" s="369" t="s">
        <v>228</v>
      </c>
      <c r="B96" s="639">
        <f>1-B92</f>
        <v>0.19999999999999996</v>
      </c>
      <c r="C96" s="365"/>
      <c r="D96" s="367"/>
      <c r="E96" s="364"/>
      <c r="F96" s="365"/>
      <c r="G96" s="417"/>
      <c r="H96" s="535"/>
      <c r="I96" s="535"/>
      <c r="J96" s="535"/>
      <c r="K96" s="535"/>
      <c r="L96" s="535"/>
      <c r="M96" s="535"/>
      <c r="N96" s="535"/>
      <c r="O96" s="535"/>
      <c r="P96" s="535"/>
      <c r="Q96" s="535"/>
      <c r="AE96" s="92" t="s">
        <v>228</v>
      </c>
      <c r="AF96" s="605">
        <f>1-AF92</f>
        <v>0.19999999999999996</v>
      </c>
      <c r="AG96" s="175"/>
      <c r="AI96" s="172"/>
    </row>
    <row r="97" spans="1:35" x14ac:dyDescent="0.15">
      <c r="A97" s="369" t="s">
        <v>247</v>
      </c>
      <c r="B97" s="254">
        <f>DefaultData!$D90</f>
        <v>0</v>
      </c>
      <c r="C97" s="365"/>
      <c r="D97" s="367"/>
      <c r="E97" s="40">
        <f>DefaultData!$F90</f>
        <v>1</v>
      </c>
      <c r="F97" s="365"/>
      <c r="G97" s="417"/>
      <c r="H97" s="535"/>
      <c r="I97" s="535"/>
      <c r="J97" s="535"/>
      <c r="K97" s="535"/>
      <c r="L97" s="535"/>
      <c r="M97" s="535"/>
      <c r="N97" s="535"/>
      <c r="O97" s="535"/>
      <c r="P97" s="535"/>
      <c r="Q97" s="535"/>
      <c r="AE97" s="92" t="s">
        <v>247</v>
      </c>
      <c r="AF97" s="260">
        <f>DefaultData!$D90</f>
        <v>0</v>
      </c>
      <c r="AG97" s="175"/>
      <c r="AI97" s="173">
        <f>DefaultData!$F90</f>
        <v>1</v>
      </c>
    </row>
    <row r="98" spans="1:35" x14ac:dyDescent="0.15">
      <c r="A98" s="369" t="s">
        <v>248</v>
      </c>
      <c r="B98" s="640">
        <f>1-B97</f>
        <v>1</v>
      </c>
      <c r="C98" s="365"/>
      <c r="D98" s="367"/>
      <c r="E98" s="40">
        <f>DefaultData!$F91</f>
        <v>0</v>
      </c>
      <c r="F98" s="365"/>
      <c r="G98" s="417"/>
      <c r="H98" s="535"/>
      <c r="I98" s="535"/>
      <c r="J98" s="535"/>
      <c r="K98" s="535"/>
      <c r="L98" s="535"/>
      <c r="M98" s="535"/>
      <c r="N98" s="535"/>
      <c r="O98" s="535"/>
      <c r="P98" s="535"/>
      <c r="Q98" s="535"/>
      <c r="AE98" s="92" t="s">
        <v>248</v>
      </c>
      <c r="AF98" s="260">
        <f>1-AF97</f>
        <v>1</v>
      </c>
      <c r="AG98" s="175"/>
      <c r="AI98" s="173">
        <f>DefaultData!$F91</f>
        <v>0</v>
      </c>
    </row>
    <row r="99" spans="1:35" x14ac:dyDescent="0.15">
      <c r="A99" s="369" t="s">
        <v>280</v>
      </c>
      <c r="B99" s="254">
        <f>DefaultData!$D92</f>
        <v>0.12</v>
      </c>
      <c r="C99" s="365"/>
      <c r="D99" s="367"/>
      <c r="E99" s="363"/>
      <c r="F99" s="365"/>
      <c r="G99" s="417"/>
      <c r="H99" s="535"/>
      <c r="I99" s="535"/>
      <c r="J99" s="535"/>
      <c r="K99" s="535"/>
      <c r="L99" s="535"/>
      <c r="M99" s="535"/>
      <c r="N99" s="535"/>
      <c r="O99" s="535"/>
      <c r="P99" s="535"/>
      <c r="Q99" s="535"/>
      <c r="AE99" s="92" t="s">
        <v>280</v>
      </c>
      <c r="AF99" s="260">
        <f>DefaultData!$D92</f>
        <v>0.12</v>
      </c>
      <c r="AG99" s="175"/>
      <c r="AI99" s="179"/>
    </row>
    <row r="100" spans="1:35" x14ac:dyDescent="0.15">
      <c r="A100" s="369" t="s">
        <v>235</v>
      </c>
      <c r="B100" s="255">
        <f>DefaultData!$D93</f>
        <v>10</v>
      </c>
      <c r="C100" s="365"/>
      <c r="D100" s="367"/>
      <c r="E100" s="363"/>
      <c r="F100" s="365"/>
      <c r="G100" s="417"/>
      <c r="H100" s="535"/>
      <c r="I100" s="535"/>
      <c r="J100" s="535"/>
      <c r="K100" s="535"/>
      <c r="L100" s="535"/>
      <c r="M100" s="535"/>
      <c r="N100" s="535"/>
      <c r="O100" s="535"/>
      <c r="P100" s="535"/>
      <c r="Q100" s="535"/>
      <c r="AE100" s="92" t="s">
        <v>235</v>
      </c>
      <c r="AF100" s="606">
        <f>DefaultData!$D93</f>
        <v>10</v>
      </c>
      <c r="AG100" s="175"/>
      <c r="AI100" s="179"/>
    </row>
    <row r="101" spans="1:35" x14ac:dyDescent="0.15">
      <c r="A101" s="364" t="s">
        <v>203</v>
      </c>
      <c r="B101" s="607"/>
      <c r="C101" s="365"/>
      <c r="D101" s="367"/>
      <c r="E101" s="365"/>
      <c r="F101" s="365"/>
      <c r="G101" s="417"/>
      <c r="H101" s="535"/>
      <c r="I101" s="535"/>
      <c r="J101" s="535"/>
      <c r="K101" s="535"/>
      <c r="L101" s="535"/>
      <c r="M101" s="569"/>
      <c r="N101" s="535"/>
      <c r="O101" s="535"/>
      <c r="P101" s="535"/>
      <c r="Q101" s="535"/>
      <c r="AE101" s="172" t="s">
        <v>203</v>
      </c>
      <c r="AF101" s="601"/>
      <c r="AG101" s="175"/>
      <c r="AI101" s="175"/>
    </row>
    <row r="102" spans="1:35" x14ac:dyDescent="0.15">
      <c r="A102" s="608" t="s">
        <v>653</v>
      </c>
      <c r="B102" s="303" t="str">
        <f>DefaultData!$D95</f>
        <v>NA</v>
      </c>
      <c r="C102" s="366"/>
      <c r="D102" s="367"/>
      <c r="E102" s="363"/>
      <c r="F102" s="365"/>
      <c r="G102" s="417"/>
      <c r="H102" s="535"/>
      <c r="I102" s="535"/>
      <c r="J102" s="535"/>
      <c r="K102" s="535"/>
      <c r="L102" s="535"/>
      <c r="M102" s="569"/>
      <c r="N102" s="535"/>
      <c r="O102" s="535"/>
      <c r="P102" s="535"/>
      <c r="Q102" s="535"/>
      <c r="R102" s="305">
        <f>IF($B102="NA",1,0)</f>
        <v>1</v>
      </c>
      <c r="AE102" s="610" t="s">
        <v>652</v>
      </c>
      <c r="AF102" s="609" t="str">
        <f>DefaultData!$D95</f>
        <v>NA</v>
      </c>
      <c r="AG102" s="305"/>
      <c r="AI102" s="179"/>
    </row>
    <row r="103" spans="1:35" x14ac:dyDescent="0.15">
      <c r="A103" s="611" t="s">
        <v>208</v>
      </c>
      <c r="B103" s="254" t="str">
        <f>DefaultData!$D96</f>
        <v>NA</v>
      </c>
      <c r="C103" s="612" t="str">
        <f>IF(R102=1,IF(R103=1,"","  Please enter Local Property Tax Rate in cell B102 or set cell B103 to NA."),IF(R103&lt;1,"","  Please enter Assessed value percentage in cell B103 or set cell B102 to NA"))</f>
        <v/>
      </c>
      <c r="D103" s="367"/>
      <c r="E103" s="363"/>
      <c r="F103" s="365"/>
      <c r="G103" s="417"/>
      <c r="H103" s="535"/>
      <c r="I103" s="535"/>
      <c r="J103" s="535"/>
      <c r="K103" s="535"/>
      <c r="L103" s="535"/>
      <c r="M103" s="569"/>
      <c r="N103" s="535"/>
      <c r="O103" s="535"/>
      <c r="P103" s="535"/>
      <c r="Q103" s="535"/>
      <c r="R103" s="305">
        <f>IF($B103="NA",1,0)</f>
        <v>1</v>
      </c>
      <c r="AE103" s="589" t="s">
        <v>208</v>
      </c>
      <c r="AF103" s="260" t="str">
        <f>DefaultData!$D96</f>
        <v>NA</v>
      </c>
      <c r="AG103" s="175"/>
      <c r="AI103" s="179"/>
    </row>
    <row r="104" spans="1:35" x14ac:dyDescent="0.15">
      <c r="A104" s="611"/>
      <c r="B104" s="340"/>
      <c r="C104" s="365"/>
      <c r="D104" s="367"/>
      <c r="E104" s="363"/>
      <c r="F104" s="365"/>
      <c r="G104" s="417"/>
      <c r="H104" s="535"/>
      <c r="I104" s="535"/>
      <c r="J104" s="535"/>
      <c r="K104" s="535"/>
      <c r="L104" s="535"/>
      <c r="M104" s="535"/>
      <c r="N104" s="535"/>
      <c r="O104" s="535"/>
      <c r="P104" s="535"/>
      <c r="Q104" s="535"/>
      <c r="AE104" s="589"/>
      <c r="AF104" s="613"/>
      <c r="AG104" s="175"/>
      <c r="AI104" s="179"/>
    </row>
    <row r="105" spans="1:35" x14ac:dyDescent="0.15">
      <c r="A105" s="611" t="s">
        <v>298</v>
      </c>
      <c r="B105" s="256" t="str">
        <f>IF($B102="NA","NA",$B64*$B103)</f>
        <v>NA</v>
      </c>
      <c r="C105" s="615"/>
      <c r="D105" s="367"/>
      <c r="E105" s="363"/>
      <c r="F105" s="365"/>
      <c r="G105" s="417"/>
      <c r="H105" s="535"/>
      <c r="I105" s="535"/>
      <c r="J105" s="535"/>
      <c r="K105" s="535"/>
      <c r="L105" s="535"/>
      <c r="M105" s="535"/>
      <c r="N105" s="535"/>
      <c r="O105" s="535"/>
      <c r="P105" s="535"/>
      <c r="Q105" s="535"/>
      <c r="AE105" s="589" t="s">
        <v>298</v>
      </c>
      <c r="AF105" s="614" t="str">
        <f>IF($B102="NA","NA",$B64*$B103)</f>
        <v>NA</v>
      </c>
      <c r="AG105" s="616"/>
      <c r="AI105" s="179"/>
    </row>
    <row r="106" spans="1:35" x14ac:dyDescent="0.15">
      <c r="A106" s="617" t="s">
        <v>440</v>
      </c>
      <c r="B106" s="256">
        <f>DefaultData!$D99</f>
        <v>2971</v>
      </c>
      <c r="C106" s="618" t="str">
        <f>IF(B106&lt;&gt;DefaultData!D99,IF(B102&lt;&gt;"na","    'na' (without quotes) must be entered in cell B102",""),"")</f>
        <v/>
      </c>
      <c r="D106" s="367"/>
      <c r="E106" s="363"/>
      <c r="F106" s="365"/>
      <c r="G106" s="417"/>
      <c r="H106" s="535"/>
      <c r="I106" s="535"/>
      <c r="J106" s="535"/>
      <c r="K106" s="535"/>
      <c r="L106" s="535"/>
      <c r="M106" s="535"/>
      <c r="N106" s="535"/>
      <c r="O106" s="535"/>
      <c r="P106" s="535"/>
      <c r="Q106" s="535"/>
      <c r="AE106" s="619" t="s">
        <v>440</v>
      </c>
      <c r="AF106" s="614">
        <f>DefaultData!$D99</f>
        <v>2971</v>
      </c>
      <c r="AG106" s="620" t="str">
        <f>IF(AF106&lt;&gt;DefaultData!AH99,IF(AF102&lt;&gt;"na","    'na' (without quotes) must be entered in cell B102",""),"")</f>
        <v/>
      </c>
      <c r="AI106" s="179"/>
    </row>
    <row r="107" spans="1:35" x14ac:dyDescent="0.15">
      <c r="A107" s="611" t="s">
        <v>209</v>
      </c>
      <c r="B107" s="256">
        <f>IF($B102="NA",IF(B106="NA",0,$B106*$B16),($B105/1000)*$B102)</f>
        <v>891300</v>
      </c>
      <c r="C107" s="621"/>
      <c r="D107" s="367"/>
      <c r="E107" s="40">
        <f>DefaultData!$F100</f>
        <v>1</v>
      </c>
      <c r="F107" s="365"/>
      <c r="G107" s="417"/>
      <c r="H107" s="535"/>
      <c r="I107" s="535"/>
      <c r="J107" s="535"/>
      <c r="K107" s="535"/>
      <c r="L107" s="535"/>
      <c r="M107" s="535"/>
      <c r="N107" s="535"/>
      <c r="O107" s="535"/>
      <c r="P107" s="535"/>
      <c r="Q107" s="535"/>
      <c r="AE107" s="589" t="s">
        <v>209</v>
      </c>
      <c r="AF107" s="614">
        <f>IF($B102="NA",IF(AF106="NA",0,$B106*$B16),($B105/1000)*$B102)</f>
        <v>891300</v>
      </c>
      <c r="AG107" s="170"/>
      <c r="AI107" s="173">
        <f>DefaultData!$F100</f>
        <v>1</v>
      </c>
    </row>
    <row r="108" spans="1:35" x14ac:dyDescent="0.15">
      <c r="A108" s="611" t="s">
        <v>577</v>
      </c>
      <c r="B108" s="259">
        <f>DefaultData!$D101</f>
        <v>2.9000000000000001E-2</v>
      </c>
      <c r="C108" s="621"/>
      <c r="D108" s="367"/>
      <c r="E108" s="40">
        <f>DefaultData!$F101</f>
        <v>1</v>
      </c>
      <c r="F108" s="365"/>
      <c r="G108" s="417"/>
      <c r="H108" s="535"/>
      <c r="I108" s="535"/>
      <c r="J108" s="535"/>
      <c r="K108" s="535"/>
      <c r="L108" s="535"/>
      <c r="M108" s="535"/>
      <c r="N108" s="535"/>
      <c r="O108" s="535"/>
      <c r="P108" s="535"/>
      <c r="Q108" s="535"/>
      <c r="AE108" s="610" t="s">
        <v>624</v>
      </c>
      <c r="AF108" s="622">
        <f>DefaultData!$D101</f>
        <v>2.9000000000000001E-2</v>
      </c>
      <c r="AG108" s="170"/>
      <c r="AI108" s="173">
        <f>DefaultData!$F101</f>
        <v>1</v>
      </c>
    </row>
    <row r="109" spans="1:35" x14ac:dyDescent="0.15">
      <c r="A109" s="364" t="s">
        <v>204</v>
      </c>
      <c r="B109" s="623"/>
      <c r="C109" s="365"/>
      <c r="D109" s="367"/>
      <c r="E109" s="367"/>
      <c r="F109" s="365"/>
      <c r="G109" s="417"/>
      <c r="H109" s="535"/>
      <c r="I109" s="535"/>
      <c r="J109" s="535"/>
      <c r="K109" s="535"/>
      <c r="L109" s="535"/>
      <c r="M109" s="535"/>
      <c r="N109" s="535"/>
      <c r="O109" s="535"/>
      <c r="P109" s="535"/>
      <c r="Q109" s="535"/>
      <c r="AE109" s="172" t="s">
        <v>204</v>
      </c>
      <c r="AF109" s="613"/>
      <c r="AG109" s="175"/>
    </row>
    <row r="110" spans="1:35" x14ac:dyDescent="0.15">
      <c r="A110" s="608" t="s">
        <v>788</v>
      </c>
      <c r="B110" s="256">
        <f>DefaultData!$D103</f>
        <v>13032.5</v>
      </c>
      <c r="C110" s="365"/>
      <c r="D110" s="367"/>
      <c r="E110" s="363"/>
      <c r="F110" s="365"/>
      <c r="G110" s="417"/>
      <c r="H110" s="535"/>
      <c r="I110" s="535"/>
      <c r="J110" s="535"/>
      <c r="K110" s="535"/>
      <c r="L110" s="535"/>
      <c r="M110" s="535"/>
      <c r="N110" s="535"/>
      <c r="O110" s="535"/>
      <c r="P110" s="535"/>
      <c r="Q110" s="535"/>
      <c r="AE110" s="92" t="s">
        <v>252</v>
      </c>
      <c r="AF110" s="614">
        <f>DefaultData!$D103</f>
        <v>13032.5</v>
      </c>
      <c r="AG110" s="175"/>
      <c r="AI110" s="179"/>
    </row>
    <row r="111" spans="1:35" x14ac:dyDescent="0.15">
      <c r="A111" s="624" t="s">
        <v>249</v>
      </c>
      <c r="B111" s="625">
        <f>B19</f>
        <v>120</v>
      </c>
      <c r="C111" s="365"/>
      <c r="D111" s="367"/>
      <c r="E111" s="363"/>
      <c r="F111" s="365"/>
      <c r="G111" s="417"/>
      <c r="H111" s="535"/>
      <c r="I111" s="535"/>
      <c r="J111" s="535"/>
      <c r="K111" s="535"/>
      <c r="L111" s="535"/>
      <c r="M111" s="535"/>
      <c r="N111" s="535"/>
      <c r="O111" s="535"/>
      <c r="P111" s="535"/>
      <c r="Q111" s="535"/>
      <c r="AE111" s="239" t="s">
        <v>249</v>
      </c>
      <c r="AF111" s="626">
        <f>AF19</f>
        <v>0</v>
      </c>
      <c r="AG111" s="175"/>
      <c r="AI111" s="179"/>
    </row>
    <row r="112" spans="1:35" x14ac:dyDescent="0.15">
      <c r="A112" s="611" t="s">
        <v>205</v>
      </c>
      <c r="B112" s="257">
        <f>B111*B110</f>
        <v>1563900</v>
      </c>
      <c r="C112" s="365"/>
      <c r="D112" s="367"/>
      <c r="E112" s="363"/>
      <c r="F112" s="365"/>
      <c r="G112" s="417"/>
      <c r="H112" s="535"/>
      <c r="I112" s="535"/>
      <c r="J112" s="535"/>
      <c r="K112" s="535"/>
      <c r="L112" s="535"/>
      <c r="M112" s="535"/>
      <c r="N112" s="535"/>
      <c r="O112" s="535"/>
      <c r="P112" s="535"/>
      <c r="Q112" s="535"/>
      <c r="AE112" s="589" t="s">
        <v>205</v>
      </c>
      <c r="AF112" s="627">
        <f>AF111*AF110</f>
        <v>0</v>
      </c>
      <c r="AG112" s="175"/>
      <c r="AI112" s="179"/>
    </row>
    <row r="113" spans="1:35" x14ac:dyDescent="0.15">
      <c r="A113" s="611" t="s">
        <v>273</v>
      </c>
      <c r="B113" s="256" t="str">
        <f>DefaultData!$D105</f>
        <v>F</v>
      </c>
      <c r="C113" s="367"/>
      <c r="D113" s="367"/>
      <c r="E113" s="40">
        <f>DefaultData!$F105</f>
        <v>1</v>
      </c>
      <c r="F113" s="365"/>
      <c r="G113" s="417"/>
      <c r="H113" s="535"/>
      <c r="I113" s="535"/>
      <c r="J113" s="535"/>
      <c r="K113" s="535"/>
      <c r="L113" s="535"/>
      <c r="M113" s="535"/>
      <c r="N113" s="535"/>
      <c r="O113" s="535"/>
      <c r="P113" s="535"/>
      <c r="Q113" s="535"/>
      <c r="AE113" s="589" t="s">
        <v>273</v>
      </c>
      <c r="AF113" s="614" t="str">
        <f>DefaultData!$D105</f>
        <v>F</v>
      </c>
      <c r="AG113" s="628"/>
      <c r="AI113" s="173">
        <f>DefaultData!$F105</f>
        <v>1</v>
      </c>
    </row>
    <row r="114" spans="1:35" x14ac:dyDescent="0.15">
      <c r="A114" s="629" t="s">
        <v>327</v>
      </c>
      <c r="B114" s="630" t="str">
        <f>IF(DefaultData!O114=DefaultData!E114,"","Do not change Construction 'Wage per hour' without changing Construction 'Labor Costs' above." )</f>
        <v/>
      </c>
      <c r="C114" s="367"/>
      <c r="D114" s="367"/>
      <c r="E114" s="631"/>
      <c r="F114" s="365"/>
      <c r="G114" s="417"/>
      <c r="H114" s="535"/>
      <c r="I114" s="535"/>
      <c r="J114" s="535"/>
      <c r="K114" s="535"/>
      <c r="L114" s="535"/>
      <c r="M114" s="535"/>
      <c r="N114" s="535"/>
      <c r="O114" s="535"/>
      <c r="P114" s="535"/>
      <c r="Q114" s="535"/>
      <c r="AE114" s="189" t="s">
        <v>327</v>
      </c>
      <c r="AF114" s="632" t="str">
        <f>IF(DefaultData!AS114=DefaultData!AI114,"","Do not change Construction 'Wage per hour' without changing Construction 'Labor Costs' above." )</f>
        <v/>
      </c>
      <c r="AI114" s="173"/>
    </row>
    <row r="115" spans="1:35" x14ac:dyDescent="0.15">
      <c r="A115" s="629" t="s">
        <v>498</v>
      </c>
      <c r="B115" s="633" t="s">
        <v>521</v>
      </c>
      <c r="C115" s="367"/>
      <c r="D115" s="600" t="s">
        <v>551</v>
      </c>
      <c r="E115" s="631"/>
      <c r="F115" s="365"/>
      <c r="G115" s="417"/>
      <c r="H115" s="535"/>
      <c r="I115" s="535"/>
      <c r="J115" s="535"/>
      <c r="K115" s="535"/>
      <c r="L115" s="535"/>
      <c r="M115" s="535"/>
      <c r="N115" s="535"/>
      <c r="O115" s="535"/>
      <c r="P115" s="535"/>
      <c r="Q115" s="535"/>
      <c r="AE115" s="189" t="s">
        <v>498</v>
      </c>
      <c r="AF115" s="634" t="s">
        <v>521</v>
      </c>
      <c r="AH115" s="559" t="s">
        <v>551</v>
      </c>
      <c r="AI115" s="173"/>
    </row>
    <row r="116" spans="1:35" x14ac:dyDescent="0.15">
      <c r="A116" s="368" t="s">
        <v>500</v>
      </c>
      <c r="B116" s="180">
        <f>DefaultData!$E110</f>
        <v>50.29</v>
      </c>
      <c r="C116" s="367"/>
      <c r="D116" s="217">
        <f>DefaultData!$G110</f>
        <v>0.37606110248282032</v>
      </c>
      <c r="E116" s="635" t="str">
        <f>IF(DefaultData!Q114=DefaultData!G114,"","Please review comment - point to red triangle in cell corner." )</f>
        <v/>
      </c>
      <c r="F116" s="365"/>
      <c r="G116" s="417"/>
      <c r="H116" s="535"/>
      <c r="I116" s="535"/>
      <c r="J116" s="535"/>
      <c r="K116" s="535"/>
      <c r="L116" s="535"/>
      <c r="M116" s="535"/>
      <c r="N116" s="535"/>
      <c r="O116" s="535"/>
      <c r="P116" s="535"/>
      <c r="Q116" s="535"/>
      <c r="AE116" s="95" t="s">
        <v>500</v>
      </c>
      <c r="AF116" s="582">
        <f>DefaultData!$E110</f>
        <v>50.29</v>
      </c>
      <c r="AH116" s="171">
        <f>DefaultData!$G110</f>
        <v>0.37606110248282032</v>
      </c>
      <c r="AI116" s="565" t="str">
        <f>IF(DefaultData!AU114=DefaultData!AK114,"","Please review comment - point to red triangle in cell corner." )</f>
        <v/>
      </c>
    </row>
    <row r="117" spans="1:35" x14ac:dyDescent="0.15">
      <c r="A117" s="368" t="s">
        <v>501</v>
      </c>
      <c r="B117" s="180">
        <f>DefaultData!$E111</f>
        <v>52.14</v>
      </c>
      <c r="C117" s="367"/>
      <c r="D117" s="217">
        <f>DefaultData!$G111</f>
        <v>0.37606110248282032</v>
      </c>
      <c r="E117" s="631"/>
      <c r="F117" s="365"/>
      <c r="G117" s="417"/>
      <c r="H117" s="535"/>
      <c r="I117" s="535"/>
      <c r="J117" s="535"/>
      <c r="K117" s="535"/>
      <c r="L117" s="535"/>
      <c r="M117" s="535"/>
      <c r="N117" s="535"/>
      <c r="O117" s="535"/>
      <c r="P117" s="535"/>
      <c r="Q117" s="535"/>
      <c r="AE117" s="95" t="s">
        <v>501</v>
      </c>
      <c r="AF117" s="582">
        <f>DefaultData!$E111</f>
        <v>52.14</v>
      </c>
      <c r="AH117" s="171">
        <f>DefaultData!$G111</f>
        <v>0.37606110248282032</v>
      </c>
      <c r="AI117" s="173"/>
    </row>
    <row r="118" spans="1:35" x14ac:dyDescent="0.15">
      <c r="A118" s="368" t="s">
        <v>502</v>
      </c>
      <c r="B118" s="180">
        <f>DefaultData!$E112</f>
        <v>55.8</v>
      </c>
      <c r="C118" s="367"/>
      <c r="D118" s="217">
        <f>DefaultData!$G112</f>
        <v>0.37606110248282032</v>
      </c>
      <c r="E118" s="631"/>
      <c r="F118" s="365"/>
      <c r="G118" s="417"/>
      <c r="H118" s="535"/>
      <c r="I118" s="535"/>
      <c r="J118" s="535"/>
      <c r="K118" s="535"/>
      <c r="L118" s="535"/>
      <c r="M118" s="535"/>
      <c r="N118" s="535"/>
      <c r="O118" s="535"/>
      <c r="P118" s="535"/>
      <c r="Q118" s="535"/>
      <c r="AE118" s="95" t="s">
        <v>502</v>
      </c>
      <c r="AF118" s="582">
        <f>DefaultData!$E112</f>
        <v>55.8</v>
      </c>
      <c r="AH118" s="171">
        <f>DefaultData!$G112</f>
        <v>0.37606110248282032</v>
      </c>
      <c r="AI118" s="173"/>
    </row>
    <row r="119" spans="1:35" x14ac:dyDescent="0.15">
      <c r="A119" s="368" t="s">
        <v>503</v>
      </c>
      <c r="B119" s="180">
        <f>DefaultData!$E113</f>
        <v>47.03</v>
      </c>
      <c r="C119" s="367"/>
      <c r="D119" s="217">
        <f>DefaultData!$G113</f>
        <v>0.37606110248282032</v>
      </c>
      <c r="E119" s="631"/>
      <c r="F119" s="365"/>
      <c r="G119" s="417"/>
      <c r="H119" s="535"/>
      <c r="I119" s="535"/>
      <c r="J119" s="535"/>
      <c r="K119" s="535"/>
      <c r="L119" s="535"/>
      <c r="M119" s="535"/>
      <c r="N119" s="535"/>
      <c r="O119" s="535"/>
      <c r="P119" s="535"/>
      <c r="Q119" s="535"/>
      <c r="AE119" s="95" t="s">
        <v>503</v>
      </c>
      <c r="AF119" s="582">
        <f>DefaultData!$E113</f>
        <v>47.03</v>
      </c>
      <c r="AH119" s="171">
        <f>DefaultData!$G113</f>
        <v>0.37606110248282032</v>
      </c>
      <c r="AI119" s="173"/>
    </row>
    <row r="120" spans="1:35" x14ac:dyDescent="0.15">
      <c r="A120" s="629" t="s">
        <v>499</v>
      </c>
      <c r="B120" s="633" t="s">
        <v>521</v>
      </c>
      <c r="C120" s="367"/>
      <c r="D120" s="600" t="s">
        <v>551</v>
      </c>
      <c r="E120" s="631"/>
      <c r="F120" s="365"/>
      <c r="G120" s="417"/>
      <c r="H120" s="535"/>
      <c r="I120" s="535"/>
      <c r="J120" s="535"/>
      <c r="K120" s="535"/>
      <c r="L120" s="535"/>
      <c r="M120" s="535"/>
      <c r="N120" s="535"/>
      <c r="O120" s="535"/>
      <c r="P120" s="535"/>
      <c r="Q120" s="535"/>
      <c r="AE120" s="189"/>
      <c r="AF120" s="634" t="s">
        <v>521</v>
      </c>
      <c r="AH120" s="559" t="s">
        <v>551</v>
      </c>
      <c r="AI120" s="173"/>
    </row>
    <row r="121" spans="1:35" x14ac:dyDescent="0.15">
      <c r="A121" s="369" t="s">
        <v>201</v>
      </c>
      <c r="B121" s="180">
        <f>DefaultData!$E115</f>
        <v>24.815033103797841</v>
      </c>
      <c r="C121" s="364"/>
      <c r="D121" s="217">
        <f>DefaultData!$G115</f>
        <v>0.37606110248282032</v>
      </c>
      <c r="E121" s="635" t="str">
        <f>IF(DefaultData!Q118=DefaultData!G118,""," See comment - point to red triangle in cell corner." )</f>
        <v/>
      </c>
      <c r="F121" s="365"/>
      <c r="G121" s="417"/>
      <c r="H121" s="535"/>
      <c r="I121" s="535"/>
      <c r="J121" s="535"/>
      <c r="K121" s="535"/>
      <c r="L121" s="535"/>
      <c r="M121" s="535"/>
      <c r="N121" s="535"/>
      <c r="O121" s="535"/>
      <c r="P121" s="535"/>
      <c r="Q121" s="535"/>
      <c r="AE121" s="92" t="s">
        <v>201</v>
      </c>
      <c r="AF121" s="582">
        <f>DefaultData!$E115</f>
        <v>24.815033103797841</v>
      </c>
      <c r="AG121" s="172"/>
      <c r="AH121" s="171">
        <f>DefaultData!$G115</f>
        <v>0.37606110248282032</v>
      </c>
      <c r="AI121" s="565" t="str">
        <f>IF(DefaultData!AU118=DefaultData!AK118,""," See comment - point to red triangle in cell corner." )</f>
        <v/>
      </c>
    </row>
    <row r="122" spans="1:35" x14ac:dyDescent="0.15">
      <c r="A122" s="368" t="s">
        <v>409</v>
      </c>
      <c r="B122" s="180">
        <f>DefaultData!$E116</f>
        <v>15.881621186430618</v>
      </c>
      <c r="C122" s="621"/>
      <c r="D122" s="217">
        <f>DefaultData!$G116</f>
        <v>0.37606110248282032</v>
      </c>
      <c r="E122" s="365"/>
      <c r="F122" s="365"/>
      <c r="G122" s="417"/>
      <c r="H122" s="535"/>
      <c r="I122" s="535"/>
      <c r="J122" s="535"/>
      <c r="K122" s="535"/>
      <c r="L122" s="535"/>
      <c r="M122" s="535"/>
      <c r="N122" s="535"/>
      <c r="O122" s="535"/>
      <c r="P122" s="535"/>
      <c r="Q122" s="535"/>
      <c r="AE122" s="95" t="s">
        <v>409</v>
      </c>
      <c r="AF122" s="582">
        <f>DefaultData!$E116</f>
        <v>15.881621186430618</v>
      </c>
      <c r="AG122" s="170"/>
      <c r="AH122" s="171">
        <f>DefaultData!$G116</f>
        <v>0.37606110248282032</v>
      </c>
      <c r="AI122" s="175"/>
    </row>
    <row r="123" spans="1:35" x14ac:dyDescent="0.15">
      <c r="A123" s="368" t="s">
        <v>503</v>
      </c>
      <c r="B123" s="180">
        <f>DefaultData!$E117</f>
        <v>39.704052966076546</v>
      </c>
      <c r="C123" s="621"/>
      <c r="D123" s="217">
        <f>DefaultData!$G117</f>
        <v>0.37606110248282032</v>
      </c>
      <c r="E123" s="365"/>
      <c r="F123" s="365"/>
      <c r="G123" s="417"/>
      <c r="H123" s="535"/>
      <c r="I123" s="535"/>
      <c r="J123" s="535"/>
      <c r="K123" s="535"/>
      <c r="L123" s="535"/>
      <c r="M123" s="535"/>
      <c r="N123" s="535"/>
      <c r="O123" s="535"/>
      <c r="P123" s="535"/>
      <c r="Q123" s="535"/>
      <c r="AE123" s="95" t="s">
        <v>410</v>
      </c>
      <c r="AF123" s="582">
        <f>DefaultData!$E117</f>
        <v>39.704052966076546</v>
      </c>
      <c r="AG123" s="170"/>
      <c r="AH123" s="171">
        <f>DefaultData!$G117</f>
        <v>0.37606110248282032</v>
      </c>
      <c r="AI123" s="175"/>
    </row>
    <row r="124" spans="1:35" x14ac:dyDescent="0.15">
      <c r="A124" s="420"/>
      <c r="B124" s="636" t="str">
        <f>IF(DefaultData!$O118=DefaultData!E118,"","Do not change O&amp;M 'Wage per hour' without changing O&amp;M 'Labor Personnel Costs' above. " )</f>
        <v/>
      </c>
      <c r="C124" s="569"/>
      <c r="D124" s="535"/>
      <c r="E124" s="417"/>
      <c r="F124" s="417"/>
      <c r="G124" s="417"/>
      <c r="H124" s="535"/>
      <c r="I124" s="535"/>
      <c r="J124" s="535"/>
      <c r="K124" s="535"/>
      <c r="L124" s="535"/>
      <c r="M124" s="535"/>
      <c r="N124" s="535"/>
      <c r="O124" s="535"/>
      <c r="P124" s="535"/>
      <c r="Q124" s="535"/>
    </row>
    <row r="125" spans="1:35" x14ac:dyDescent="0.15">
      <c r="A125" s="637"/>
      <c r="B125" s="535"/>
      <c r="C125" s="535"/>
      <c r="D125" s="636" t="str">
        <f>IF(DefaultData!O$118=DefaultData!E$118,"","  See comment - point cursor to red triangle in cell corner" )</f>
        <v/>
      </c>
      <c r="E125" s="417"/>
      <c r="F125" s="417"/>
      <c r="G125" s="417"/>
      <c r="H125" s="535"/>
      <c r="I125" s="535"/>
      <c r="J125" s="535"/>
      <c r="K125" s="535"/>
      <c r="L125" s="535"/>
      <c r="M125" s="535"/>
      <c r="N125" s="535"/>
      <c r="O125" s="535"/>
      <c r="P125" s="535"/>
      <c r="Q125" s="535"/>
    </row>
    <row r="126" spans="1:35" x14ac:dyDescent="0.15">
      <c r="A126" s="637"/>
      <c r="B126" s="637"/>
      <c r="C126" s="535"/>
      <c r="D126" s="638"/>
      <c r="E126" s="417"/>
      <c r="F126" s="417"/>
      <c r="G126" s="417"/>
      <c r="H126" s="535"/>
      <c r="I126" s="535"/>
      <c r="J126" s="535"/>
      <c r="K126" s="535"/>
      <c r="L126" s="535"/>
      <c r="M126" s="535"/>
      <c r="N126" s="535"/>
      <c r="O126" s="535"/>
      <c r="P126" s="535"/>
      <c r="Q126" s="535"/>
    </row>
    <row r="127" spans="1:35" ht="15.75" customHeight="1" x14ac:dyDescent="0.15">
      <c r="A127" s="637"/>
      <c r="B127" s="637"/>
      <c r="C127" s="535"/>
      <c r="D127" s="637"/>
      <c r="E127" s="417"/>
      <c r="F127" s="417"/>
      <c r="G127" s="417"/>
      <c r="H127" s="535"/>
      <c r="I127" s="535"/>
      <c r="J127" s="535"/>
      <c r="K127" s="535"/>
      <c r="L127" s="535"/>
      <c r="M127" s="535"/>
      <c r="N127" s="535"/>
      <c r="O127" s="535"/>
      <c r="P127" s="535"/>
      <c r="Q127" s="535"/>
    </row>
    <row r="128" spans="1:35" ht="12" customHeight="1" x14ac:dyDescent="0.15">
      <c r="A128" s="417"/>
      <c r="B128" s="417"/>
      <c r="C128" s="417"/>
      <c r="D128" s="417"/>
      <c r="E128" s="417"/>
      <c r="F128" s="417"/>
      <c r="G128" s="417"/>
      <c r="H128" s="535"/>
      <c r="I128" s="535"/>
      <c r="J128" s="535"/>
      <c r="K128" s="535"/>
      <c r="L128" s="535"/>
      <c r="M128" s="535"/>
      <c r="N128" s="535"/>
      <c r="O128" s="535"/>
      <c r="P128" s="535"/>
      <c r="Q128" s="535"/>
    </row>
    <row r="129" spans="1:17" x14ac:dyDescent="0.15">
      <c r="A129" s="417"/>
      <c r="B129" s="417"/>
      <c r="C129" s="417"/>
      <c r="D129" s="417"/>
      <c r="E129" s="417"/>
      <c r="F129" s="417"/>
      <c r="G129" s="417"/>
      <c r="H129" s="535"/>
      <c r="I129" s="535"/>
      <c r="J129" s="535"/>
      <c r="K129" s="535"/>
      <c r="L129" s="535"/>
      <c r="M129" s="535"/>
      <c r="N129" s="535"/>
      <c r="O129" s="535"/>
      <c r="P129" s="535"/>
      <c r="Q129" s="535"/>
    </row>
    <row r="130" spans="1:17" x14ac:dyDescent="0.15">
      <c r="A130" s="417"/>
      <c r="B130" s="417"/>
      <c r="C130" s="417"/>
      <c r="D130" s="417"/>
      <c r="E130" s="417"/>
      <c r="F130" s="417"/>
      <c r="G130" s="417"/>
      <c r="H130" s="535"/>
      <c r="I130" s="535"/>
      <c r="J130" s="535"/>
      <c r="K130" s="535"/>
      <c r="L130" s="535"/>
      <c r="M130" s="535"/>
      <c r="N130" s="535"/>
      <c r="O130" s="535"/>
      <c r="P130" s="535"/>
      <c r="Q130" s="535"/>
    </row>
    <row r="131" spans="1:17" x14ac:dyDescent="0.15">
      <c r="A131" s="417"/>
      <c r="B131" s="417"/>
      <c r="C131" s="417"/>
      <c r="D131" s="417"/>
      <c r="E131" s="417"/>
      <c r="F131" s="535"/>
      <c r="G131" s="417"/>
      <c r="H131" s="535"/>
      <c r="I131" s="535"/>
      <c r="J131" s="535"/>
      <c r="K131" s="535"/>
      <c r="L131" s="535"/>
      <c r="M131" s="535"/>
      <c r="N131" s="535"/>
      <c r="O131" s="535"/>
      <c r="P131" s="535"/>
      <c r="Q131" s="535"/>
    </row>
    <row r="132" spans="1:17" x14ac:dyDescent="0.15">
      <c r="A132" s="417"/>
      <c r="B132" s="417"/>
      <c r="C132" s="417"/>
      <c r="D132" s="417"/>
      <c r="E132" s="417"/>
      <c r="F132" s="535"/>
      <c r="G132" s="417"/>
      <c r="H132" s="535"/>
      <c r="I132" s="535"/>
      <c r="J132" s="535"/>
      <c r="K132" s="535"/>
      <c r="L132" s="535"/>
      <c r="M132" s="535"/>
      <c r="N132" s="535"/>
      <c r="O132" s="535"/>
      <c r="P132" s="535"/>
      <c r="Q132" s="535"/>
    </row>
    <row r="133" spans="1:17" x14ac:dyDescent="0.15">
      <c r="A133" s="417"/>
      <c r="B133" s="417"/>
      <c r="C133" s="417"/>
      <c r="D133" s="417"/>
      <c r="E133" s="417"/>
      <c r="F133" s="417"/>
      <c r="G133" s="417"/>
      <c r="H133" s="535"/>
      <c r="I133" s="535"/>
      <c r="J133" s="535"/>
      <c r="K133" s="535"/>
      <c r="L133" s="535"/>
      <c r="M133" s="535"/>
      <c r="N133" s="535"/>
      <c r="O133" s="535"/>
      <c r="P133" s="535"/>
      <c r="Q133" s="535"/>
    </row>
    <row r="134" spans="1:17" x14ac:dyDescent="0.15">
      <c r="A134" s="417"/>
      <c r="B134" s="417"/>
      <c r="C134" s="417"/>
      <c r="D134" s="417"/>
      <c r="E134" s="417"/>
      <c r="F134" s="417"/>
      <c r="G134" s="417"/>
      <c r="H134" s="535"/>
      <c r="I134" s="535"/>
      <c r="J134" s="535"/>
      <c r="K134" s="535"/>
      <c r="L134" s="535"/>
      <c r="M134" s="535"/>
      <c r="N134" s="535"/>
      <c r="O134" s="535"/>
      <c r="P134" s="535"/>
      <c r="Q134" s="535"/>
    </row>
    <row r="135" spans="1:17" x14ac:dyDescent="0.15">
      <c r="A135" s="417"/>
      <c r="B135" s="417"/>
      <c r="C135" s="417"/>
      <c r="D135" s="417"/>
      <c r="E135" s="417"/>
      <c r="F135" s="417"/>
      <c r="G135" s="417"/>
      <c r="H135" s="535"/>
      <c r="I135" s="535"/>
      <c r="J135" s="535"/>
      <c r="K135" s="535"/>
      <c r="L135" s="535"/>
      <c r="M135" s="535"/>
      <c r="N135" s="535"/>
      <c r="O135" s="535"/>
      <c r="P135" s="535"/>
      <c r="Q135" s="535"/>
    </row>
    <row r="136" spans="1:17" x14ac:dyDescent="0.15">
      <c r="A136" s="417"/>
      <c r="B136" s="417"/>
      <c r="C136" s="417"/>
      <c r="D136" s="417"/>
      <c r="E136" s="417"/>
      <c r="F136" s="417"/>
      <c r="G136" s="417"/>
      <c r="H136" s="535"/>
      <c r="I136" s="535"/>
      <c r="J136" s="535"/>
      <c r="K136" s="535"/>
      <c r="L136" s="535"/>
      <c r="M136" s="535"/>
      <c r="N136" s="535"/>
      <c r="O136" s="535"/>
      <c r="P136" s="535"/>
      <c r="Q136" s="535"/>
    </row>
    <row r="137" spans="1:17" x14ac:dyDescent="0.15">
      <c r="A137" s="417"/>
      <c r="B137" s="417"/>
      <c r="C137" s="417"/>
      <c r="D137" s="417"/>
      <c r="E137" s="417"/>
      <c r="F137" s="417"/>
      <c r="G137" s="417"/>
      <c r="H137" s="535"/>
      <c r="I137" s="535"/>
      <c r="J137" s="535"/>
      <c r="K137" s="535"/>
      <c r="L137" s="535"/>
      <c r="M137" s="535"/>
      <c r="N137" s="535"/>
      <c r="O137" s="535"/>
      <c r="P137" s="535"/>
      <c r="Q137" s="535"/>
    </row>
    <row r="138" spans="1:17" x14ac:dyDescent="0.15">
      <c r="A138" s="417"/>
      <c r="B138" s="417"/>
      <c r="C138" s="417"/>
      <c r="D138" s="417"/>
      <c r="E138" s="417"/>
      <c r="F138" s="417"/>
      <c r="G138" s="417"/>
      <c r="H138" s="535"/>
      <c r="I138" s="535"/>
      <c r="J138" s="535"/>
      <c r="K138" s="535"/>
      <c r="L138" s="535"/>
      <c r="M138" s="535"/>
      <c r="N138" s="535"/>
      <c r="O138" s="535"/>
      <c r="P138" s="535"/>
      <c r="Q138" s="535"/>
    </row>
    <row r="139" spans="1:17" x14ac:dyDescent="0.15">
      <c r="A139" s="417"/>
      <c r="B139" s="417"/>
      <c r="C139" s="417"/>
      <c r="D139" s="417"/>
      <c r="E139" s="417"/>
      <c r="F139" s="417"/>
      <c r="G139" s="417"/>
      <c r="H139" s="535"/>
      <c r="I139" s="535"/>
      <c r="J139" s="535"/>
      <c r="K139" s="535"/>
      <c r="L139" s="535"/>
      <c r="M139" s="535"/>
      <c r="N139" s="535"/>
      <c r="O139" s="535"/>
      <c r="P139" s="535"/>
      <c r="Q139" s="535"/>
    </row>
    <row r="140" spans="1:17" x14ac:dyDescent="0.15">
      <c r="A140" s="417"/>
      <c r="B140" s="417"/>
      <c r="C140" s="417"/>
      <c r="D140" s="417"/>
      <c r="E140" s="417"/>
      <c r="F140" s="417"/>
      <c r="G140" s="417"/>
      <c r="H140" s="535"/>
      <c r="I140" s="535"/>
      <c r="J140" s="535"/>
      <c r="K140" s="535"/>
      <c r="L140" s="535"/>
      <c r="M140" s="535"/>
      <c r="N140" s="535"/>
      <c r="O140" s="535"/>
      <c r="P140" s="535"/>
      <c r="Q140" s="535"/>
    </row>
    <row r="141" spans="1:17" x14ac:dyDescent="0.15">
      <c r="A141" s="417"/>
      <c r="B141" s="417"/>
      <c r="C141" s="417"/>
      <c r="D141" s="417"/>
      <c r="E141" s="417"/>
      <c r="F141" s="417"/>
      <c r="G141" s="417"/>
      <c r="H141" s="535"/>
      <c r="I141" s="535"/>
      <c r="J141" s="535"/>
      <c r="K141" s="535"/>
      <c r="L141" s="535"/>
      <c r="M141" s="535"/>
      <c r="N141" s="535"/>
      <c r="O141" s="535"/>
      <c r="P141" s="535"/>
      <c r="Q141" s="535"/>
    </row>
    <row r="142" spans="1:17" x14ac:dyDescent="0.15">
      <c r="A142" s="417"/>
      <c r="B142" s="417"/>
      <c r="C142" s="417"/>
      <c r="D142" s="417"/>
      <c r="E142" s="417"/>
      <c r="F142" s="417"/>
      <c r="G142" s="417"/>
      <c r="H142" s="535"/>
      <c r="I142" s="535"/>
      <c r="J142" s="535"/>
      <c r="K142" s="535"/>
      <c r="L142" s="535"/>
      <c r="M142" s="535"/>
      <c r="N142" s="535"/>
      <c r="O142" s="535"/>
      <c r="P142" s="535"/>
      <c r="Q142" s="535"/>
    </row>
    <row r="143" spans="1:17" x14ac:dyDescent="0.15">
      <c r="A143" s="417"/>
      <c r="B143" s="417"/>
      <c r="C143" s="417"/>
      <c r="D143" s="417"/>
      <c r="E143" s="417"/>
      <c r="F143" s="417"/>
      <c r="G143" s="417"/>
      <c r="H143" s="535"/>
      <c r="I143" s="535"/>
      <c r="J143" s="535"/>
      <c r="K143" s="535"/>
      <c r="L143" s="535"/>
      <c r="M143" s="535"/>
      <c r="N143" s="535"/>
      <c r="O143" s="535"/>
      <c r="P143" s="535"/>
      <c r="Q143" s="535"/>
    </row>
    <row r="144" spans="1:17" x14ac:dyDescent="0.15">
      <c r="A144" s="417"/>
      <c r="B144" s="417"/>
      <c r="C144" s="417"/>
      <c r="D144" s="417"/>
      <c r="E144" s="417"/>
      <c r="F144" s="417"/>
      <c r="G144" s="417"/>
      <c r="H144" s="535"/>
      <c r="I144" s="535"/>
      <c r="J144" s="535"/>
      <c r="K144" s="535"/>
      <c r="L144" s="535"/>
      <c r="M144" s="535"/>
      <c r="N144" s="535"/>
      <c r="O144" s="535"/>
      <c r="P144" s="535"/>
      <c r="Q144" s="535"/>
    </row>
    <row r="145" spans="1:17" x14ac:dyDescent="0.15">
      <c r="A145" s="417"/>
      <c r="B145" s="417"/>
      <c r="C145" s="417"/>
      <c r="D145" s="417"/>
      <c r="E145" s="417"/>
      <c r="F145" s="417"/>
      <c r="G145" s="417"/>
      <c r="H145" s="535"/>
      <c r="I145" s="535"/>
      <c r="J145" s="535"/>
      <c r="K145" s="535"/>
      <c r="L145" s="535"/>
      <c r="M145" s="535"/>
      <c r="N145" s="535"/>
      <c r="O145" s="535"/>
      <c r="P145" s="535"/>
      <c r="Q145" s="535"/>
    </row>
    <row r="146" spans="1:17" x14ac:dyDescent="0.15">
      <c r="A146" s="417"/>
      <c r="B146" s="417"/>
      <c r="C146" s="417"/>
      <c r="D146" s="417"/>
      <c r="E146" s="417"/>
      <c r="F146" s="417"/>
      <c r="G146" s="417"/>
      <c r="H146" s="535"/>
      <c r="I146" s="535"/>
      <c r="J146" s="535"/>
      <c r="K146" s="535"/>
      <c r="L146" s="535"/>
      <c r="M146" s="535"/>
      <c r="N146" s="535"/>
      <c r="O146" s="535"/>
      <c r="P146" s="535"/>
      <c r="Q146" s="535"/>
    </row>
    <row r="147" spans="1:17" x14ac:dyDescent="0.15">
      <c r="A147" s="417"/>
      <c r="B147" s="417"/>
      <c r="C147" s="417"/>
      <c r="D147" s="417"/>
      <c r="E147" s="417"/>
      <c r="F147" s="417"/>
      <c r="G147" s="417"/>
      <c r="H147" s="535"/>
      <c r="I147" s="535"/>
      <c r="J147" s="535"/>
      <c r="K147" s="535"/>
      <c r="L147" s="535"/>
      <c r="M147" s="535"/>
      <c r="N147" s="535"/>
      <c r="O147" s="535"/>
      <c r="P147" s="535"/>
      <c r="Q147" s="535"/>
    </row>
    <row r="148" spans="1:17" x14ac:dyDescent="0.15">
      <c r="A148" s="417"/>
      <c r="B148" s="417"/>
      <c r="C148" s="417"/>
      <c r="D148" s="417"/>
      <c r="E148" s="417"/>
      <c r="F148" s="417"/>
      <c r="G148" s="417"/>
      <c r="H148" s="535"/>
      <c r="I148" s="535"/>
      <c r="J148" s="535"/>
      <c r="K148" s="535"/>
      <c r="L148" s="535"/>
      <c r="M148" s="535"/>
      <c r="N148" s="535"/>
      <c r="O148" s="535"/>
      <c r="P148" s="535"/>
      <c r="Q148" s="535"/>
    </row>
    <row r="149" spans="1:17" x14ac:dyDescent="0.15">
      <c r="A149" s="417"/>
      <c r="B149" s="417"/>
      <c r="C149" s="417"/>
      <c r="D149" s="417"/>
      <c r="E149" s="417"/>
      <c r="F149" s="417"/>
      <c r="G149" s="417"/>
      <c r="H149" s="535"/>
      <c r="I149" s="535"/>
      <c r="J149" s="535"/>
      <c r="K149" s="535"/>
      <c r="L149" s="535"/>
      <c r="M149" s="535"/>
      <c r="N149" s="535"/>
      <c r="O149" s="535"/>
      <c r="P149" s="535"/>
      <c r="Q149" s="535"/>
    </row>
    <row r="150" spans="1:17" x14ac:dyDescent="0.15">
      <c r="A150" s="417"/>
      <c r="B150" s="417"/>
      <c r="C150" s="417"/>
      <c r="D150" s="417"/>
      <c r="E150" s="417"/>
      <c r="F150" s="417"/>
      <c r="G150" s="417"/>
      <c r="H150" s="535"/>
      <c r="I150" s="535"/>
      <c r="J150" s="535"/>
      <c r="K150" s="535"/>
      <c r="L150" s="535"/>
      <c r="M150" s="535"/>
      <c r="N150" s="535"/>
      <c r="O150" s="535"/>
      <c r="P150" s="535"/>
      <c r="Q150" s="535"/>
    </row>
    <row r="151" spans="1:17" x14ac:dyDescent="0.15">
      <c r="A151" s="417"/>
      <c r="B151" s="417"/>
      <c r="C151" s="417"/>
      <c r="D151" s="417"/>
      <c r="E151" s="417"/>
      <c r="F151" s="417"/>
      <c r="G151" s="417"/>
      <c r="H151" s="535"/>
      <c r="I151" s="535"/>
      <c r="J151" s="535"/>
      <c r="K151" s="535"/>
      <c r="L151" s="535"/>
      <c r="M151" s="535"/>
      <c r="N151" s="535"/>
      <c r="O151" s="535"/>
      <c r="P151" s="535"/>
      <c r="Q151" s="535"/>
    </row>
    <row r="152" spans="1:17" x14ac:dyDescent="0.15">
      <c r="A152" s="417"/>
      <c r="B152" s="417"/>
      <c r="C152" s="417"/>
      <c r="D152" s="417"/>
      <c r="E152" s="417"/>
      <c r="F152" s="417"/>
      <c r="G152" s="535"/>
      <c r="H152" s="535"/>
      <c r="I152" s="535"/>
      <c r="J152" s="535"/>
      <c r="K152" s="535"/>
      <c r="L152" s="535"/>
      <c r="M152" s="535"/>
      <c r="N152" s="535"/>
      <c r="O152" s="535"/>
      <c r="P152" s="535"/>
      <c r="Q152" s="535"/>
    </row>
    <row r="153" spans="1:17" x14ac:dyDescent="0.15">
      <c r="A153" s="417"/>
      <c r="B153" s="417"/>
      <c r="C153" s="417"/>
      <c r="D153" s="417"/>
      <c r="E153" s="417"/>
      <c r="F153" s="417"/>
      <c r="G153" s="535"/>
      <c r="H153" s="535"/>
      <c r="I153" s="535"/>
      <c r="J153" s="535"/>
      <c r="K153" s="535"/>
      <c r="L153" s="535"/>
      <c r="M153" s="535"/>
      <c r="N153" s="535"/>
      <c r="O153" s="535"/>
      <c r="P153" s="535"/>
      <c r="Q153" s="535"/>
    </row>
    <row r="154" spans="1:17" x14ac:dyDescent="0.15">
      <c r="A154" s="417"/>
      <c r="B154" s="417"/>
      <c r="C154" s="417"/>
      <c r="D154" s="417"/>
      <c r="E154" s="417"/>
      <c r="F154" s="417"/>
      <c r="G154" s="535"/>
      <c r="H154" s="535"/>
      <c r="I154" s="535"/>
      <c r="J154" s="535"/>
      <c r="K154" s="535"/>
      <c r="L154" s="535"/>
      <c r="M154" s="535"/>
      <c r="N154" s="535"/>
      <c r="O154" s="535"/>
      <c r="P154" s="535"/>
      <c r="Q154" s="535"/>
    </row>
    <row r="155" spans="1:17" x14ac:dyDescent="0.15">
      <c r="A155" s="417"/>
      <c r="B155" s="417"/>
      <c r="C155" s="417"/>
      <c r="D155" s="417"/>
      <c r="E155" s="417"/>
      <c r="F155" s="417"/>
      <c r="G155" s="535"/>
      <c r="H155" s="535"/>
      <c r="I155" s="535"/>
      <c r="J155" s="535"/>
      <c r="K155" s="535"/>
      <c r="L155" s="535"/>
      <c r="M155" s="535"/>
      <c r="N155" s="535"/>
      <c r="O155" s="535"/>
      <c r="P155" s="535"/>
      <c r="Q155" s="535"/>
    </row>
    <row r="156" spans="1:17" x14ac:dyDescent="0.15">
      <c r="A156" s="417"/>
      <c r="B156" s="417"/>
      <c r="C156" s="417"/>
      <c r="D156" s="417"/>
      <c r="E156" s="417"/>
      <c r="F156" s="417"/>
      <c r="G156" s="535"/>
      <c r="H156" s="535"/>
      <c r="I156" s="535"/>
      <c r="J156" s="535"/>
      <c r="K156" s="535"/>
      <c r="L156" s="535"/>
      <c r="M156" s="535"/>
      <c r="N156" s="535"/>
      <c r="O156" s="535"/>
      <c r="P156" s="535"/>
      <c r="Q156" s="535"/>
    </row>
    <row r="157" spans="1:17" x14ac:dyDescent="0.15">
      <c r="A157" s="417"/>
      <c r="B157" s="417"/>
      <c r="C157" s="417"/>
      <c r="D157" s="417"/>
      <c r="E157" s="417"/>
      <c r="F157" s="417"/>
      <c r="G157" s="535"/>
      <c r="H157" s="535"/>
      <c r="I157" s="535"/>
      <c r="J157" s="535"/>
      <c r="K157" s="535"/>
      <c r="L157" s="535"/>
      <c r="M157" s="535"/>
      <c r="N157" s="535"/>
      <c r="O157" s="535"/>
      <c r="P157" s="535"/>
      <c r="Q157" s="535"/>
    </row>
    <row r="158" spans="1:17" x14ac:dyDescent="0.15">
      <c r="A158" s="417"/>
      <c r="B158" s="417"/>
      <c r="C158" s="417"/>
      <c r="D158" s="417"/>
      <c r="E158" s="417"/>
      <c r="F158" s="417"/>
      <c r="G158" s="535"/>
      <c r="H158" s="535"/>
      <c r="I158" s="535"/>
      <c r="J158" s="535"/>
      <c r="K158" s="535"/>
      <c r="L158" s="535"/>
      <c r="M158" s="535"/>
      <c r="N158" s="535"/>
      <c r="O158" s="535"/>
      <c r="P158" s="535"/>
      <c r="Q158" s="535"/>
    </row>
    <row r="159" spans="1:17" x14ac:dyDescent="0.15">
      <c r="A159" s="417"/>
      <c r="B159" s="417"/>
      <c r="C159" s="417"/>
      <c r="D159" s="417"/>
      <c r="E159" s="417"/>
      <c r="F159" s="417"/>
      <c r="G159" s="535"/>
      <c r="H159" s="535"/>
      <c r="I159" s="535"/>
      <c r="J159" s="535"/>
      <c r="K159" s="535"/>
      <c r="L159" s="535"/>
      <c r="M159" s="535"/>
      <c r="N159" s="535"/>
      <c r="O159" s="535"/>
      <c r="P159" s="535"/>
      <c r="Q159" s="535"/>
    </row>
    <row r="160" spans="1:17" x14ac:dyDescent="0.15">
      <c r="A160" s="417"/>
      <c r="B160" s="417"/>
      <c r="C160" s="417"/>
      <c r="D160" s="417"/>
      <c r="E160" s="417"/>
      <c r="F160" s="417"/>
      <c r="G160" s="535"/>
      <c r="H160" s="535"/>
      <c r="I160" s="535"/>
      <c r="J160" s="535"/>
      <c r="K160" s="535"/>
      <c r="L160" s="535"/>
      <c r="M160" s="535"/>
      <c r="N160" s="535"/>
      <c r="O160" s="535"/>
      <c r="P160" s="535"/>
      <c r="Q160" s="535"/>
    </row>
    <row r="161" spans="1:17" x14ac:dyDescent="0.15">
      <c r="A161" s="417"/>
      <c r="B161" s="417"/>
      <c r="C161" s="417"/>
      <c r="D161" s="417"/>
      <c r="E161" s="417"/>
      <c r="F161" s="417"/>
      <c r="G161" s="535"/>
      <c r="H161" s="535"/>
      <c r="I161" s="535"/>
      <c r="J161" s="535"/>
      <c r="K161" s="535"/>
      <c r="L161" s="535"/>
      <c r="M161" s="535"/>
      <c r="N161" s="535"/>
      <c r="O161" s="535"/>
      <c r="P161" s="535"/>
      <c r="Q161" s="535"/>
    </row>
    <row r="162" spans="1:17" x14ac:dyDescent="0.15">
      <c r="A162" s="417"/>
      <c r="B162" s="417"/>
      <c r="C162" s="417"/>
      <c r="D162" s="417"/>
      <c r="E162" s="417"/>
      <c r="F162" s="417"/>
      <c r="G162" s="535"/>
      <c r="H162" s="535"/>
      <c r="I162" s="535"/>
      <c r="J162" s="535"/>
      <c r="K162" s="535"/>
      <c r="L162" s="535"/>
      <c r="M162" s="535"/>
      <c r="N162" s="535"/>
      <c r="O162" s="535"/>
      <c r="P162" s="535"/>
      <c r="Q162" s="535"/>
    </row>
    <row r="163" spans="1:17" x14ac:dyDescent="0.15">
      <c r="A163" s="417"/>
      <c r="B163" s="417"/>
      <c r="C163" s="417"/>
      <c r="D163" s="417"/>
      <c r="E163" s="417"/>
      <c r="F163" s="417"/>
      <c r="G163" s="535"/>
      <c r="H163" s="535"/>
      <c r="I163" s="535"/>
      <c r="J163" s="535"/>
      <c r="K163" s="535"/>
      <c r="L163" s="535"/>
      <c r="M163" s="535"/>
      <c r="N163" s="535"/>
      <c r="O163" s="535"/>
      <c r="P163" s="535"/>
      <c r="Q163" s="535"/>
    </row>
    <row r="164" spans="1:17" x14ac:dyDescent="0.15">
      <c r="A164" s="417"/>
      <c r="B164" s="417"/>
      <c r="C164" s="417"/>
      <c r="D164" s="417"/>
      <c r="E164" s="417"/>
      <c r="F164" s="417"/>
      <c r="G164" s="535"/>
      <c r="H164" s="535"/>
      <c r="I164" s="535"/>
      <c r="J164" s="535"/>
      <c r="K164" s="535"/>
      <c r="L164" s="535"/>
      <c r="M164" s="535"/>
      <c r="N164" s="535"/>
      <c r="O164" s="535"/>
      <c r="P164" s="535"/>
      <c r="Q164" s="535"/>
    </row>
    <row r="165" spans="1:17" x14ac:dyDescent="0.15">
      <c r="A165" s="417"/>
      <c r="B165" s="417"/>
      <c r="C165" s="417"/>
      <c r="D165" s="417"/>
      <c r="E165" s="417"/>
      <c r="F165" s="417"/>
      <c r="G165" s="535"/>
      <c r="H165" s="535"/>
      <c r="I165" s="535"/>
      <c r="J165" s="535"/>
      <c r="K165" s="535"/>
      <c r="L165" s="535"/>
      <c r="M165" s="535"/>
      <c r="N165" s="535"/>
      <c r="O165" s="535"/>
      <c r="P165" s="535"/>
      <c r="Q165" s="535"/>
    </row>
    <row r="166" spans="1:17" x14ac:dyDescent="0.15">
      <c r="A166" s="417"/>
      <c r="B166" s="417"/>
      <c r="C166" s="417"/>
      <c r="D166" s="417"/>
      <c r="E166" s="417"/>
      <c r="F166" s="417"/>
      <c r="G166" s="535"/>
      <c r="H166" s="535"/>
      <c r="I166" s="535"/>
      <c r="J166" s="535"/>
      <c r="K166" s="535"/>
      <c r="L166" s="535"/>
      <c r="M166" s="535"/>
      <c r="N166" s="535"/>
      <c r="O166" s="535"/>
      <c r="P166" s="535"/>
      <c r="Q166" s="535"/>
    </row>
    <row r="167" spans="1:17" x14ac:dyDescent="0.15">
      <c r="A167" s="417"/>
      <c r="B167" s="417"/>
      <c r="C167" s="417"/>
      <c r="D167" s="417"/>
      <c r="E167" s="417"/>
      <c r="F167" s="417"/>
      <c r="G167" s="535"/>
      <c r="H167" s="535"/>
      <c r="I167" s="535"/>
      <c r="J167" s="535"/>
      <c r="K167" s="535"/>
      <c r="L167" s="535"/>
      <c r="M167" s="535"/>
      <c r="N167" s="535"/>
      <c r="O167" s="535"/>
      <c r="P167" s="535"/>
      <c r="Q167" s="535"/>
    </row>
    <row r="168" spans="1:17" x14ac:dyDescent="0.15">
      <c r="A168" s="417"/>
      <c r="B168" s="417"/>
      <c r="C168" s="417"/>
      <c r="D168" s="417"/>
      <c r="E168" s="417"/>
      <c r="F168" s="417"/>
      <c r="G168" s="535"/>
      <c r="H168" s="535"/>
      <c r="I168" s="535"/>
      <c r="J168" s="535"/>
      <c r="K168" s="535"/>
      <c r="L168" s="535"/>
      <c r="M168" s="535"/>
      <c r="N168" s="535"/>
      <c r="O168" s="535"/>
      <c r="P168" s="535"/>
      <c r="Q168" s="535"/>
    </row>
    <row r="169" spans="1:17" x14ac:dyDescent="0.15">
      <c r="A169" s="417"/>
      <c r="B169" s="417"/>
      <c r="C169" s="417"/>
      <c r="D169" s="417"/>
      <c r="E169" s="417"/>
      <c r="F169" s="417"/>
      <c r="G169" s="535"/>
      <c r="H169" s="535"/>
      <c r="I169" s="535"/>
      <c r="J169" s="535"/>
      <c r="K169" s="535"/>
      <c r="L169" s="535"/>
      <c r="M169" s="535"/>
      <c r="N169" s="535"/>
      <c r="O169" s="535"/>
      <c r="P169" s="535"/>
      <c r="Q169" s="535"/>
    </row>
    <row r="170" spans="1:17" x14ac:dyDescent="0.15">
      <c r="A170" s="417"/>
      <c r="B170" s="417"/>
      <c r="C170" s="417"/>
      <c r="D170" s="417"/>
      <c r="E170" s="417"/>
      <c r="F170" s="417"/>
      <c r="G170" s="535"/>
      <c r="H170" s="535"/>
      <c r="I170" s="535"/>
      <c r="J170" s="535"/>
      <c r="K170" s="535"/>
      <c r="L170" s="535"/>
      <c r="M170" s="535"/>
      <c r="N170" s="535"/>
      <c r="O170" s="535"/>
      <c r="P170" s="535"/>
      <c r="Q170" s="535"/>
    </row>
    <row r="171" spans="1:17" x14ac:dyDescent="0.15">
      <c r="A171" s="417"/>
      <c r="B171" s="417"/>
      <c r="C171" s="417"/>
      <c r="D171" s="417"/>
      <c r="E171" s="417"/>
      <c r="F171" s="417"/>
      <c r="G171" s="535"/>
      <c r="H171" s="535"/>
      <c r="I171" s="535"/>
      <c r="J171" s="535"/>
      <c r="K171" s="535"/>
      <c r="L171" s="535"/>
      <c r="M171" s="535"/>
      <c r="N171" s="535"/>
      <c r="O171" s="535"/>
      <c r="P171" s="535"/>
      <c r="Q171" s="535"/>
    </row>
    <row r="172" spans="1:17" x14ac:dyDescent="0.15">
      <c r="A172" s="417"/>
      <c r="B172" s="417"/>
      <c r="C172" s="417"/>
      <c r="D172" s="417"/>
      <c r="E172" s="417"/>
      <c r="F172" s="417"/>
      <c r="G172" s="535"/>
      <c r="H172" s="535"/>
      <c r="I172" s="535"/>
      <c r="J172" s="535"/>
      <c r="K172" s="535"/>
      <c r="L172" s="535"/>
      <c r="M172" s="535"/>
      <c r="N172" s="535"/>
      <c r="O172" s="535"/>
      <c r="P172" s="535"/>
      <c r="Q172" s="535"/>
    </row>
    <row r="173" spans="1:17" x14ac:dyDescent="0.15">
      <c r="A173" s="417"/>
      <c r="B173" s="417"/>
      <c r="C173" s="417"/>
      <c r="D173" s="417"/>
      <c r="E173" s="417"/>
      <c r="F173" s="417"/>
      <c r="G173" s="535"/>
      <c r="H173" s="535"/>
      <c r="I173" s="535"/>
      <c r="J173" s="535"/>
      <c r="K173" s="535"/>
      <c r="L173" s="535"/>
      <c r="M173" s="535"/>
      <c r="N173" s="535"/>
      <c r="O173" s="535"/>
      <c r="P173" s="535"/>
      <c r="Q173" s="535"/>
    </row>
    <row r="174" spans="1:17" x14ac:dyDescent="0.15">
      <c r="A174" s="417"/>
      <c r="B174" s="417"/>
      <c r="C174" s="417"/>
      <c r="D174" s="417"/>
      <c r="E174" s="417"/>
      <c r="F174" s="535"/>
      <c r="G174" s="535"/>
      <c r="H174" s="535"/>
      <c r="I174" s="535"/>
      <c r="J174" s="535"/>
      <c r="K174" s="535"/>
      <c r="L174" s="535"/>
      <c r="M174" s="535"/>
      <c r="N174" s="535"/>
      <c r="O174" s="535"/>
      <c r="P174" s="535"/>
      <c r="Q174" s="535"/>
    </row>
    <row r="175" spans="1:17" x14ac:dyDescent="0.15">
      <c r="A175" s="417"/>
      <c r="B175" s="417"/>
      <c r="C175" s="417"/>
      <c r="D175" s="417"/>
      <c r="E175" s="417"/>
      <c r="F175" s="535"/>
      <c r="G175" s="535"/>
      <c r="H175" s="535"/>
      <c r="I175" s="535"/>
      <c r="J175" s="535"/>
      <c r="K175" s="535"/>
      <c r="L175" s="535"/>
      <c r="M175" s="535"/>
      <c r="N175" s="535"/>
      <c r="O175" s="535"/>
      <c r="P175" s="535"/>
      <c r="Q175" s="535"/>
    </row>
    <row r="176" spans="1:17" x14ac:dyDescent="0.15">
      <c r="A176" s="417"/>
      <c r="B176" s="417"/>
      <c r="C176" s="417"/>
      <c r="D176" s="417"/>
      <c r="E176" s="417"/>
      <c r="F176" s="535"/>
      <c r="G176" s="535"/>
      <c r="H176" s="535"/>
      <c r="I176" s="535"/>
      <c r="J176" s="535"/>
      <c r="K176" s="535"/>
      <c r="L176" s="535"/>
      <c r="M176" s="535"/>
      <c r="N176" s="535"/>
      <c r="O176" s="535"/>
      <c r="P176" s="535"/>
      <c r="Q176" s="535"/>
    </row>
    <row r="177" spans="1:17" x14ac:dyDescent="0.15">
      <c r="A177" s="175"/>
      <c r="B177" s="175"/>
      <c r="C177" s="175"/>
      <c r="D177" s="175"/>
      <c r="E177" s="175"/>
      <c r="F177" s="535"/>
      <c r="G177" s="535"/>
      <c r="H177" s="535"/>
      <c r="I177" s="535"/>
      <c r="J177" s="535"/>
      <c r="K177" s="535"/>
      <c r="L177" s="535"/>
      <c r="M177" s="535"/>
      <c r="N177" s="535"/>
      <c r="O177" s="535"/>
      <c r="P177" s="535"/>
      <c r="Q177" s="535"/>
    </row>
    <row r="178" spans="1:17" x14ac:dyDescent="0.15">
      <c r="A178" s="175"/>
      <c r="B178" s="175"/>
      <c r="C178" s="175"/>
      <c r="D178" s="175"/>
      <c r="E178" s="175"/>
      <c r="F178" s="535"/>
      <c r="G178" s="535"/>
      <c r="H178" s="535"/>
      <c r="I178" s="535"/>
      <c r="J178" s="535"/>
      <c r="K178" s="535"/>
      <c r="L178" s="535"/>
      <c r="M178" s="535"/>
      <c r="N178" s="535"/>
      <c r="O178" s="535"/>
      <c r="P178" s="535"/>
      <c r="Q178" s="535"/>
    </row>
    <row r="179" spans="1:17" x14ac:dyDescent="0.15">
      <c r="A179" s="175"/>
      <c r="B179" s="175"/>
      <c r="C179" s="175"/>
      <c r="D179" s="175"/>
      <c r="E179" s="175"/>
      <c r="F179" s="417"/>
      <c r="G179" s="417"/>
      <c r="H179" s="535"/>
      <c r="I179" s="535"/>
      <c r="J179" s="535"/>
      <c r="K179" s="535"/>
      <c r="L179" s="535"/>
      <c r="M179" s="535"/>
      <c r="N179" s="535"/>
      <c r="O179" s="535"/>
      <c r="P179" s="535"/>
      <c r="Q179" s="535"/>
    </row>
    <row r="180" spans="1:17" x14ac:dyDescent="0.15">
      <c r="A180" s="175"/>
      <c r="B180" s="175"/>
      <c r="C180" s="175"/>
      <c r="D180" s="175"/>
      <c r="E180" s="175"/>
      <c r="F180" s="535"/>
      <c r="G180" s="535"/>
      <c r="H180" s="535"/>
      <c r="I180" s="535"/>
      <c r="J180" s="535"/>
      <c r="K180" s="535"/>
      <c r="L180" s="535"/>
      <c r="M180" s="535"/>
      <c r="N180" s="535"/>
      <c r="O180" s="535"/>
      <c r="P180" s="535"/>
      <c r="Q180" s="535"/>
    </row>
    <row r="181" spans="1:17" x14ac:dyDescent="0.15">
      <c r="A181" s="175"/>
      <c r="B181" s="175"/>
      <c r="C181" s="175"/>
      <c r="D181" s="175"/>
      <c r="E181" s="175"/>
      <c r="F181" s="535"/>
      <c r="G181" s="535"/>
      <c r="H181" s="535"/>
      <c r="I181" s="535"/>
      <c r="J181" s="535"/>
      <c r="K181" s="535"/>
      <c r="L181" s="535"/>
      <c r="M181" s="535"/>
      <c r="N181" s="535"/>
      <c r="O181" s="535"/>
      <c r="P181" s="535"/>
      <c r="Q181" s="535"/>
    </row>
    <row r="182" spans="1:17" x14ac:dyDescent="0.15">
      <c r="A182" s="175"/>
      <c r="B182" s="175"/>
      <c r="C182" s="175"/>
      <c r="D182" s="175"/>
      <c r="E182" s="175"/>
      <c r="F182" s="535"/>
      <c r="G182" s="535"/>
      <c r="H182" s="535"/>
      <c r="I182" s="535"/>
      <c r="J182" s="535"/>
      <c r="K182" s="535"/>
      <c r="L182" s="535"/>
      <c r="M182" s="535"/>
      <c r="N182" s="535"/>
      <c r="O182" s="535"/>
      <c r="P182" s="535"/>
      <c r="Q182" s="535"/>
    </row>
    <row r="183" spans="1:17" x14ac:dyDescent="0.15">
      <c r="A183" s="175"/>
      <c r="B183" s="175"/>
      <c r="C183" s="175"/>
      <c r="D183" s="175"/>
      <c r="E183" s="175"/>
      <c r="F183" s="535"/>
      <c r="G183" s="535"/>
      <c r="H183" s="535"/>
      <c r="I183" s="535"/>
      <c r="J183" s="535"/>
      <c r="K183" s="535"/>
      <c r="L183" s="535"/>
      <c r="M183" s="535"/>
      <c r="N183" s="535"/>
      <c r="O183" s="535"/>
      <c r="P183" s="535"/>
      <c r="Q183" s="535"/>
    </row>
    <row r="184" spans="1:17" x14ac:dyDescent="0.15">
      <c r="A184" s="175"/>
      <c r="B184" s="175"/>
      <c r="C184" s="175"/>
      <c r="D184" s="175"/>
      <c r="E184" s="175"/>
      <c r="F184" s="535"/>
      <c r="G184" s="535"/>
      <c r="H184" s="535"/>
      <c r="I184" s="535"/>
      <c r="J184" s="535"/>
      <c r="K184" s="535"/>
      <c r="L184" s="535"/>
      <c r="M184" s="535"/>
      <c r="N184" s="535"/>
      <c r="O184" s="535"/>
      <c r="P184" s="535"/>
      <c r="Q184" s="535"/>
    </row>
    <row r="185" spans="1:17" x14ac:dyDescent="0.15">
      <c r="F185" s="535"/>
      <c r="G185" s="535"/>
      <c r="H185" s="535"/>
      <c r="I185" s="535"/>
      <c r="J185" s="535"/>
      <c r="K185" s="535"/>
      <c r="L185" s="535"/>
      <c r="M185" s="535"/>
      <c r="N185" s="535"/>
      <c r="O185" s="535"/>
      <c r="P185" s="535"/>
      <c r="Q185" s="535"/>
    </row>
    <row r="186" spans="1:17" x14ac:dyDescent="0.15">
      <c r="F186" s="535"/>
      <c r="G186" s="535"/>
      <c r="H186" s="535"/>
      <c r="I186" s="535"/>
      <c r="J186" s="535"/>
      <c r="K186" s="535"/>
      <c r="L186" s="535"/>
      <c r="M186" s="535"/>
      <c r="N186" s="535"/>
      <c r="O186" s="535"/>
      <c r="P186" s="535"/>
      <c r="Q186" s="535"/>
    </row>
    <row r="187" spans="1:17" x14ac:dyDescent="0.15">
      <c r="F187" s="535"/>
      <c r="G187" s="535"/>
      <c r="H187" s="535"/>
      <c r="I187" s="535"/>
      <c r="J187" s="535"/>
      <c r="K187" s="535"/>
      <c r="L187" s="535"/>
      <c r="M187" s="535"/>
      <c r="N187" s="535"/>
      <c r="O187" s="535"/>
      <c r="P187" s="535"/>
      <c r="Q187" s="535"/>
    </row>
    <row r="188" spans="1:17" x14ac:dyDescent="0.15">
      <c r="F188" s="535"/>
      <c r="G188" s="535"/>
      <c r="H188" s="535"/>
      <c r="I188" s="535"/>
      <c r="J188" s="535"/>
      <c r="K188" s="535"/>
      <c r="L188" s="535"/>
      <c r="M188" s="535"/>
      <c r="N188" s="535"/>
      <c r="O188" s="535"/>
      <c r="P188" s="535"/>
      <c r="Q188" s="535"/>
    </row>
    <row r="189" spans="1:17" x14ac:dyDescent="0.15">
      <c r="F189" s="535"/>
      <c r="G189" s="535"/>
      <c r="H189" s="535"/>
      <c r="I189" s="535"/>
      <c r="J189" s="535"/>
      <c r="K189" s="535"/>
      <c r="L189" s="535"/>
      <c r="M189" s="535"/>
      <c r="N189" s="535"/>
      <c r="O189" s="535"/>
      <c r="P189" s="535"/>
      <c r="Q189" s="535"/>
    </row>
    <row r="190" spans="1:17" x14ac:dyDescent="0.15">
      <c r="F190" s="535"/>
      <c r="G190" s="535"/>
      <c r="H190" s="535"/>
      <c r="I190" s="535"/>
      <c r="J190" s="535"/>
      <c r="K190" s="535"/>
      <c r="L190" s="535"/>
      <c r="M190" s="535"/>
      <c r="N190" s="535"/>
      <c r="O190" s="535"/>
      <c r="P190" s="535"/>
      <c r="Q190" s="535"/>
    </row>
    <row r="191" spans="1:17" x14ac:dyDescent="0.15">
      <c r="F191" s="535"/>
      <c r="G191" s="535"/>
      <c r="H191" s="535"/>
      <c r="I191" s="535"/>
      <c r="J191" s="535"/>
      <c r="K191" s="535"/>
      <c r="L191" s="535"/>
      <c r="M191" s="535"/>
      <c r="N191" s="535"/>
      <c r="O191" s="535"/>
      <c r="P191" s="535"/>
      <c r="Q191" s="535"/>
    </row>
    <row r="192" spans="1:17" x14ac:dyDescent="0.15">
      <c r="F192" s="535"/>
      <c r="G192" s="535"/>
      <c r="H192" s="535"/>
      <c r="I192" s="535"/>
      <c r="J192" s="535"/>
      <c r="K192" s="535"/>
      <c r="L192" s="535"/>
      <c r="M192" s="535"/>
      <c r="N192" s="535"/>
      <c r="O192" s="535"/>
      <c r="P192" s="535"/>
      <c r="Q192" s="535"/>
    </row>
    <row r="193" spans="6:17" x14ac:dyDescent="0.15">
      <c r="F193" s="535"/>
      <c r="G193" s="535"/>
      <c r="H193" s="535"/>
      <c r="I193" s="535"/>
      <c r="J193" s="535"/>
      <c r="K193" s="535"/>
      <c r="L193" s="535"/>
      <c r="M193" s="535"/>
      <c r="N193" s="535"/>
      <c r="O193" s="535"/>
      <c r="P193" s="535"/>
      <c r="Q193" s="535"/>
    </row>
    <row r="194" spans="6:17" x14ac:dyDescent="0.15">
      <c r="F194" s="535"/>
      <c r="G194" s="535"/>
      <c r="H194" s="535"/>
      <c r="I194" s="535"/>
      <c r="J194" s="535"/>
      <c r="K194" s="535"/>
      <c r="L194" s="535"/>
      <c r="M194" s="535"/>
      <c r="N194" s="535"/>
      <c r="O194" s="535"/>
      <c r="P194" s="535"/>
      <c r="Q194" s="535"/>
    </row>
    <row r="195" spans="6:17" x14ac:dyDescent="0.15">
      <c r="F195" s="535"/>
      <c r="G195" s="535"/>
      <c r="H195" s="535"/>
      <c r="I195" s="535"/>
      <c r="J195" s="535"/>
      <c r="K195" s="535"/>
      <c r="L195" s="535"/>
      <c r="M195" s="535"/>
      <c r="N195" s="535"/>
      <c r="O195" s="535"/>
      <c r="P195" s="535"/>
      <c r="Q195" s="535"/>
    </row>
    <row r="196" spans="6:17" x14ac:dyDescent="0.15">
      <c r="F196" s="535"/>
      <c r="G196" s="535"/>
      <c r="H196" s="535"/>
      <c r="I196" s="535"/>
      <c r="J196" s="535"/>
      <c r="K196" s="535"/>
      <c r="L196" s="535"/>
      <c r="M196" s="535"/>
      <c r="N196" s="535"/>
      <c r="O196" s="535"/>
      <c r="P196" s="535"/>
      <c r="Q196" s="535"/>
    </row>
    <row r="197" spans="6:17" x14ac:dyDescent="0.15">
      <c r="F197" s="535"/>
      <c r="G197" s="535"/>
      <c r="H197" s="535"/>
      <c r="I197" s="535"/>
      <c r="J197" s="535"/>
      <c r="K197" s="535"/>
      <c r="L197" s="535"/>
      <c r="M197" s="535"/>
      <c r="N197" s="535"/>
      <c r="O197" s="535"/>
      <c r="P197" s="535"/>
      <c r="Q197" s="535"/>
    </row>
    <row r="198" spans="6:17" x14ac:dyDescent="0.15">
      <c r="F198" s="535"/>
      <c r="G198" s="535"/>
      <c r="H198" s="535"/>
      <c r="I198" s="535"/>
      <c r="J198" s="535"/>
      <c r="K198" s="535"/>
      <c r="L198" s="535"/>
      <c r="M198" s="535"/>
      <c r="N198" s="535"/>
      <c r="O198" s="535"/>
      <c r="P198" s="535"/>
      <c r="Q198" s="535"/>
    </row>
    <row r="199" spans="6:17" x14ac:dyDescent="0.15">
      <c r="F199" s="535"/>
      <c r="G199" s="535"/>
      <c r="H199" s="535"/>
      <c r="I199" s="535"/>
      <c r="J199" s="535"/>
      <c r="K199" s="535"/>
      <c r="L199" s="535"/>
      <c r="M199" s="535"/>
      <c r="N199" s="535"/>
      <c r="O199" s="535"/>
      <c r="P199" s="535"/>
      <c r="Q199" s="535"/>
    </row>
    <row r="200" spans="6:17" x14ac:dyDescent="0.15">
      <c r="F200" s="535"/>
      <c r="G200" s="535"/>
      <c r="H200" s="535"/>
      <c r="I200" s="535"/>
      <c r="J200" s="535"/>
      <c r="K200" s="535"/>
      <c r="L200" s="535"/>
      <c r="M200" s="535"/>
      <c r="N200" s="535"/>
      <c r="O200" s="535"/>
      <c r="P200" s="535"/>
      <c r="Q200" s="535"/>
    </row>
    <row r="201" spans="6:17" x14ac:dyDescent="0.15">
      <c r="F201" s="535"/>
      <c r="G201" s="535"/>
      <c r="H201" s="535"/>
      <c r="I201" s="535"/>
      <c r="J201" s="535"/>
      <c r="K201" s="535"/>
      <c r="L201" s="535"/>
      <c r="M201" s="535"/>
      <c r="N201" s="535"/>
      <c r="O201" s="535"/>
      <c r="P201" s="535"/>
      <c r="Q201" s="535"/>
    </row>
    <row r="202" spans="6:17" x14ac:dyDescent="0.15">
      <c r="F202" s="535"/>
      <c r="G202" s="535"/>
      <c r="H202" s="535"/>
      <c r="I202" s="535"/>
      <c r="J202" s="535"/>
      <c r="K202" s="535"/>
      <c r="L202" s="535"/>
      <c r="M202" s="535"/>
      <c r="N202" s="535"/>
      <c r="O202" s="535"/>
      <c r="P202" s="535"/>
      <c r="Q202" s="535"/>
    </row>
    <row r="203" spans="6:17" x14ac:dyDescent="0.15">
      <c r="F203" s="535"/>
      <c r="G203" s="535"/>
      <c r="H203" s="535"/>
      <c r="I203" s="535"/>
      <c r="J203" s="535"/>
      <c r="K203" s="535"/>
      <c r="L203" s="535"/>
      <c r="M203" s="535"/>
      <c r="N203" s="535"/>
      <c r="O203" s="535"/>
      <c r="P203" s="535"/>
      <c r="Q203" s="535"/>
    </row>
    <row r="204" spans="6:17" x14ac:dyDescent="0.15">
      <c r="F204" s="535"/>
      <c r="G204" s="535"/>
      <c r="H204" s="535"/>
      <c r="I204" s="535"/>
      <c r="J204" s="535"/>
      <c r="K204" s="535"/>
      <c r="L204" s="535"/>
      <c r="M204" s="535"/>
      <c r="N204" s="535"/>
      <c r="O204" s="535"/>
      <c r="P204" s="535"/>
      <c r="Q204" s="535"/>
    </row>
    <row r="205" spans="6:17" x14ac:dyDescent="0.15">
      <c r="F205" s="535"/>
      <c r="G205" s="535"/>
      <c r="H205" s="535"/>
      <c r="I205" s="535"/>
      <c r="J205" s="535"/>
      <c r="K205" s="535"/>
      <c r="L205" s="535"/>
      <c r="M205" s="535"/>
      <c r="N205" s="535"/>
      <c r="O205" s="535"/>
      <c r="P205" s="535"/>
      <c r="Q205" s="535"/>
    </row>
    <row r="206" spans="6:17" x14ac:dyDescent="0.15">
      <c r="F206" s="535"/>
      <c r="G206" s="535"/>
      <c r="H206" s="535"/>
      <c r="I206" s="535"/>
      <c r="J206" s="535"/>
      <c r="K206" s="535"/>
      <c r="L206" s="535"/>
      <c r="M206" s="535"/>
      <c r="N206" s="535"/>
      <c r="O206" s="535"/>
      <c r="P206" s="535"/>
      <c r="Q206" s="535"/>
    </row>
    <row r="207" spans="6:17" x14ac:dyDescent="0.15">
      <c r="F207" s="535"/>
      <c r="G207" s="535"/>
      <c r="H207" s="535"/>
      <c r="I207" s="535"/>
      <c r="J207" s="535"/>
      <c r="K207" s="535"/>
      <c r="L207" s="535"/>
      <c r="M207" s="535"/>
      <c r="N207" s="535"/>
      <c r="O207" s="535"/>
      <c r="P207" s="535"/>
      <c r="Q207" s="535"/>
    </row>
    <row r="208" spans="6:17" x14ac:dyDescent="0.15">
      <c r="F208" s="535"/>
      <c r="G208" s="535"/>
      <c r="H208" s="535"/>
      <c r="I208" s="535"/>
      <c r="J208" s="535"/>
      <c r="K208" s="535"/>
      <c r="L208" s="535"/>
      <c r="M208" s="535"/>
      <c r="N208" s="535"/>
      <c r="O208" s="535"/>
      <c r="P208" s="535"/>
      <c r="Q208" s="535"/>
    </row>
    <row r="209" spans="6:17" x14ac:dyDescent="0.15">
      <c r="F209" s="535"/>
      <c r="G209" s="535"/>
      <c r="H209" s="535"/>
      <c r="I209" s="535"/>
      <c r="J209" s="535"/>
      <c r="K209" s="535"/>
      <c r="L209" s="535"/>
      <c r="M209" s="535"/>
      <c r="N209" s="535"/>
      <c r="O209" s="535"/>
      <c r="P209" s="535"/>
      <c r="Q209" s="535"/>
    </row>
    <row r="210" spans="6:17" x14ac:dyDescent="0.15">
      <c r="F210" s="535"/>
      <c r="G210" s="535"/>
      <c r="H210" s="535"/>
      <c r="I210" s="535"/>
      <c r="J210" s="535"/>
      <c r="K210" s="535"/>
      <c r="L210" s="535"/>
      <c r="M210" s="535"/>
      <c r="N210" s="535"/>
      <c r="O210" s="535"/>
      <c r="P210" s="535"/>
      <c r="Q210" s="535"/>
    </row>
    <row r="211" spans="6:17" x14ac:dyDescent="0.15">
      <c r="F211" s="535"/>
      <c r="G211" s="535"/>
      <c r="H211" s="535"/>
      <c r="I211" s="535"/>
      <c r="J211" s="535"/>
      <c r="K211" s="535"/>
      <c r="L211" s="535"/>
      <c r="M211" s="535"/>
      <c r="N211" s="535"/>
      <c r="O211" s="535"/>
      <c r="P211" s="535"/>
      <c r="Q211" s="535"/>
    </row>
    <row r="212" spans="6:17" x14ac:dyDescent="0.15">
      <c r="F212" s="535"/>
      <c r="G212" s="535"/>
      <c r="H212" s="535"/>
      <c r="I212" s="535"/>
      <c r="J212" s="417">
        <v>1</v>
      </c>
      <c r="K212" s="535"/>
      <c r="L212" s="535"/>
      <c r="M212" s="535"/>
      <c r="N212" s="535"/>
      <c r="O212" s="535"/>
      <c r="P212" s="535"/>
      <c r="Q212" s="535"/>
    </row>
    <row r="213" spans="6:17" x14ac:dyDescent="0.15">
      <c r="F213" s="535"/>
      <c r="G213" s="535"/>
      <c r="H213" s="535"/>
      <c r="I213" s="535"/>
      <c r="J213" s="535"/>
      <c r="K213" s="535"/>
      <c r="L213" s="535"/>
      <c r="M213" s="535"/>
      <c r="N213" s="535"/>
      <c r="O213" s="535"/>
      <c r="P213" s="535"/>
      <c r="Q213" s="535"/>
    </row>
    <row r="214" spans="6:17" x14ac:dyDescent="0.15">
      <c r="F214" s="535"/>
      <c r="G214" s="535"/>
      <c r="H214" s="535"/>
      <c r="I214" s="535"/>
      <c r="J214" s="535"/>
      <c r="K214" s="535"/>
      <c r="L214" s="535"/>
      <c r="M214" s="535"/>
      <c r="N214" s="535"/>
      <c r="O214" s="535"/>
      <c r="P214" s="535"/>
      <c r="Q214" s="535"/>
    </row>
    <row r="215" spans="6:17" x14ac:dyDescent="0.15">
      <c r="F215" s="535"/>
      <c r="G215" s="535"/>
      <c r="H215" s="535"/>
      <c r="I215" s="535"/>
      <c r="J215" s="535"/>
      <c r="K215" s="535"/>
      <c r="L215" s="535"/>
      <c r="M215" s="535"/>
      <c r="N215" s="535"/>
      <c r="O215" s="535"/>
      <c r="P215" s="535"/>
      <c r="Q215" s="535"/>
    </row>
    <row r="216" spans="6:17" x14ac:dyDescent="0.15">
      <c r="F216" s="535"/>
      <c r="G216" s="535"/>
      <c r="H216" s="535"/>
      <c r="I216" s="535"/>
      <c r="J216" s="535"/>
      <c r="K216" s="535"/>
      <c r="L216" s="535"/>
      <c r="M216" s="535"/>
      <c r="N216" s="535"/>
      <c r="O216" s="535"/>
      <c r="P216" s="535"/>
      <c r="Q216" s="535"/>
    </row>
    <row r="217" spans="6:17" x14ac:dyDescent="0.15">
      <c r="F217" s="535"/>
      <c r="G217" s="535"/>
      <c r="H217" s="535"/>
      <c r="I217" s="535"/>
      <c r="J217" s="535"/>
      <c r="K217" s="535"/>
      <c r="L217" s="535"/>
      <c r="M217" s="535"/>
      <c r="N217" s="535"/>
      <c r="O217" s="535"/>
      <c r="P217" s="535"/>
      <c r="Q217" s="535"/>
    </row>
    <row r="218" spans="6:17" x14ac:dyDescent="0.15">
      <c r="F218" s="535"/>
      <c r="G218" s="535"/>
      <c r="H218" s="535"/>
      <c r="I218" s="535"/>
      <c r="J218" s="535"/>
      <c r="K218" s="535"/>
      <c r="L218" s="535"/>
      <c r="M218" s="535"/>
      <c r="N218" s="535"/>
      <c r="O218" s="535"/>
      <c r="P218" s="535"/>
      <c r="Q218" s="535"/>
    </row>
    <row r="219" spans="6:17" x14ac:dyDescent="0.15">
      <c r="F219" s="535"/>
      <c r="G219" s="535"/>
      <c r="H219" s="535"/>
      <c r="I219" s="535"/>
      <c r="J219" s="535"/>
      <c r="K219" s="535"/>
      <c r="L219" s="535"/>
      <c r="M219" s="535"/>
      <c r="N219" s="535"/>
      <c r="O219" s="535"/>
      <c r="P219" s="535"/>
      <c r="Q219" s="535"/>
    </row>
    <row r="220" spans="6:17" x14ac:dyDescent="0.15">
      <c r="F220" s="535"/>
      <c r="G220" s="535"/>
      <c r="H220" s="535"/>
      <c r="I220" s="535"/>
      <c r="J220" s="535"/>
      <c r="K220" s="535"/>
      <c r="L220" s="535"/>
      <c r="M220" s="535"/>
      <c r="N220" s="535"/>
      <c r="O220" s="535"/>
      <c r="P220" s="535"/>
      <c r="Q220" s="535"/>
    </row>
    <row r="221" spans="6:17" x14ac:dyDescent="0.15">
      <c r="F221" s="535"/>
      <c r="G221" s="535"/>
      <c r="H221" s="535"/>
      <c r="I221" s="535"/>
      <c r="J221" s="535"/>
      <c r="K221" s="535"/>
      <c r="L221" s="535"/>
      <c r="M221" s="535"/>
      <c r="N221" s="535"/>
      <c r="O221" s="535"/>
      <c r="P221" s="535"/>
      <c r="Q221" s="535"/>
    </row>
    <row r="222" spans="6:17" x14ac:dyDescent="0.15">
      <c r="F222" s="535"/>
      <c r="G222" s="535"/>
      <c r="H222" s="535"/>
      <c r="I222" s="535"/>
      <c r="J222" s="535"/>
      <c r="K222" s="535"/>
      <c r="L222" s="535"/>
      <c r="M222" s="535"/>
      <c r="N222" s="535"/>
      <c r="O222" s="535"/>
      <c r="P222" s="535"/>
      <c r="Q222" s="535"/>
    </row>
    <row r="223" spans="6:17" x14ac:dyDescent="0.15">
      <c r="F223" s="535"/>
      <c r="G223" s="535"/>
      <c r="H223" s="535"/>
      <c r="I223" s="535"/>
      <c r="J223" s="535"/>
      <c r="K223" s="535"/>
      <c r="L223" s="535"/>
      <c r="M223" s="535"/>
      <c r="N223" s="535"/>
      <c r="O223" s="535"/>
      <c r="P223" s="535"/>
      <c r="Q223" s="535"/>
    </row>
    <row r="224" spans="6:17" x14ac:dyDescent="0.15">
      <c r="F224" s="535"/>
      <c r="G224" s="535"/>
      <c r="H224" s="535"/>
      <c r="I224" s="535"/>
      <c r="J224" s="535"/>
      <c r="K224" s="535"/>
      <c r="L224" s="535"/>
      <c r="M224" s="535"/>
      <c r="N224" s="535"/>
      <c r="O224" s="535"/>
      <c r="P224" s="535"/>
      <c r="Q224" s="535"/>
    </row>
    <row r="225" spans="6:17" x14ac:dyDescent="0.15">
      <c r="F225" s="535"/>
      <c r="G225" s="535"/>
      <c r="H225" s="535"/>
      <c r="I225" s="535"/>
      <c r="J225" s="535"/>
      <c r="K225" s="535"/>
      <c r="L225" s="535"/>
      <c r="M225" s="535"/>
      <c r="N225" s="535"/>
      <c r="O225" s="535"/>
      <c r="P225" s="535"/>
      <c r="Q225" s="535"/>
    </row>
    <row r="226" spans="6:17" x14ac:dyDescent="0.15">
      <c r="F226" s="535"/>
      <c r="G226" s="535"/>
      <c r="H226" s="535"/>
      <c r="I226" s="535"/>
      <c r="J226" s="535"/>
      <c r="K226" s="535"/>
      <c r="L226" s="535"/>
      <c r="M226" s="535"/>
      <c r="N226" s="535"/>
      <c r="O226" s="535"/>
      <c r="P226" s="535"/>
      <c r="Q226" s="535"/>
    </row>
    <row r="227" spans="6:17" x14ac:dyDescent="0.15">
      <c r="F227" s="535"/>
      <c r="G227" s="535"/>
      <c r="H227" s="535"/>
      <c r="I227" s="535"/>
      <c r="J227" s="535"/>
      <c r="K227" s="535"/>
      <c r="L227" s="535"/>
      <c r="M227" s="535"/>
      <c r="N227" s="535"/>
      <c r="O227" s="535"/>
      <c r="P227" s="535"/>
      <c r="Q227" s="535"/>
    </row>
    <row r="228" spans="6:17" x14ac:dyDescent="0.15">
      <c r="F228" s="535"/>
      <c r="G228" s="535"/>
      <c r="H228" s="535"/>
      <c r="I228" s="535"/>
      <c r="J228" s="535"/>
      <c r="K228" s="535"/>
      <c r="L228" s="535"/>
      <c r="M228" s="535"/>
      <c r="N228" s="535"/>
      <c r="O228" s="535"/>
      <c r="P228" s="535"/>
      <c r="Q228" s="535"/>
    </row>
    <row r="229" spans="6:17" x14ac:dyDescent="0.15">
      <c r="F229" s="535"/>
      <c r="G229" s="535"/>
      <c r="H229" s="535"/>
      <c r="I229" s="535"/>
      <c r="J229" s="535"/>
      <c r="K229" s="535"/>
      <c r="L229" s="535"/>
      <c r="M229" s="535"/>
      <c r="N229" s="535"/>
      <c r="O229" s="535"/>
      <c r="P229" s="535"/>
      <c r="Q229" s="535"/>
    </row>
    <row r="230" spans="6:17" x14ac:dyDescent="0.15">
      <c r="F230" s="535"/>
      <c r="G230" s="535"/>
      <c r="H230" s="535"/>
      <c r="I230" s="535"/>
      <c r="J230" s="535"/>
      <c r="K230" s="535"/>
      <c r="L230" s="535"/>
      <c r="M230" s="535"/>
      <c r="N230" s="535"/>
      <c r="O230" s="535"/>
      <c r="P230" s="535"/>
      <c r="Q230" s="535"/>
    </row>
    <row r="231" spans="6:17" x14ac:dyDescent="0.15">
      <c r="F231" s="535"/>
      <c r="G231" s="535"/>
      <c r="H231" s="535"/>
      <c r="I231" s="535"/>
      <c r="J231" s="535"/>
      <c r="K231" s="535"/>
      <c r="L231" s="535"/>
      <c r="M231" s="535"/>
      <c r="N231" s="535"/>
      <c r="O231" s="535"/>
      <c r="P231" s="535"/>
      <c r="Q231" s="535"/>
    </row>
    <row r="232" spans="6:17" x14ac:dyDescent="0.15">
      <c r="F232" s="535"/>
      <c r="G232" s="535"/>
      <c r="H232" s="535"/>
      <c r="I232" s="535"/>
      <c r="J232" s="535"/>
      <c r="K232" s="535"/>
      <c r="L232" s="535"/>
      <c r="M232" s="535"/>
      <c r="N232" s="535"/>
      <c r="O232" s="535"/>
      <c r="P232" s="535"/>
      <c r="Q232" s="535"/>
    </row>
    <row r="233" spans="6:17" x14ac:dyDescent="0.15">
      <c r="F233" s="535"/>
      <c r="G233" s="535"/>
      <c r="H233" s="535"/>
      <c r="I233" s="535"/>
      <c r="J233" s="535"/>
      <c r="K233" s="535"/>
      <c r="L233" s="535"/>
      <c r="M233" s="535"/>
      <c r="N233" s="535"/>
      <c r="O233" s="535"/>
      <c r="P233" s="535"/>
      <c r="Q233" s="535"/>
    </row>
    <row r="234" spans="6:17" x14ac:dyDescent="0.15">
      <c r="F234" s="535"/>
      <c r="G234" s="535"/>
      <c r="H234" s="535"/>
      <c r="I234" s="535"/>
      <c r="J234" s="535"/>
      <c r="K234" s="535"/>
      <c r="L234" s="535"/>
      <c r="M234" s="535"/>
      <c r="N234" s="535"/>
      <c r="O234" s="535"/>
      <c r="P234" s="535"/>
      <c r="Q234" s="535"/>
    </row>
    <row r="235" spans="6:17" x14ac:dyDescent="0.15">
      <c r="F235" s="535"/>
      <c r="G235" s="535"/>
      <c r="H235" s="535"/>
      <c r="I235" s="535"/>
      <c r="J235" s="535"/>
      <c r="K235" s="535"/>
      <c r="L235" s="535"/>
      <c r="M235" s="535"/>
      <c r="N235" s="535"/>
      <c r="O235" s="535"/>
      <c r="P235" s="535"/>
      <c r="Q235" s="535"/>
    </row>
    <row r="236" spans="6:17" x14ac:dyDescent="0.15">
      <c r="F236" s="535"/>
      <c r="G236" s="535"/>
      <c r="H236" s="535"/>
      <c r="I236" s="535"/>
      <c r="J236" s="535"/>
      <c r="K236" s="535"/>
      <c r="L236" s="535"/>
      <c r="M236" s="535"/>
      <c r="N236" s="535"/>
      <c r="O236" s="535"/>
      <c r="P236" s="535"/>
      <c r="Q236" s="535"/>
    </row>
    <row r="237" spans="6:17" x14ac:dyDescent="0.15">
      <c r="F237" s="535"/>
      <c r="G237" s="535"/>
      <c r="H237" s="535"/>
      <c r="I237" s="535"/>
      <c r="J237" s="535"/>
      <c r="K237" s="535"/>
      <c r="L237" s="535"/>
      <c r="M237" s="535"/>
      <c r="N237" s="535"/>
      <c r="O237" s="535"/>
      <c r="P237" s="535"/>
      <c r="Q237" s="535"/>
    </row>
    <row r="238" spans="6:17" x14ac:dyDescent="0.15">
      <c r="F238" s="535"/>
      <c r="G238" s="535"/>
      <c r="H238" s="535"/>
      <c r="I238" s="535"/>
      <c r="J238" s="535"/>
      <c r="K238" s="535"/>
      <c r="L238" s="535"/>
      <c r="M238" s="535"/>
      <c r="N238" s="535"/>
      <c r="O238" s="535"/>
      <c r="P238" s="535"/>
      <c r="Q238" s="535"/>
    </row>
    <row r="239" spans="6:17" x14ac:dyDescent="0.15">
      <c r="F239" s="535"/>
      <c r="G239" s="535"/>
      <c r="H239" s="535"/>
      <c r="I239" s="535"/>
      <c r="J239" s="535"/>
      <c r="K239" s="535"/>
      <c r="L239" s="535"/>
      <c r="M239" s="535"/>
      <c r="N239" s="535"/>
      <c r="O239" s="535"/>
      <c r="P239" s="535"/>
      <c r="Q239" s="535"/>
    </row>
    <row r="240" spans="6:17" x14ac:dyDescent="0.15">
      <c r="F240" s="535"/>
      <c r="G240" s="535"/>
      <c r="H240" s="535"/>
      <c r="I240" s="535"/>
      <c r="J240" s="535"/>
      <c r="K240" s="535"/>
      <c r="L240" s="535"/>
      <c r="M240" s="535"/>
      <c r="N240" s="535"/>
      <c r="O240" s="535"/>
      <c r="P240" s="535"/>
      <c r="Q240" s="535"/>
    </row>
    <row r="241" spans="6:17" x14ac:dyDescent="0.15">
      <c r="F241" s="535"/>
      <c r="G241" s="535"/>
      <c r="H241" s="535"/>
      <c r="I241" s="535"/>
      <c r="J241" s="535"/>
      <c r="K241" s="535"/>
      <c r="L241" s="535"/>
      <c r="M241" s="535"/>
      <c r="N241" s="535"/>
      <c r="O241" s="535"/>
      <c r="P241" s="535"/>
      <c r="Q241" s="535"/>
    </row>
    <row r="242" spans="6:17" x14ac:dyDescent="0.15">
      <c r="F242" s="535"/>
      <c r="G242" s="535"/>
      <c r="H242" s="535"/>
      <c r="I242" s="535"/>
      <c r="J242" s="535"/>
      <c r="K242" s="535"/>
      <c r="L242" s="535"/>
      <c r="M242" s="535"/>
      <c r="N242" s="535"/>
      <c r="O242" s="535"/>
      <c r="P242" s="535"/>
      <c r="Q242" s="535"/>
    </row>
    <row r="243" spans="6:17" x14ac:dyDescent="0.15">
      <c r="F243" s="535"/>
      <c r="G243" s="535"/>
      <c r="H243" s="535"/>
      <c r="I243" s="535"/>
      <c r="J243" s="535"/>
      <c r="K243" s="535"/>
      <c r="L243" s="535"/>
      <c r="M243" s="535"/>
      <c r="N243" s="535"/>
      <c r="O243" s="535"/>
      <c r="P243" s="535"/>
      <c r="Q243" s="535"/>
    </row>
    <row r="244" spans="6:17" x14ac:dyDescent="0.15">
      <c r="F244" s="535"/>
      <c r="G244" s="535"/>
      <c r="H244" s="535"/>
      <c r="I244" s="535"/>
      <c r="J244" s="535"/>
      <c r="K244" s="535"/>
      <c r="L244" s="535"/>
      <c r="M244" s="535"/>
      <c r="N244" s="535"/>
      <c r="O244" s="535"/>
      <c r="P244" s="535"/>
      <c r="Q244" s="535"/>
    </row>
    <row r="245" spans="6:17" x14ac:dyDescent="0.15">
      <c r="F245" s="535"/>
      <c r="G245" s="535"/>
      <c r="H245" s="535"/>
      <c r="I245" s="535"/>
      <c r="J245" s="535"/>
      <c r="K245" s="535"/>
      <c r="L245" s="535"/>
      <c r="M245" s="535"/>
      <c r="N245" s="535"/>
      <c r="O245" s="535"/>
      <c r="P245" s="535"/>
      <c r="Q245" s="535"/>
    </row>
    <row r="246" spans="6:17" x14ac:dyDescent="0.15">
      <c r="F246" s="535"/>
      <c r="G246" s="535"/>
      <c r="H246" s="535"/>
      <c r="I246" s="535"/>
      <c r="J246" s="535"/>
      <c r="K246" s="535"/>
      <c r="L246" s="535"/>
      <c r="M246" s="535"/>
      <c r="N246" s="535"/>
      <c r="O246" s="535"/>
      <c r="P246" s="535"/>
      <c r="Q246" s="535"/>
    </row>
    <row r="247" spans="6:17" x14ac:dyDescent="0.15">
      <c r="F247" s="535"/>
      <c r="G247" s="535"/>
      <c r="H247" s="535"/>
      <c r="I247" s="535"/>
      <c r="J247" s="535"/>
      <c r="K247" s="535"/>
      <c r="L247" s="535"/>
      <c r="M247" s="535"/>
      <c r="N247" s="535"/>
      <c r="O247" s="535"/>
      <c r="P247" s="535"/>
      <c r="Q247" s="535"/>
    </row>
    <row r="248" spans="6:17" x14ac:dyDescent="0.15">
      <c r="F248" s="535"/>
      <c r="G248" s="535"/>
      <c r="H248" s="535"/>
      <c r="I248" s="535"/>
      <c r="J248" s="535"/>
      <c r="K248" s="535"/>
      <c r="L248" s="535"/>
      <c r="M248" s="535"/>
      <c r="N248" s="535"/>
      <c r="O248" s="535"/>
      <c r="P248" s="535"/>
      <c r="Q248" s="535"/>
    </row>
    <row r="249" spans="6:17" x14ac:dyDescent="0.15">
      <c r="F249" s="535"/>
      <c r="G249" s="535"/>
      <c r="H249" s="535"/>
      <c r="I249" s="535"/>
      <c r="J249" s="535"/>
      <c r="K249" s="535"/>
      <c r="L249" s="535"/>
      <c r="M249" s="535"/>
      <c r="N249" s="535"/>
      <c r="O249" s="535"/>
      <c r="P249" s="535"/>
      <c r="Q249" s="535"/>
    </row>
    <row r="250" spans="6:17" x14ac:dyDescent="0.15">
      <c r="F250" s="535"/>
      <c r="G250" s="535"/>
      <c r="H250" s="535"/>
      <c r="I250" s="535"/>
      <c r="J250" s="535"/>
      <c r="K250" s="535"/>
      <c r="L250" s="535"/>
      <c r="M250" s="535"/>
      <c r="N250" s="535"/>
      <c r="O250" s="535"/>
      <c r="P250" s="535"/>
      <c r="Q250" s="535"/>
    </row>
    <row r="251" spans="6:17" x14ac:dyDescent="0.15">
      <c r="F251" s="535"/>
      <c r="G251" s="535"/>
      <c r="H251" s="535"/>
      <c r="I251" s="535"/>
      <c r="J251" s="535"/>
      <c r="K251" s="535"/>
      <c r="L251" s="535"/>
      <c r="M251" s="535"/>
      <c r="N251" s="535"/>
      <c r="O251" s="535"/>
      <c r="P251" s="535"/>
      <c r="Q251" s="535"/>
    </row>
    <row r="252" spans="6:17" x14ac:dyDescent="0.15">
      <c r="F252" s="535"/>
      <c r="G252" s="535"/>
      <c r="H252" s="535"/>
      <c r="I252" s="535"/>
      <c r="J252" s="535"/>
      <c r="K252" s="535"/>
      <c r="L252" s="535"/>
      <c r="M252" s="535"/>
      <c r="N252" s="535"/>
      <c r="O252" s="535"/>
      <c r="P252" s="535"/>
      <c r="Q252" s="535"/>
    </row>
    <row r="253" spans="6:17" x14ac:dyDescent="0.15">
      <c r="F253" s="535"/>
      <c r="G253" s="535"/>
      <c r="H253" s="535"/>
      <c r="I253" s="535"/>
      <c r="J253" s="535"/>
      <c r="K253" s="535"/>
      <c r="L253" s="535"/>
      <c r="M253" s="535"/>
      <c r="N253" s="535"/>
      <c r="O253" s="535"/>
      <c r="P253" s="535"/>
      <c r="Q253" s="535"/>
    </row>
    <row r="254" spans="6:17" x14ac:dyDescent="0.15">
      <c r="F254" s="535"/>
      <c r="G254" s="535"/>
      <c r="H254" s="535"/>
      <c r="I254" s="535"/>
      <c r="J254" s="535"/>
      <c r="K254" s="535"/>
      <c r="L254" s="535"/>
      <c r="M254" s="535"/>
      <c r="N254" s="535"/>
      <c r="O254" s="535"/>
      <c r="P254" s="535"/>
      <c r="Q254" s="535"/>
    </row>
    <row r="255" spans="6:17" x14ac:dyDescent="0.15">
      <c r="F255" s="535"/>
      <c r="G255" s="535"/>
      <c r="H255" s="535"/>
      <c r="I255" s="535"/>
      <c r="J255" s="535"/>
      <c r="K255" s="535"/>
      <c r="L255" s="535"/>
      <c r="M255" s="535"/>
      <c r="N255" s="535"/>
      <c r="O255" s="535"/>
      <c r="P255" s="535"/>
      <c r="Q255" s="535"/>
    </row>
    <row r="256" spans="6:17" x14ac:dyDescent="0.15">
      <c r="F256" s="535"/>
      <c r="G256" s="535"/>
      <c r="H256" s="535"/>
      <c r="I256" s="535"/>
      <c r="J256" s="535"/>
      <c r="K256" s="535"/>
      <c r="L256" s="535"/>
      <c r="M256" s="535"/>
      <c r="N256" s="535"/>
      <c r="O256" s="535"/>
      <c r="P256" s="535"/>
      <c r="Q256" s="535"/>
    </row>
    <row r="257" spans="6:17" x14ac:dyDescent="0.15">
      <c r="F257" s="535"/>
      <c r="G257" s="535"/>
      <c r="H257" s="535"/>
      <c r="I257" s="535"/>
      <c r="J257" s="535"/>
      <c r="K257" s="535"/>
      <c r="L257" s="535"/>
      <c r="M257" s="535"/>
      <c r="N257" s="535"/>
      <c r="O257" s="535"/>
      <c r="P257" s="535"/>
      <c r="Q257" s="535"/>
    </row>
    <row r="258" spans="6:17" x14ac:dyDescent="0.15">
      <c r="F258" s="535"/>
      <c r="G258" s="535"/>
      <c r="H258" s="535"/>
      <c r="I258" s="535"/>
      <c r="J258" s="535"/>
      <c r="K258" s="535"/>
      <c r="L258" s="535"/>
      <c r="M258" s="535"/>
      <c r="N258" s="535"/>
      <c r="O258" s="535"/>
      <c r="P258" s="535"/>
      <c r="Q258" s="535"/>
    </row>
    <row r="259" spans="6:17" x14ac:dyDescent="0.15">
      <c r="F259" s="535"/>
      <c r="G259" s="535"/>
      <c r="H259" s="535"/>
      <c r="I259" s="535"/>
      <c r="J259" s="535"/>
      <c r="K259" s="535"/>
      <c r="L259" s="535"/>
      <c r="M259" s="535"/>
      <c r="N259" s="535"/>
      <c r="O259" s="535"/>
      <c r="P259" s="535"/>
      <c r="Q259" s="535"/>
    </row>
    <row r="260" spans="6:17" x14ac:dyDescent="0.15">
      <c r="F260" s="535"/>
      <c r="G260" s="535"/>
      <c r="H260" s="535"/>
      <c r="I260" s="535"/>
      <c r="J260" s="535"/>
      <c r="K260" s="535"/>
      <c r="L260" s="535"/>
      <c r="M260" s="535"/>
      <c r="N260" s="535"/>
      <c r="O260" s="535"/>
      <c r="P260" s="535"/>
      <c r="Q260" s="535"/>
    </row>
    <row r="261" spans="6:17" x14ac:dyDescent="0.15">
      <c r="F261" s="535"/>
      <c r="G261" s="535"/>
      <c r="H261" s="535"/>
      <c r="I261" s="535"/>
      <c r="J261" s="535"/>
      <c r="K261" s="535"/>
      <c r="L261" s="535"/>
      <c r="M261" s="535"/>
      <c r="N261" s="535"/>
      <c r="O261" s="535"/>
      <c r="P261" s="535"/>
      <c r="Q261" s="535"/>
    </row>
    <row r="262" spans="6:17" x14ac:dyDescent="0.15">
      <c r="F262" s="535"/>
      <c r="G262" s="535"/>
      <c r="H262" s="535"/>
      <c r="I262" s="535"/>
      <c r="J262" s="535"/>
      <c r="K262" s="535"/>
      <c r="L262" s="535"/>
      <c r="M262" s="535"/>
      <c r="N262" s="535"/>
      <c r="O262" s="535"/>
      <c r="P262" s="535"/>
      <c r="Q262" s="535"/>
    </row>
    <row r="263" spans="6:17" x14ac:dyDescent="0.15">
      <c r="F263" s="535"/>
      <c r="G263" s="535"/>
      <c r="H263" s="535"/>
      <c r="I263" s="535"/>
      <c r="J263" s="535"/>
      <c r="K263" s="535"/>
      <c r="L263" s="535"/>
      <c r="M263" s="535"/>
      <c r="N263" s="535"/>
      <c r="O263" s="535"/>
      <c r="P263" s="535"/>
      <c r="Q263" s="535"/>
    </row>
    <row r="264" spans="6:17" x14ac:dyDescent="0.15">
      <c r="F264" s="535"/>
      <c r="G264" s="535"/>
      <c r="H264" s="535"/>
      <c r="I264" s="535"/>
      <c r="J264" s="535"/>
      <c r="K264" s="535"/>
      <c r="L264" s="535"/>
      <c r="M264" s="535"/>
      <c r="N264" s="535"/>
      <c r="O264" s="535"/>
      <c r="P264" s="535"/>
      <c r="Q264" s="535"/>
    </row>
    <row r="265" spans="6:17" x14ac:dyDescent="0.15">
      <c r="F265" s="535"/>
      <c r="G265" s="535"/>
      <c r="H265" s="535"/>
      <c r="I265" s="535"/>
      <c r="J265" s="535"/>
      <c r="K265" s="535"/>
      <c r="L265" s="535"/>
      <c r="M265" s="535"/>
      <c r="N265" s="535"/>
      <c r="O265" s="535"/>
      <c r="P265" s="535"/>
      <c r="Q265" s="535"/>
    </row>
    <row r="266" spans="6:17" x14ac:dyDescent="0.15">
      <c r="F266" s="535"/>
      <c r="G266" s="535"/>
      <c r="H266" s="535"/>
      <c r="I266" s="535"/>
      <c r="J266" s="535"/>
      <c r="K266" s="535"/>
      <c r="L266" s="535"/>
      <c r="M266" s="535"/>
      <c r="N266" s="535"/>
      <c r="O266" s="535"/>
      <c r="P266" s="535"/>
      <c r="Q266" s="535"/>
    </row>
    <row r="267" spans="6:17" x14ac:dyDescent="0.15">
      <c r="F267" s="535"/>
      <c r="G267" s="535"/>
      <c r="H267" s="535"/>
      <c r="I267" s="535"/>
      <c r="J267" s="535"/>
      <c r="K267" s="535"/>
      <c r="L267" s="535"/>
      <c r="M267" s="535"/>
      <c r="N267" s="535"/>
      <c r="O267" s="535"/>
      <c r="P267" s="535"/>
      <c r="Q267" s="535"/>
    </row>
    <row r="268" spans="6:17" x14ac:dyDescent="0.15">
      <c r="F268" s="535"/>
      <c r="G268" s="535"/>
      <c r="H268" s="535"/>
      <c r="I268" s="535"/>
      <c r="J268" s="535"/>
      <c r="K268" s="535"/>
      <c r="L268" s="535"/>
      <c r="M268" s="535"/>
      <c r="N268" s="535"/>
      <c r="O268" s="535"/>
      <c r="P268" s="535"/>
      <c r="Q268" s="535"/>
    </row>
    <row r="269" spans="6:17" x14ac:dyDescent="0.15">
      <c r="F269" s="535"/>
      <c r="G269" s="535"/>
      <c r="H269" s="535"/>
      <c r="I269" s="535"/>
      <c r="J269" s="535"/>
      <c r="K269" s="535"/>
      <c r="L269" s="535"/>
      <c r="M269" s="535"/>
      <c r="N269" s="535"/>
      <c r="O269" s="535"/>
      <c r="P269" s="535"/>
      <c r="Q269" s="535"/>
    </row>
    <row r="270" spans="6:17" x14ac:dyDescent="0.15">
      <c r="F270" s="535"/>
      <c r="G270" s="535"/>
      <c r="H270" s="535"/>
      <c r="I270" s="535"/>
      <c r="J270" s="535"/>
      <c r="K270" s="535"/>
      <c r="L270" s="535"/>
      <c r="M270" s="535"/>
      <c r="N270" s="535"/>
      <c r="O270" s="535"/>
      <c r="P270" s="535"/>
      <c r="Q270" s="535"/>
    </row>
    <row r="271" spans="6:17" x14ac:dyDescent="0.15">
      <c r="F271" s="535"/>
      <c r="G271" s="535"/>
      <c r="H271" s="535"/>
      <c r="I271" s="535"/>
      <c r="J271" s="535"/>
      <c r="K271" s="535"/>
      <c r="L271" s="535"/>
      <c r="M271" s="535"/>
      <c r="N271" s="535"/>
      <c r="O271" s="535"/>
      <c r="P271" s="535"/>
      <c r="Q271" s="535"/>
    </row>
    <row r="684" spans="15:16" x14ac:dyDescent="0.15">
      <c r="P684" s="561" t="s">
        <v>733</v>
      </c>
    </row>
    <row r="685" spans="15:16" ht="17" x14ac:dyDescent="0.15">
      <c r="O685" s="341" t="str">
        <f>UPPER('User Add-in Location'!B8)</f>
        <v>MYCOUNTY</v>
      </c>
      <c r="P685" s="561" t="s">
        <v>742</v>
      </c>
    </row>
    <row r="686" spans="15:16" ht="17" x14ac:dyDescent="0.15">
      <c r="O686" s="341" t="str">
        <f>UPPER('User Add-in Location'!C8)</f>
        <v>MYREGION</v>
      </c>
      <c r="P686" s="561" t="s">
        <v>742</v>
      </c>
    </row>
    <row r="687" spans="15:16" ht="17" x14ac:dyDescent="0.2">
      <c r="O687" s="341" t="s">
        <v>24</v>
      </c>
      <c r="P687" s="317" t="s">
        <v>735</v>
      </c>
    </row>
    <row r="688" spans="15:16" ht="17" x14ac:dyDescent="0.2">
      <c r="O688" s="341" t="s">
        <v>25</v>
      </c>
      <c r="P688" s="317" t="s">
        <v>737</v>
      </c>
    </row>
    <row r="689" spans="15:16" ht="17" x14ac:dyDescent="0.2">
      <c r="O689" s="341" t="s">
        <v>876</v>
      </c>
      <c r="P689" s="317" t="s">
        <v>737</v>
      </c>
    </row>
    <row r="690" spans="15:16" ht="17" x14ac:dyDescent="0.2">
      <c r="O690" s="341" t="s">
        <v>27</v>
      </c>
      <c r="P690" s="317" t="s">
        <v>735</v>
      </c>
    </row>
    <row r="691" spans="15:16" ht="17" x14ac:dyDescent="0.2">
      <c r="O691" s="341" t="s">
        <v>877</v>
      </c>
      <c r="P691" s="317" t="s">
        <v>737</v>
      </c>
    </row>
    <row r="692" spans="15:16" ht="17" x14ac:dyDescent="0.2">
      <c r="O692" s="341" t="s">
        <v>878</v>
      </c>
      <c r="P692" s="317" t="s">
        <v>742</v>
      </c>
    </row>
    <row r="693" spans="15:16" ht="17" x14ac:dyDescent="0.2">
      <c r="O693" s="341" t="s">
        <v>30</v>
      </c>
      <c r="P693" s="317" t="s">
        <v>744</v>
      </c>
    </row>
    <row r="694" spans="15:16" ht="17" x14ac:dyDescent="0.2">
      <c r="O694" s="341" t="s">
        <v>31</v>
      </c>
      <c r="P694" s="317" t="s">
        <v>744</v>
      </c>
    </row>
    <row r="695" spans="15:16" ht="17" x14ac:dyDescent="0.15">
      <c r="O695" s="341" t="s">
        <v>32</v>
      </c>
      <c r="P695" s="561" t="s">
        <v>744</v>
      </c>
    </row>
    <row r="696" spans="15:16" ht="17" x14ac:dyDescent="0.2">
      <c r="O696" s="341" t="s">
        <v>33</v>
      </c>
      <c r="P696" s="317" t="s">
        <v>735</v>
      </c>
    </row>
    <row r="697" spans="15:16" ht="17" x14ac:dyDescent="0.2">
      <c r="O697" s="341" t="s">
        <v>34</v>
      </c>
      <c r="P697" s="317" t="s">
        <v>735</v>
      </c>
    </row>
    <row r="698" spans="15:16" ht="17" x14ac:dyDescent="0.2">
      <c r="O698" s="341" t="s">
        <v>35</v>
      </c>
      <c r="P698" s="317" t="s">
        <v>737</v>
      </c>
    </row>
    <row r="699" spans="15:16" ht="17" x14ac:dyDescent="0.2">
      <c r="O699" s="341" t="s">
        <v>36</v>
      </c>
      <c r="P699" s="317" t="s">
        <v>737</v>
      </c>
    </row>
    <row r="700" spans="15:16" ht="17" x14ac:dyDescent="0.2">
      <c r="O700" s="341" t="s">
        <v>37</v>
      </c>
      <c r="P700" s="317" t="s">
        <v>750</v>
      </c>
    </row>
    <row r="701" spans="15:16" ht="17" x14ac:dyDescent="0.2">
      <c r="O701" s="341" t="s">
        <v>38</v>
      </c>
      <c r="P701" s="317" t="s">
        <v>750</v>
      </c>
    </row>
    <row r="702" spans="15:16" ht="17" x14ac:dyDescent="0.2">
      <c r="O702" s="341" t="s">
        <v>39</v>
      </c>
      <c r="P702" s="317" t="s">
        <v>742</v>
      </c>
    </row>
    <row r="703" spans="15:16" ht="17" x14ac:dyDescent="0.2">
      <c r="O703" s="341" t="s">
        <v>40</v>
      </c>
      <c r="P703" s="317" t="s">
        <v>742</v>
      </c>
    </row>
    <row r="704" spans="15:16" ht="17" x14ac:dyDescent="0.2">
      <c r="O704" s="341" t="s">
        <v>41</v>
      </c>
      <c r="P704" s="317" t="s">
        <v>735</v>
      </c>
    </row>
    <row r="705" spans="15:16" ht="17" x14ac:dyDescent="0.2">
      <c r="O705" s="341" t="s">
        <v>42</v>
      </c>
      <c r="P705" s="317" t="s">
        <v>735</v>
      </c>
    </row>
    <row r="706" spans="15:16" ht="17" x14ac:dyDescent="0.2">
      <c r="O706" s="341" t="s">
        <v>43</v>
      </c>
      <c r="P706" s="317" t="s">
        <v>744</v>
      </c>
    </row>
    <row r="707" spans="15:16" ht="17" x14ac:dyDescent="0.2">
      <c r="O707" s="341" t="s">
        <v>44</v>
      </c>
      <c r="P707" s="317" t="s">
        <v>744</v>
      </c>
    </row>
    <row r="708" spans="15:16" ht="17" x14ac:dyDescent="0.2">
      <c r="O708" s="341" t="s">
        <v>45</v>
      </c>
      <c r="P708" s="317" t="s">
        <v>744</v>
      </c>
    </row>
    <row r="709" spans="15:16" ht="17" x14ac:dyDescent="0.2">
      <c r="O709" s="341" t="s">
        <v>46</v>
      </c>
      <c r="P709" s="317" t="s">
        <v>750</v>
      </c>
    </row>
    <row r="710" spans="15:16" ht="17" x14ac:dyDescent="0.2">
      <c r="O710" s="341" t="s">
        <v>47</v>
      </c>
      <c r="P710" s="317" t="s">
        <v>742</v>
      </c>
    </row>
    <row r="711" spans="15:16" ht="17" x14ac:dyDescent="0.2">
      <c r="O711" s="341" t="s">
        <v>48</v>
      </c>
      <c r="P711" s="317" t="s">
        <v>735</v>
      </c>
    </row>
    <row r="712" spans="15:16" ht="17" x14ac:dyDescent="0.2">
      <c r="O712" s="341" t="s">
        <v>49</v>
      </c>
      <c r="P712" s="317" t="s">
        <v>742</v>
      </c>
    </row>
    <row r="713" spans="15:16" ht="17" x14ac:dyDescent="0.2">
      <c r="O713" s="341" t="s">
        <v>50</v>
      </c>
      <c r="P713" s="317" t="s">
        <v>742</v>
      </c>
    </row>
    <row r="714" spans="15:16" ht="17" x14ac:dyDescent="0.2">
      <c r="O714" s="341" t="s">
        <v>51</v>
      </c>
      <c r="P714" s="317" t="s">
        <v>742</v>
      </c>
    </row>
    <row r="715" spans="15:16" ht="17" x14ac:dyDescent="0.2">
      <c r="O715" s="341" t="s">
        <v>52</v>
      </c>
      <c r="P715" s="317" t="s">
        <v>737</v>
      </c>
    </row>
    <row r="716" spans="15:16" ht="17" x14ac:dyDescent="0.2">
      <c r="O716" s="341" t="s">
        <v>53</v>
      </c>
      <c r="P716" s="317" t="s">
        <v>744</v>
      </c>
    </row>
    <row r="717" spans="15:16" ht="17" x14ac:dyDescent="0.2">
      <c r="O717" s="341" t="s">
        <v>54</v>
      </c>
      <c r="P717" s="317" t="s">
        <v>744</v>
      </c>
    </row>
    <row r="718" spans="15:16" ht="17" x14ac:dyDescent="0.2">
      <c r="O718" s="341" t="s">
        <v>55</v>
      </c>
      <c r="P718" s="317" t="s">
        <v>742</v>
      </c>
    </row>
    <row r="719" spans="15:16" ht="17" x14ac:dyDescent="0.2">
      <c r="O719" s="341" t="s">
        <v>56</v>
      </c>
      <c r="P719" s="317" t="s">
        <v>744</v>
      </c>
    </row>
    <row r="720" spans="15:16" ht="17" x14ac:dyDescent="0.2">
      <c r="O720" s="341" t="s">
        <v>57</v>
      </c>
      <c r="P720" s="317" t="s">
        <v>735</v>
      </c>
    </row>
    <row r="721" spans="15:16" ht="17" x14ac:dyDescent="0.2">
      <c r="O721" s="341" t="s">
        <v>58</v>
      </c>
      <c r="P721" s="317" t="s">
        <v>742</v>
      </c>
    </row>
    <row r="722" spans="15:16" ht="17" x14ac:dyDescent="0.2">
      <c r="O722" s="341" t="s">
        <v>59</v>
      </c>
      <c r="P722" s="317" t="s">
        <v>750</v>
      </c>
    </row>
    <row r="723" spans="15:16" ht="17" x14ac:dyDescent="0.2">
      <c r="O723" s="341" t="s">
        <v>60</v>
      </c>
      <c r="P723" s="317" t="s">
        <v>742</v>
      </c>
    </row>
    <row r="724" spans="15:16" ht="17" x14ac:dyDescent="0.2">
      <c r="O724" s="341" t="s">
        <v>61</v>
      </c>
      <c r="P724" s="317" t="s">
        <v>737</v>
      </c>
    </row>
    <row r="725" spans="15:16" ht="17" x14ac:dyDescent="0.2">
      <c r="O725" s="341" t="s">
        <v>62</v>
      </c>
      <c r="P725" s="317" t="s">
        <v>744</v>
      </c>
    </row>
    <row r="726" spans="15:16" ht="17" x14ac:dyDescent="0.2">
      <c r="O726" s="341" t="s">
        <v>63</v>
      </c>
      <c r="P726" s="317" t="s">
        <v>744</v>
      </c>
    </row>
    <row r="727" spans="15:16" ht="17" x14ac:dyDescent="0.2">
      <c r="O727" s="341" t="s">
        <v>64</v>
      </c>
      <c r="P727" s="317" t="s">
        <v>735</v>
      </c>
    </row>
    <row r="728" spans="15:16" ht="17" x14ac:dyDescent="0.2">
      <c r="O728" s="341" t="s">
        <v>65</v>
      </c>
      <c r="P728" s="317" t="s">
        <v>742</v>
      </c>
    </row>
    <row r="729" spans="15:16" ht="17" x14ac:dyDescent="0.2">
      <c r="O729" s="341" t="s">
        <v>66</v>
      </c>
      <c r="P729" s="317" t="s">
        <v>735</v>
      </c>
    </row>
    <row r="730" spans="15:16" ht="17" x14ac:dyDescent="0.2">
      <c r="O730" s="341" t="s">
        <v>67</v>
      </c>
      <c r="P730" s="317" t="s">
        <v>742</v>
      </c>
    </row>
    <row r="731" spans="15:16" ht="17" x14ac:dyDescent="0.15">
      <c r="O731" s="341" t="s">
        <v>584</v>
      </c>
      <c r="P731" s="561" t="s">
        <v>742</v>
      </c>
    </row>
    <row r="732" spans="15:16" ht="17" x14ac:dyDescent="0.2">
      <c r="O732" s="341" t="s">
        <v>68</v>
      </c>
      <c r="P732" s="317" t="s">
        <v>737</v>
      </c>
    </row>
    <row r="733" spans="15:16" ht="17" x14ac:dyDescent="0.2">
      <c r="O733" s="341" t="s">
        <v>69</v>
      </c>
      <c r="P733" s="317" t="s">
        <v>744</v>
      </c>
    </row>
    <row r="734" spans="15:16" ht="17" x14ac:dyDescent="0.2">
      <c r="O734" s="341" t="s">
        <v>879</v>
      </c>
      <c r="P734" s="317" t="s">
        <v>735</v>
      </c>
    </row>
    <row r="735" spans="15:16" ht="17" x14ac:dyDescent="0.2">
      <c r="O735" s="341" t="s">
        <v>71</v>
      </c>
      <c r="P735" s="317" t="s">
        <v>737</v>
      </c>
    </row>
    <row r="736" spans="15:16" ht="17" x14ac:dyDescent="0.2">
      <c r="O736" s="341" t="s">
        <v>72</v>
      </c>
      <c r="P736" s="317" t="s">
        <v>735</v>
      </c>
    </row>
    <row r="737" spans="15:16" ht="17" x14ac:dyDescent="0.2">
      <c r="O737" s="341" t="s">
        <v>73</v>
      </c>
      <c r="P737" s="317" t="s">
        <v>750</v>
      </c>
    </row>
    <row r="738" spans="15:16" ht="18" thickBot="1" x14ac:dyDescent="0.25">
      <c r="O738" s="341" t="s">
        <v>74</v>
      </c>
      <c r="P738" s="318" t="s">
        <v>742</v>
      </c>
    </row>
  </sheetData>
  <sheetProtection algorithmName="SHA-512" hashValue="N2c4GUuC0HJXmu4h73p0IIwthemw8pg73vQJDGsMDgJJFgeTDBmyFYCP+o/W0u2O4LmHcH97t4PJZlxxxMqkDA==" saltValue="l4gbg6FCpC35b7izm6U5zw==" spinCount="100000" sheet="1" objects="1" scenarios="1"/>
  <customSheetViews>
    <customSheetView guid="{55B80D82-F000-11D6-8735-C8E5A357943D}" showRuler="0">
      <selection activeCell="A80" sqref="A79:A80"/>
      <pageMargins left="0.75" right="0.75" top="1" bottom="1" header="0.5" footer="0.5"/>
      <pageSetup orientation="portrait" horizontalDpi="0" verticalDpi="0" copies="0" r:id="rId1"/>
      <headerFooter alignWithMargins="0"/>
    </customSheetView>
  </customSheetViews>
  <mergeCells count="3">
    <mergeCell ref="A27:E27"/>
    <mergeCell ref="A24:A26"/>
    <mergeCell ref="F30:F31"/>
  </mergeCells>
  <phoneticPr fontId="0" type="noConversion"/>
  <conditionalFormatting sqref="A102">
    <cfRule type="expression" dxfId="63" priority="508">
      <formula>$B$24="Simple"</formula>
    </cfRule>
    <cfRule type="expression" dxfId="62" priority="510">
      <formula>$B$36="Simple"</formula>
    </cfRule>
  </conditionalFormatting>
  <conditionalFormatting sqref="A102">
    <cfRule type="expression" dxfId="61" priority="509">
      <formula>$B$36="Simple"</formula>
    </cfRule>
  </conditionalFormatting>
  <conditionalFormatting sqref="A22">
    <cfRule type="expression" dxfId="60" priority="507">
      <formula>$B$24="Simple"</formula>
    </cfRule>
  </conditionalFormatting>
  <conditionalFormatting sqref="B44:B45 B51:B53 B60:B62 B64:B67 B84 AF33:AF67 AI33:AI63 AF69:AF73 AI71:AI113 AF121:AF123 AH121:AH123 B33:B39 E33:E36 E71:E73 B121:B123 D121:D123 B69:B75">
    <cfRule type="expression" dxfId="59" priority="505">
      <formula>$B$24="Y"</formula>
    </cfRule>
  </conditionalFormatting>
  <conditionalFormatting sqref="E37:E39 E44:E45 E51:E53 E60:E63">
    <cfRule type="expression" dxfId="58" priority="504">
      <formula>$B$24="Y"</formula>
    </cfRule>
  </conditionalFormatting>
  <conditionalFormatting sqref="E74:E75 E84:E85 E87:E91 E93:E96 E99:E106 E109:E112">
    <cfRule type="expression" dxfId="57" priority="503">
      <formula>$B$24="Y"</formula>
    </cfRule>
  </conditionalFormatting>
  <conditionalFormatting sqref="B98">
    <cfRule type="expression" dxfId="56" priority="495">
      <formula>$B$24="Y"</formula>
    </cfRule>
  </conditionalFormatting>
  <conditionalFormatting sqref="AF75:AF86">
    <cfRule type="expression" dxfId="55" priority="486">
      <formula>$B$24="Y"</formula>
    </cfRule>
  </conditionalFormatting>
  <conditionalFormatting sqref="AF116:AF119">
    <cfRule type="expression" dxfId="54" priority="483">
      <formula>$B$24="Y"</formula>
    </cfRule>
  </conditionalFormatting>
  <conditionalFormatting sqref="AH116:AH119">
    <cfRule type="expression" dxfId="53" priority="481">
      <formula>$B$24="Y"</formula>
    </cfRule>
  </conditionalFormatting>
  <conditionalFormatting sqref="AF92">
    <cfRule type="expression" dxfId="52" priority="479">
      <formula>$B$24="Y"</formula>
    </cfRule>
  </conditionalFormatting>
  <conditionalFormatting sqref="AF94">
    <cfRule type="expression" dxfId="51" priority="478">
      <formula>$B$24="Y"</formula>
    </cfRule>
  </conditionalFormatting>
  <conditionalFormatting sqref="AF93">
    <cfRule type="expression" dxfId="50" priority="477">
      <formula>$B$24="Y"</formula>
    </cfRule>
  </conditionalFormatting>
  <conditionalFormatting sqref="AF97:AF99">
    <cfRule type="expression" dxfId="49" priority="476">
      <formula>$B$24="Y"</formula>
    </cfRule>
  </conditionalFormatting>
  <conditionalFormatting sqref="AF100">
    <cfRule type="expression" dxfId="48" priority="475">
      <formula>$B$24="Y"</formula>
    </cfRule>
  </conditionalFormatting>
  <conditionalFormatting sqref="AF108">
    <cfRule type="expression" dxfId="47" priority="472">
      <formula>$B$24="Y"</formula>
    </cfRule>
  </conditionalFormatting>
  <conditionalFormatting sqref="AF110">
    <cfRule type="expression" dxfId="46" priority="471">
      <formula>$B$24="Y"</formula>
    </cfRule>
  </conditionalFormatting>
  <conditionalFormatting sqref="AF112">
    <cfRule type="expression" dxfId="45" priority="470">
      <formula>$B$24="Y"</formula>
    </cfRule>
  </conditionalFormatting>
  <conditionalFormatting sqref="AF107">
    <cfRule type="expression" dxfId="44" priority="360">
      <formula>$B$24="Y"</formula>
    </cfRule>
  </conditionalFormatting>
  <conditionalFormatting sqref="AE102">
    <cfRule type="expression" dxfId="43" priority="357">
      <formula>$B$24="Simple"</formula>
    </cfRule>
    <cfRule type="expression" dxfId="42" priority="359">
      <formula>$B$36="Simple"</formula>
    </cfRule>
  </conditionalFormatting>
  <conditionalFormatting sqref="AE102">
    <cfRule type="expression" dxfId="41" priority="358">
      <formula>$B$36="Simple"</formula>
    </cfRule>
  </conditionalFormatting>
  <conditionalFormatting sqref="AF103">
    <cfRule type="expression" dxfId="40" priority="97">
      <formula>$B$24="Y"</formula>
    </cfRule>
  </conditionalFormatting>
  <conditionalFormatting sqref="AF105:AF106">
    <cfRule type="expression" dxfId="39" priority="96">
      <formula>$B$24="Y"</formula>
    </cfRule>
  </conditionalFormatting>
  <conditionalFormatting sqref="AF102">
    <cfRule type="expression" dxfId="38" priority="95">
      <formula>$B$24="Y"</formula>
    </cfRule>
  </conditionalFormatting>
  <conditionalFormatting sqref="AF113">
    <cfRule type="expression" dxfId="37" priority="94">
      <formula>$B$24="Y"</formula>
    </cfRule>
  </conditionalFormatting>
  <conditionalFormatting sqref="B40:B43">
    <cfRule type="expression" dxfId="36" priority="31">
      <formula>$B$24="Y"</formula>
    </cfRule>
  </conditionalFormatting>
  <conditionalFormatting sqref="E40:E43">
    <cfRule type="expression" dxfId="35" priority="30">
      <formula>$B$24="Y"</formula>
    </cfRule>
  </conditionalFormatting>
  <conditionalFormatting sqref="B46:B50">
    <cfRule type="expression" dxfId="34" priority="29">
      <formula>$B$24="Y"</formula>
    </cfRule>
  </conditionalFormatting>
  <conditionalFormatting sqref="E46:E50">
    <cfRule type="expression" dxfId="33" priority="28">
      <formula>$B$24="Y"</formula>
    </cfRule>
  </conditionalFormatting>
  <conditionalFormatting sqref="B54:B59">
    <cfRule type="expression" dxfId="32" priority="27">
      <formula>$B$24="Y"</formula>
    </cfRule>
  </conditionalFormatting>
  <conditionalFormatting sqref="E54:E59">
    <cfRule type="expression" dxfId="31" priority="26">
      <formula>$B$24="Y"</formula>
    </cfRule>
  </conditionalFormatting>
  <conditionalFormatting sqref="B63">
    <cfRule type="expression" dxfId="30" priority="25">
      <formula>$B$24="Y"</formula>
    </cfRule>
  </conditionalFormatting>
  <conditionalFormatting sqref="B76:B83">
    <cfRule type="expression" dxfId="29" priority="24">
      <formula>$B$24="Y"</formula>
    </cfRule>
  </conditionalFormatting>
  <conditionalFormatting sqref="E76:E83">
    <cfRule type="expression" dxfId="28" priority="23">
      <formula>$B$24="Y"</formula>
    </cfRule>
  </conditionalFormatting>
  <conditionalFormatting sqref="B85:B86">
    <cfRule type="expression" dxfId="27" priority="22">
      <formula>$B$24="Y"</formula>
    </cfRule>
  </conditionalFormatting>
  <conditionalFormatting sqref="E86">
    <cfRule type="expression" dxfId="26" priority="21">
      <formula>$B$24="Y"</formula>
    </cfRule>
  </conditionalFormatting>
  <conditionalFormatting sqref="B92">
    <cfRule type="expression" dxfId="25" priority="20">
      <formula>$B$24="Y"</formula>
    </cfRule>
  </conditionalFormatting>
  <conditionalFormatting sqref="B94">
    <cfRule type="expression" dxfId="24" priority="19">
      <formula>$B$24="Y"</formula>
    </cfRule>
  </conditionalFormatting>
  <conditionalFormatting sqref="B93">
    <cfRule type="expression" dxfId="23" priority="18">
      <formula>$B$24="Y"</formula>
    </cfRule>
  </conditionalFormatting>
  <conditionalFormatting sqref="E92">
    <cfRule type="expression" dxfId="22" priority="17">
      <formula>$B$24="Y"</formula>
    </cfRule>
  </conditionalFormatting>
  <conditionalFormatting sqref="B97">
    <cfRule type="expression" dxfId="21" priority="16">
      <formula>$B$24="Y"</formula>
    </cfRule>
  </conditionalFormatting>
  <conditionalFormatting sqref="B99">
    <cfRule type="expression" dxfId="20" priority="15">
      <formula>$B$24="Y"</formula>
    </cfRule>
  </conditionalFormatting>
  <conditionalFormatting sqref="B100">
    <cfRule type="expression" dxfId="19" priority="14">
      <formula>$B$24="Y"</formula>
    </cfRule>
  </conditionalFormatting>
  <conditionalFormatting sqref="E97:E98">
    <cfRule type="expression" dxfId="18" priority="13">
      <formula>$B$24="Y"</formula>
    </cfRule>
  </conditionalFormatting>
  <conditionalFormatting sqref="B108">
    <cfRule type="expression" dxfId="17" priority="12">
      <formula>$B$24="Y"</formula>
    </cfRule>
  </conditionalFormatting>
  <conditionalFormatting sqref="B107">
    <cfRule type="expression" dxfId="16" priority="11">
      <formula>$B$24="Y"</formula>
    </cfRule>
  </conditionalFormatting>
  <conditionalFormatting sqref="B103">
    <cfRule type="expression" dxfId="15" priority="10">
      <formula>$B$24="Y"</formula>
    </cfRule>
  </conditionalFormatting>
  <conditionalFormatting sqref="B105:B106">
    <cfRule type="expression" dxfId="14" priority="9">
      <formula>$B$24="Y"</formula>
    </cfRule>
  </conditionalFormatting>
  <conditionalFormatting sqref="B102">
    <cfRule type="expression" dxfId="13" priority="8">
      <formula>$B$24="Y"</formula>
    </cfRule>
  </conditionalFormatting>
  <conditionalFormatting sqref="E107:E108">
    <cfRule type="expression" dxfId="12" priority="7">
      <formula>$B$24="Y"</formula>
    </cfRule>
  </conditionalFormatting>
  <conditionalFormatting sqref="B110">
    <cfRule type="expression" dxfId="11" priority="6">
      <formula>$B$24="Y"</formula>
    </cfRule>
  </conditionalFormatting>
  <conditionalFormatting sqref="B112">
    <cfRule type="expression" dxfId="10" priority="5">
      <formula>$B$24="Y"</formula>
    </cfRule>
  </conditionalFormatting>
  <conditionalFormatting sqref="B113">
    <cfRule type="expression" dxfId="9" priority="4">
      <formula>$B$24="Y"</formula>
    </cfRule>
  </conditionalFormatting>
  <conditionalFormatting sqref="E113">
    <cfRule type="expression" dxfId="8" priority="3">
      <formula>$B$24="Y"</formula>
    </cfRule>
  </conditionalFormatting>
  <conditionalFormatting sqref="B116:B119">
    <cfRule type="expression" dxfId="7" priority="2">
      <formula>$B$24="Y"</formula>
    </cfRule>
  </conditionalFormatting>
  <conditionalFormatting sqref="D116:D119">
    <cfRule type="expression" dxfId="6" priority="1">
      <formula>$B$24="Y"</formula>
    </cfRule>
  </conditionalFormatting>
  <dataValidations count="4">
    <dataValidation type="list" allowBlank="1" showInputMessage="1" showErrorMessage="1" sqref="B24" xr:uid="{00000000-0002-0000-0300-000001000000}">
      <formula1>$T$16:$T$17</formula1>
    </dataValidation>
    <dataValidation type="list" allowBlank="1" showInputMessage="1" showErrorMessage="1" sqref="B15" xr:uid="{00000000-0002-0000-0300-000002000000}">
      <formula1>constyears</formula1>
    </dataValidation>
    <dataValidation type="list" allowBlank="1" showInputMessage="1" showErrorMessage="1" sqref="B22" xr:uid="{00000000-0002-0000-0300-000003000000}">
      <formula1>$X$14:$X$39</formula1>
    </dataValidation>
    <dataValidation type="list" allowBlank="1" showInputMessage="1" showErrorMessage="1" sqref="F33:F35" xr:uid="{E8946B1C-D4B7-D04C-A78B-1505BC2AA893}">
      <formula1>$V$33:$V$34</formula1>
    </dataValidation>
  </dataValidations>
  <pageMargins left="0.75" right="0.75" top="1" bottom="1" header="0.5" footer="0.5"/>
  <pageSetup orientation="portrait" horizontalDpi="4294967293"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089" r:id="rId5" name="Button 41">
              <controlPr defaultSize="0" print="0" autoFill="0" autoPict="0" macro="[0]!Summary">
                <anchor moveWithCells="1" sizeWithCells="1">
                  <from>
                    <xdr:col>0</xdr:col>
                    <xdr:colOff>1181100</xdr:colOff>
                    <xdr:row>124</xdr:row>
                    <xdr:rowOff>139700</xdr:rowOff>
                  </from>
                  <to>
                    <xdr:col>0</xdr:col>
                    <xdr:colOff>2349500</xdr:colOff>
                    <xdr:row>127</xdr:row>
                    <xdr:rowOff>101600</xdr:rowOff>
                  </to>
                </anchor>
              </controlPr>
            </control>
          </mc:Choice>
        </mc:AlternateContent>
        <mc:AlternateContent xmlns:mc="http://schemas.openxmlformats.org/markup-compatibility/2006">
          <mc:Choice Requires="x14">
            <control shapeId="2091" r:id="rId6" name="Button 43">
              <controlPr defaultSize="0" print="0" autoFill="0" autoPict="0" macro="[0]!WindProject">
                <anchor moveWithCells="1" sizeWithCells="1">
                  <from>
                    <xdr:col>0</xdr:col>
                    <xdr:colOff>2616200</xdr:colOff>
                    <xdr:row>124</xdr:row>
                    <xdr:rowOff>127000</xdr:rowOff>
                  </from>
                  <to>
                    <xdr:col>1</xdr:col>
                    <xdr:colOff>1130300</xdr:colOff>
                    <xdr:row>127</xdr:row>
                    <xdr:rowOff>127000</xdr:rowOff>
                  </to>
                </anchor>
              </controlPr>
            </control>
          </mc:Choice>
        </mc:AlternateContent>
        <mc:AlternateContent xmlns:mc="http://schemas.openxmlformats.org/markup-compatibility/2006">
          <mc:Choice Requires="x14">
            <control shapeId="2310" r:id="rId7" name="Button 262">
              <controlPr defaultSize="0" print="0" autoFill="0" autoPict="0" macro="[0]!GoToStep1">
                <anchor moveWithCells="1" sizeWithCells="1">
                  <from>
                    <xdr:col>3</xdr:col>
                    <xdr:colOff>520700</xdr:colOff>
                    <xdr:row>17</xdr:row>
                    <xdr:rowOff>101600</xdr:rowOff>
                  </from>
                  <to>
                    <xdr:col>5</xdr:col>
                    <xdr:colOff>266700</xdr:colOff>
                    <xdr:row>21</xdr:row>
                    <xdr:rowOff>12700</xdr:rowOff>
                  </to>
                </anchor>
              </controlPr>
            </control>
          </mc:Choice>
        </mc:AlternateContent>
        <mc:AlternateContent xmlns:mc="http://schemas.openxmlformats.org/markup-compatibility/2006">
          <mc:Choice Requires="x14">
            <control shapeId="2313" r:id="rId8" name="Button 265">
              <controlPr defaultSize="0" print="0" autoFill="0" autoPict="0" macro="[0]!RestoreDefaults.restoredefaults">
                <anchor moveWithCells="1" sizeWithCells="1">
                  <from>
                    <xdr:col>3</xdr:col>
                    <xdr:colOff>520700</xdr:colOff>
                    <xdr:row>13</xdr:row>
                    <xdr:rowOff>12700</xdr:rowOff>
                  </from>
                  <to>
                    <xdr:col>5</xdr:col>
                    <xdr:colOff>228600</xdr:colOff>
                    <xdr:row>16</xdr:row>
                    <xdr:rowOff>101600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tabColor theme="9" tint="0.39997558519241921"/>
    <pageSetUpPr autoPageBreaks="0"/>
  </sheetPr>
  <dimension ref="A1:BF238"/>
  <sheetViews>
    <sheetView topLeftCell="B1" zoomScale="90" zoomScaleNormal="90" workbookViewId="0"/>
  </sheetViews>
  <sheetFormatPr baseColWidth="10" defaultColWidth="8.83203125" defaultRowHeight="13" x14ac:dyDescent="0.15"/>
  <cols>
    <col min="1" max="1" width="47.33203125" customWidth="1"/>
    <col min="2" max="2" width="11.33203125" customWidth="1"/>
    <col min="3" max="3" width="16" customWidth="1"/>
    <col min="4" max="4" width="15.33203125" customWidth="1"/>
    <col min="5" max="5" width="13" style="261" customWidth="1"/>
    <col min="6" max="6" width="34.6640625" customWidth="1"/>
    <col min="7" max="7" width="7.6640625" customWidth="1"/>
    <col min="8" max="8" width="6.6640625" customWidth="1"/>
    <col min="11" max="18" width="9.33203125" style="87"/>
    <col min="46" max="46" width="41" bestFit="1" customWidth="1"/>
    <col min="54" max="54" width="46.33203125" customWidth="1"/>
    <col min="55" max="55" width="5.6640625" customWidth="1"/>
    <col min="56" max="56" width="15.33203125" customWidth="1"/>
    <col min="57" max="57" width="9" customWidth="1"/>
    <col min="58" max="58" width="12.33203125" customWidth="1"/>
  </cols>
  <sheetData>
    <row r="1" spans="1:58" ht="26" customHeight="1" x14ac:dyDescent="0.2">
      <c r="A1" s="320" t="str">
        <f>CONCATENATE("Wind Farm - Project Data Summary based on ",$AE$41, " values")</f>
        <v>Wind Farm - Project Data Summary based on User modifications to default values</v>
      </c>
      <c r="B1" s="321"/>
      <c r="C1" s="322"/>
      <c r="D1" s="322"/>
      <c r="E1" s="322"/>
      <c r="F1" s="242"/>
      <c r="G1" s="242"/>
      <c r="H1" s="242"/>
      <c r="I1" s="242"/>
      <c r="J1" s="242"/>
      <c r="K1" s="242"/>
      <c r="L1" s="242"/>
      <c r="M1" s="242"/>
      <c r="N1" s="242"/>
      <c r="O1" s="242"/>
      <c r="P1" s="242"/>
      <c r="Q1" s="242"/>
      <c r="R1" s="242"/>
      <c r="S1" s="242"/>
      <c r="T1" s="242"/>
      <c r="U1" s="242"/>
      <c r="V1" s="242"/>
      <c r="W1" s="242"/>
      <c r="X1" s="242"/>
      <c r="Y1" s="242"/>
      <c r="Z1" s="242"/>
      <c r="AA1" s="242"/>
      <c r="AB1" s="242"/>
      <c r="AC1" s="242"/>
      <c r="AD1" s="242"/>
      <c r="AE1" s="242"/>
      <c r="AF1" s="242"/>
      <c r="AG1" s="242"/>
      <c r="AH1" s="242"/>
      <c r="AI1" s="242"/>
      <c r="AJ1" s="242"/>
      <c r="AK1" s="242"/>
      <c r="AL1" s="242"/>
      <c r="AM1" s="242"/>
      <c r="AN1" s="242"/>
      <c r="AO1" s="242"/>
      <c r="AP1" s="242"/>
      <c r="AQ1" s="242"/>
      <c r="BB1" s="111" t="str">
        <f>Summary_Results</f>
        <v>Wind Farm - Project Data Summary based on User modifications to default values</v>
      </c>
      <c r="BC1" s="87"/>
      <c r="BE1" s="117"/>
      <c r="BF1" s="138"/>
    </row>
    <row r="2" spans="1:58" x14ac:dyDescent="0.15">
      <c r="A2" s="421" t="s">
        <v>324</v>
      </c>
      <c r="B2" s="242"/>
      <c r="C2" s="434" t="str">
        <f>IF('STEP 3 - Edit Project Data'!B13="MyCounty",'User Add-in Location'!B3,IF('STEP 3 - Edit Project Data'!B13="MyRegion",'User Add-in Location'!B4,'STEP 3 - Edit Project Data'!B13))</f>
        <v>COLORADO</v>
      </c>
      <c r="D2" s="435" t="str">
        <f>'STEP 3 - Edit Project Data'!D14</f>
        <v/>
      </c>
      <c r="E2" s="435"/>
      <c r="F2" s="436"/>
      <c r="G2" s="242"/>
      <c r="H2" s="242"/>
      <c r="I2" s="242"/>
      <c r="J2" s="242"/>
      <c r="K2" s="242"/>
      <c r="L2" s="242"/>
      <c r="M2" s="242"/>
      <c r="N2" s="242"/>
      <c r="O2" s="242"/>
      <c r="P2" s="242"/>
      <c r="Q2" s="242"/>
      <c r="R2" s="242"/>
      <c r="S2" s="242"/>
      <c r="T2" s="242"/>
      <c r="U2" s="242"/>
      <c r="V2" s="242"/>
      <c r="W2" s="242"/>
      <c r="X2" s="242"/>
      <c r="Y2" s="242"/>
      <c r="Z2" s="242"/>
      <c r="AA2" s="242"/>
      <c r="AB2" s="242"/>
      <c r="AC2" s="242"/>
      <c r="AD2" s="242"/>
      <c r="AE2" s="242"/>
      <c r="AF2" s="242"/>
      <c r="AG2" s="242"/>
      <c r="AH2" s="242"/>
      <c r="AI2" s="242"/>
      <c r="AJ2" s="242"/>
      <c r="AK2" s="242"/>
      <c r="AL2" s="242"/>
      <c r="AM2" s="242"/>
      <c r="AN2" s="242"/>
      <c r="AO2" s="242"/>
      <c r="AP2" s="242"/>
      <c r="AQ2" s="242"/>
      <c r="BB2" s="82" t="s">
        <v>324</v>
      </c>
      <c r="BC2" s="87"/>
      <c r="BD2" s="127" t="str">
        <f>C2</f>
        <v>COLORADO</v>
      </c>
      <c r="BE2" s="112" t="str">
        <f>D2</f>
        <v/>
      </c>
      <c r="BF2" s="138"/>
    </row>
    <row r="3" spans="1:58" x14ac:dyDescent="0.15">
      <c r="A3" s="242" t="s">
        <v>141</v>
      </c>
      <c r="B3" s="242"/>
      <c r="C3" s="437">
        <f>+'STEP 3 - Edit Project Data'!B15</f>
        <v>2020</v>
      </c>
      <c r="D3" s="438"/>
      <c r="E3" s="438"/>
      <c r="F3" s="436"/>
      <c r="G3" s="242"/>
      <c r="H3" s="242"/>
      <c r="I3" s="242"/>
      <c r="J3" s="242"/>
      <c r="K3" s="242"/>
      <c r="L3" s="242"/>
      <c r="M3" s="242"/>
      <c r="N3" s="242"/>
      <c r="O3" s="242"/>
      <c r="P3" s="242"/>
      <c r="Q3" s="242"/>
      <c r="R3" s="242"/>
      <c r="S3" s="242"/>
      <c r="T3" s="242"/>
      <c r="U3" s="242"/>
      <c r="V3" s="242"/>
      <c r="W3" s="242"/>
      <c r="X3" s="242"/>
      <c r="Y3" s="242"/>
      <c r="Z3" s="242"/>
      <c r="AA3" s="242"/>
      <c r="AB3" s="242"/>
      <c r="AC3" s="242"/>
      <c r="AD3" s="242"/>
      <c r="AE3" s="242"/>
      <c r="AF3" s="242"/>
      <c r="AG3" s="242"/>
      <c r="AH3" s="242"/>
      <c r="AI3" s="242"/>
      <c r="AJ3" s="242"/>
      <c r="AK3" s="242"/>
      <c r="AL3" s="242"/>
      <c r="AM3" s="242"/>
      <c r="AN3" s="242"/>
      <c r="AO3" s="242"/>
      <c r="AP3" s="242"/>
      <c r="AQ3" s="242"/>
      <c r="BB3" s="87" t="s">
        <v>141</v>
      </c>
      <c r="BC3" s="87"/>
      <c r="BD3" s="49">
        <f>C3</f>
        <v>2020</v>
      </c>
      <c r="BE3" s="117"/>
      <c r="BF3" s="138"/>
    </row>
    <row r="4" spans="1:58" x14ac:dyDescent="0.15">
      <c r="A4" s="421" t="s">
        <v>544</v>
      </c>
      <c r="B4" s="242"/>
      <c r="C4" s="434">
        <f>+'STEP 3 - Edit Project Data'!B16</f>
        <v>300</v>
      </c>
      <c r="D4" s="438"/>
      <c r="E4" s="438"/>
      <c r="F4" s="436"/>
      <c r="G4" s="242"/>
      <c r="H4" s="242"/>
      <c r="I4" s="242"/>
      <c r="J4" s="242"/>
      <c r="K4" s="242"/>
      <c r="L4" s="242"/>
      <c r="M4" s="242"/>
      <c r="N4" s="242"/>
      <c r="O4" s="242"/>
      <c r="P4" s="242"/>
      <c r="Q4" s="242"/>
      <c r="R4" s="242"/>
      <c r="S4" s="242"/>
      <c r="T4" s="242"/>
      <c r="U4" s="242"/>
      <c r="V4" s="242"/>
      <c r="W4" s="242"/>
      <c r="X4" s="242"/>
      <c r="Y4" s="242"/>
      <c r="Z4" s="242"/>
      <c r="AA4" s="242"/>
      <c r="AB4" s="242"/>
      <c r="AC4" s="242"/>
      <c r="AD4" s="242"/>
      <c r="AE4" s="242"/>
      <c r="AF4" s="242"/>
      <c r="AG4" s="242"/>
      <c r="AH4" s="242"/>
      <c r="AI4" s="242"/>
      <c r="AJ4" s="242"/>
      <c r="AK4" s="242"/>
      <c r="AL4" s="242"/>
      <c r="AM4" s="242"/>
      <c r="AN4" s="242"/>
      <c r="AO4" s="242"/>
      <c r="AP4" s="242"/>
      <c r="AQ4" s="242"/>
      <c r="BB4" s="82" t="s">
        <v>544</v>
      </c>
      <c r="BC4" s="87"/>
      <c r="BD4" s="49">
        <f t="shared" ref="BD4:BD20" si="0">C4</f>
        <v>300</v>
      </c>
      <c r="BE4" s="117"/>
      <c r="BF4" s="138"/>
    </row>
    <row r="5" spans="1:58" x14ac:dyDescent="0.15">
      <c r="A5" s="439" t="s">
        <v>545</v>
      </c>
      <c r="B5" s="242"/>
      <c r="C5" s="434">
        <f>+'STEP 3 - Edit Project Data'!B17</f>
        <v>1</v>
      </c>
      <c r="D5" s="438"/>
      <c r="E5" s="438"/>
      <c r="F5" s="436"/>
      <c r="G5" s="242"/>
      <c r="H5" s="242"/>
      <c r="I5" s="242"/>
      <c r="J5" s="242"/>
      <c r="K5" s="242"/>
      <c r="L5" s="242"/>
      <c r="M5" s="242"/>
      <c r="N5" s="242"/>
      <c r="O5" s="242"/>
      <c r="P5" s="242"/>
      <c r="Q5" s="242"/>
      <c r="R5" s="242"/>
      <c r="S5" s="242"/>
      <c r="T5" s="242"/>
      <c r="U5" s="242"/>
      <c r="V5" s="242"/>
      <c r="W5" s="242"/>
      <c r="X5" s="242"/>
      <c r="Y5" s="242"/>
      <c r="Z5" s="242"/>
      <c r="AA5" s="242"/>
      <c r="AB5" s="242"/>
      <c r="AC5" s="242"/>
      <c r="AD5" s="242"/>
      <c r="AE5" s="242"/>
      <c r="AF5" s="242"/>
      <c r="AG5" s="242"/>
      <c r="AH5" s="242"/>
      <c r="AI5" s="242"/>
      <c r="AJ5" s="242"/>
      <c r="AK5" s="242"/>
      <c r="AL5" s="242"/>
      <c r="AM5" s="242"/>
      <c r="AN5" s="242"/>
      <c r="AO5" s="242"/>
      <c r="AP5" s="242"/>
      <c r="AQ5" s="242"/>
      <c r="BB5" s="154" t="s">
        <v>545</v>
      </c>
      <c r="BC5" s="87"/>
      <c r="BD5" s="49">
        <f t="shared" si="0"/>
        <v>1</v>
      </c>
      <c r="BE5" s="117"/>
      <c r="BF5" s="138"/>
    </row>
    <row r="6" spans="1:58" x14ac:dyDescent="0.15">
      <c r="A6" s="289" t="s">
        <v>604</v>
      </c>
      <c r="B6" s="242"/>
      <c r="C6" s="434">
        <f>+'STEP 3 - Edit Project Data'!B18</f>
        <v>2500</v>
      </c>
      <c r="D6" s="438"/>
      <c r="E6" s="438"/>
      <c r="F6" s="436"/>
      <c r="G6" s="242"/>
      <c r="H6" s="242"/>
      <c r="I6" s="242"/>
      <c r="J6" s="242"/>
      <c r="K6" s="242"/>
      <c r="L6" s="242"/>
      <c r="M6" s="242"/>
      <c r="N6" s="242"/>
      <c r="O6" s="242"/>
      <c r="P6" s="242"/>
      <c r="Q6" s="242"/>
      <c r="R6" s="242"/>
      <c r="S6" s="242"/>
      <c r="T6" s="242"/>
      <c r="U6" s="242"/>
      <c r="V6" s="242"/>
      <c r="W6" s="242"/>
      <c r="X6" s="242"/>
      <c r="Y6" s="242"/>
      <c r="Z6" s="242"/>
      <c r="AA6" s="242"/>
      <c r="AB6" s="242"/>
      <c r="AC6" s="242"/>
      <c r="AD6" s="242"/>
      <c r="AE6" s="242"/>
      <c r="AF6" s="242"/>
      <c r="AG6" s="242"/>
      <c r="AH6" s="242"/>
      <c r="AI6" s="242"/>
      <c r="AJ6" s="242"/>
      <c r="AK6" s="242"/>
      <c r="AL6" s="242"/>
      <c r="AM6" s="242"/>
      <c r="AN6" s="242"/>
      <c r="AO6" s="242"/>
      <c r="AP6" s="242"/>
      <c r="AQ6" s="242"/>
      <c r="BB6" s="247" t="s">
        <v>604</v>
      </c>
      <c r="BC6" s="87"/>
      <c r="BD6" s="49">
        <f t="shared" si="0"/>
        <v>2500</v>
      </c>
      <c r="BE6" s="117"/>
      <c r="BF6" s="138"/>
    </row>
    <row r="7" spans="1:58" x14ac:dyDescent="0.15">
      <c r="A7" s="440" t="s">
        <v>162</v>
      </c>
      <c r="B7" s="242"/>
      <c r="C7" s="434">
        <f>+'STEP 3 - Edit Project Data'!B19</f>
        <v>120</v>
      </c>
      <c r="D7" s="438"/>
      <c r="E7" s="438"/>
      <c r="F7" s="436"/>
      <c r="G7" s="242"/>
      <c r="H7" s="242"/>
      <c r="I7" s="242"/>
      <c r="J7" s="242"/>
      <c r="K7" s="242"/>
      <c r="L7" s="242"/>
      <c r="M7" s="242"/>
      <c r="N7" s="242"/>
      <c r="O7" s="242"/>
      <c r="P7" s="242"/>
      <c r="Q7" s="242"/>
      <c r="R7" s="242"/>
      <c r="S7" s="242"/>
      <c r="T7" s="242"/>
      <c r="U7" s="242"/>
      <c r="V7" s="242"/>
      <c r="W7" s="242"/>
      <c r="X7" s="242"/>
      <c r="Y7" s="242"/>
      <c r="Z7" s="242"/>
      <c r="AA7" s="242"/>
      <c r="AB7" s="242"/>
      <c r="AC7" s="242"/>
      <c r="AD7" s="242"/>
      <c r="AE7" s="242"/>
      <c r="AF7" s="242"/>
      <c r="AG7" s="242"/>
      <c r="AH7" s="242"/>
      <c r="AI7" s="242"/>
      <c r="AJ7" s="242"/>
      <c r="AK7" s="242"/>
      <c r="AL7" s="242"/>
      <c r="AM7" s="242"/>
      <c r="AN7" s="242"/>
      <c r="AO7" s="242"/>
      <c r="AP7" s="242"/>
      <c r="AQ7" s="242"/>
      <c r="BB7" s="113" t="s">
        <v>162</v>
      </c>
      <c r="BC7" s="87"/>
      <c r="BD7" s="49">
        <f t="shared" si="0"/>
        <v>120</v>
      </c>
      <c r="BE7" s="117"/>
      <c r="BF7" s="138"/>
    </row>
    <row r="8" spans="1:58" x14ac:dyDescent="0.15">
      <c r="A8" s="441" t="s">
        <v>596</v>
      </c>
      <c r="B8" s="242"/>
      <c r="C8" s="442">
        <f>Calculations!D37/(C4*1000)</f>
        <v>1322.3980832867055</v>
      </c>
      <c r="D8" s="442">
        <f>AB8</f>
        <v>1291</v>
      </c>
      <c r="E8" s="443" t="s">
        <v>646</v>
      </c>
      <c r="F8" s="444"/>
      <c r="G8" s="242"/>
      <c r="H8" s="242"/>
      <c r="I8" s="242"/>
      <c r="J8" s="242"/>
      <c r="K8" s="242"/>
      <c r="L8" s="242"/>
      <c r="M8" s="242"/>
      <c r="N8" s="242"/>
      <c r="O8" s="242"/>
      <c r="P8" s="242"/>
      <c r="Q8" s="242"/>
      <c r="R8" s="242"/>
      <c r="S8" s="242"/>
      <c r="T8" s="242"/>
      <c r="U8" s="242"/>
      <c r="V8" s="242"/>
      <c r="W8" s="242"/>
      <c r="X8" s="242"/>
      <c r="Y8" s="242"/>
      <c r="Z8" s="441" t="s">
        <v>644</v>
      </c>
      <c r="AA8" s="242"/>
      <c r="AB8" s="445">
        <f>ROUND('STEP 3 - Edit Project Data'!C62,0)</f>
        <v>1291</v>
      </c>
      <c r="AC8" s="242"/>
      <c r="AD8" s="242"/>
      <c r="AE8" s="242"/>
      <c r="AF8" s="242"/>
      <c r="AG8" s="242"/>
      <c r="AH8" s="242"/>
      <c r="AI8" s="242"/>
      <c r="AJ8" s="242"/>
      <c r="AK8" s="242"/>
      <c r="AL8" s="242"/>
      <c r="AM8" s="242"/>
      <c r="AN8" s="242"/>
      <c r="AO8" s="242"/>
      <c r="AP8" s="242"/>
      <c r="AQ8" s="242"/>
      <c r="BB8" s="75" t="s">
        <v>596</v>
      </c>
      <c r="BC8" s="87"/>
      <c r="BD8" s="114">
        <f t="shared" si="0"/>
        <v>1322.3980832867055</v>
      </c>
      <c r="BE8" s="114">
        <f t="shared" ref="BE8:BE9" si="1">D8</f>
        <v>1291</v>
      </c>
      <c r="BF8" s="114" t="str">
        <f t="shared" ref="BF8:BF9" si="2">E8</f>
        <v>without taxes</v>
      </c>
    </row>
    <row r="9" spans="1:58" x14ac:dyDescent="0.15">
      <c r="A9" s="446" t="s">
        <v>597</v>
      </c>
      <c r="B9" s="242"/>
      <c r="C9" s="447">
        <f>Calculations!D93</f>
        <v>44.869222397363025</v>
      </c>
      <c r="D9" s="447">
        <f>AB9</f>
        <v>44</v>
      </c>
      <c r="E9" s="443" t="s">
        <v>646</v>
      </c>
      <c r="F9" s="444"/>
      <c r="G9" s="242"/>
      <c r="H9" s="242"/>
      <c r="I9" s="242"/>
      <c r="J9" s="242"/>
      <c r="K9" s="242"/>
      <c r="L9" s="242"/>
      <c r="M9" s="242"/>
      <c r="N9" s="242"/>
      <c r="O9" s="242"/>
      <c r="P9" s="242"/>
      <c r="Q9" s="242"/>
      <c r="R9" s="242"/>
      <c r="S9" s="242"/>
      <c r="T9" s="242"/>
      <c r="U9" s="242"/>
      <c r="V9" s="242"/>
      <c r="W9" s="242"/>
      <c r="X9" s="242"/>
      <c r="Y9" s="242"/>
      <c r="Z9" s="446" t="s">
        <v>645</v>
      </c>
      <c r="AA9" s="242"/>
      <c r="AB9" s="448">
        <f>ROUND('STEP 3 - Edit Project Data'!C74+'STEP 3 - Edit Project Data'!C84,2)</f>
        <v>44</v>
      </c>
      <c r="AC9" s="242"/>
      <c r="AD9" s="242"/>
      <c r="AE9" s="242"/>
      <c r="AF9" s="242"/>
      <c r="AG9" s="242"/>
      <c r="AH9" s="242"/>
      <c r="AI9" s="242"/>
      <c r="AJ9" s="242"/>
      <c r="AK9" s="242"/>
      <c r="AL9" s="242"/>
      <c r="AM9" s="242"/>
      <c r="AN9" s="242"/>
      <c r="AO9" s="242"/>
      <c r="AP9" s="242"/>
      <c r="AQ9" s="242"/>
      <c r="BB9" s="75" t="s">
        <v>598</v>
      </c>
      <c r="BC9" s="87"/>
      <c r="BD9" s="115">
        <f t="shared" si="0"/>
        <v>44.869222397363025</v>
      </c>
      <c r="BE9" s="115">
        <f t="shared" si="1"/>
        <v>44</v>
      </c>
      <c r="BF9" s="115" t="str">
        <f t="shared" si="2"/>
        <v>without taxes</v>
      </c>
    </row>
    <row r="10" spans="1:58" x14ac:dyDescent="0.15">
      <c r="A10" s="449" t="s">
        <v>320</v>
      </c>
      <c r="B10" s="242"/>
      <c r="C10" s="450">
        <f>'STEP 3 - Edit Project Data'!B22</f>
        <v>2020</v>
      </c>
      <c r="D10" s="450"/>
      <c r="E10" s="450"/>
      <c r="F10" s="444"/>
      <c r="G10" s="242"/>
      <c r="H10" s="242"/>
      <c r="I10" s="242"/>
      <c r="J10" s="242"/>
      <c r="K10" s="242"/>
      <c r="L10" s="242"/>
      <c r="M10" s="242"/>
      <c r="N10" s="242"/>
      <c r="O10" s="242"/>
      <c r="P10" s="242"/>
      <c r="Q10" s="242"/>
      <c r="R10" s="242"/>
      <c r="S10" s="242"/>
      <c r="T10" s="242"/>
      <c r="U10" s="242"/>
      <c r="V10" s="242"/>
      <c r="W10" s="242"/>
      <c r="X10" s="242"/>
      <c r="Y10" s="242"/>
      <c r="Z10" s="242"/>
      <c r="AA10" s="242"/>
      <c r="AB10" s="242"/>
      <c r="AC10" s="242"/>
      <c r="AD10" s="242"/>
      <c r="AE10" s="242"/>
      <c r="AF10" s="242"/>
      <c r="AG10" s="242"/>
      <c r="AH10" s="242"/>
      <c r="AI10" s="242"/>
      <c r="AJ10" s="242"/>
      <c r="AK10" s="242"/>
      <c r="AL10" s="242"/>
      <c r="AM10" s="242"/>
      <c r="AN10" s="242"/>
      <c r="AO10" s="242"/>
      <c r="AP10" s="242"/>
      <c r="AQ10" s="242"/>
      <c r="BB10" s="116" t="s">
        <v>320</v>
      </c>
      <c r="BC10" s="87"/>
      <c r="BD10" s="49">
        <f t="shared" si="0"/>
        <v>2020</v>
      </c>
      <c r="BE10" s="117"/>
      <c r="BF10" s="138"/>
    </row>
    <row r="11" spans="1:58" x14ac:dyDescent="0.15">
      <c r="A11" s="451" t="s">
        <v>592</v>
      </c>
      <c r="B11" s="242"/>
      <c r="C11" s="442">
        <f>Calculations!D37</f>
        <v>396719424.98601162</v>
      </c>
      <c r="D11" s="442"/>
      <c r="E11" s="442"/>
      <c r="F11" s="444"/>
      <c r="G11" s="242"/>
      <c r="H11" s="242"/>
      <c r="I11" s="242"/>
      <c r="J11" s="242"/>
      <c r="K11" s="242"/>
      <c r="L11" s="242"/>
      <c r="M11" s="242"/>
      <c r="N11" s="242"/>
      <c r="O11" s="242"/>
      <c r="P11" s="242"/>
      <c r="Q11" s="242"/>
      <c r="R11" s="242"/>
      <c r="S11" s="242"/>
      <c r="T11" s="242"/>
      <c r="U11" s="242"/>
      <c r="V11" s="242"/>
      <c r="W11" s="242"/>
      <c r="X11" s="242"/>
      <c r="Y11" s="242"/>
      <c r="Z11" s="242"/>
      <c r="AA11" s="242"/>
      <c r="AB11" s="242"/>
      <c r="AC11" s="242"/>
      <c r="AD11" s="242"/>
      <c r="AE11" s="242"/>
      <c r="AF11" s="242"/>
      <c r="AG11" s="242"/>
      <c r="AH11" s="242"/>
      <c r="AI11" s="242"/>
      <c r="AJ11" s="242"/>
      <c r="AK11" s="242"/>
      <c r="AL11" s="242"/>
      <c r="AM11" s="242"/>
      <c r="AN11" s="242"/>
      <c r="AO11" s="242"/>
      <c r="AP11" s="242"/>
      <c r="AQ11" s="242"/>
      <c r="BB11" s="82" t="s">
        <v>448</v>
      </c>
      <c r="BC11" s="87"/>
      <c r="BD11" s="114">
        <f t="shared" si="0"/>
        <v>396719424.98601162</v>
      </c>
      <c r="BE11" s="117"/>
      <c r="BF11" s="138"/>
    </row>
    <row r="12" spans="1:58" x14ac:dyDescent="0.15">
      <c r="A12" s="421" t="s">
        <v>189</v>
      </c>
      <c r="B12" s="242"/>
      <c r="C12" s="442">
        <f>+Calculations!F57</f>
        <v>50305317.165865615</v>
      </c>
      <c r="D12" s="442"/>
      <c r="E12" s="442"/>
      <c r="F12" s="444"/>
      <c r="G12" s="242"/>
      <c r="H12" s="242"/>
      <c r="I12" s="242"/>
      <c r="J12" s="242"/>
      <c r="K12" s="242"/>
      <c r="L12" s="242"/>
      <c r="M12" s="242"/>
      <c r="N12" s="242"/>
      <c r="O12" s="242"/>
      <c r="P12" s="242"/>
      <c r="Q12" s="242"/>
      <c r="R12" s="242"/>
      <c r="S12" s="242"/>
      <c r="T12" s="242"/>
      <c r="U12" s="242"/>
      <c r="V12" s="242"/>
      <c r="W12" s="242"/>
      <c r="X12" s="242"/>
      <c r="Y12" s="242"/>
      <c r="Z12" s="242"/>
      <c r="AA12" s="242"/>
      <c r="AB12" s="242"/>
      <c r="AC12" s="242"/>
      <c r="AD12" s="242"/>
      <c r="AE12" s="242"/>
      <c r="AF12" s="242"/>
      <c r="AG12" s="242"/>
      <c r="AH12" s="242"/>
      <c r="AI12" s="242"/>
      <c r="AJ12" s="242"/>
      <c r="AK12" s="242"/>
      <c r="AL12" s="242"/>
      <c r="AM12" s="242"/>
      <c r="AN12" s="242"/>
      <c r="AO12" s="242"/>
      <c r="AP12" s="242"/>
      <c r="AQ12" s="242"/>
      <c r="BB12" s="82" t="s">
        <v>189</v>
      </c>
      <c r="BC12" s="87"/>
      <c r="BD12" s="114">
        <f t="shared" si="0"/>
        <v>50305317.165865615</v>
      </c>
      <c r="BE12" s="117"/>
      <c r="BF12" s="138"/>
    </row>
    <row r="13" spans="1:58" x14ac:dyDescent="0.15">
      <c r="A13" s="421" t="s">
        <v>306</v>
      </c>
      <c r="B13" s="242"/>
      <c r="C13" s="442">
        <f>C14+C16</f>
        <v>73694717.805050731</v>
      </c>
      <c r="D13" s="442"/>
      <c r="E13" s="442"/>
      <c r="F13" s="444"/>
      <c r="G13" s="242"/>
      <c r="H13" s="242"/>
      <c r="I13" s="242"/>
      <c r="J13" s="242"/>
      <c r="K13" s="242"/>
      <c r="L13" s="242"/>
      <c r="M13" s="242"/>
      <c r="N13" s="242"/>
      <c r="O13" s="242"/>
      <c r="P13" s="242"/>
      <c r="Q13" s="242"/>
      <c r="R13" s="242"/>
      <c r="S13" s="242"/>
      <c r="T13" s="242"/>
      <c r="U13" s="242"/>
      <c r="V13" s="242"/>
      <c r="W13" s="242"/>
      <c r="X13" s="242"/>
      <c r="Y13" s="242"/>
      <c r="Z13" s="242"/>
      <c r="AA13" s="242"/>
      <c r="AB13" s="242"/>
      <c r="AC13" s="242"/>
      <c r="AD13" s="242"/>
      <c r="AE13" s="242"/>
      <c r="AF13" s="242"/>
      <c r="AG13" s="242"/>
      <c r="AH13" s="242"/>
      <c r="AI13" s="242"/>
      <c r="AJ13" s="242"/>
      <c r="AK13" s="242"/>
      <c r="AL13" s="242"/>
      <c r="AM13" s="242"/>
      <c r="AN13" s="242"/>
      <c r="AO13" s="242"/>
      <c r="AP13" s="242"/>
      <c r="AQ13" s="242"/>
      <c r="BB13" s="82" t="s">
        <v>306</v>
      </c>
      <c r="BC13" s="87"/>
      <c r="BD13" s="114">
        <f t="shared" si="0"/>
        <v>73694717.805050731</v>
      </c>
      <c r="BE13" s="117"/>
      <c r="BF13" s="138"/>
    </row>
    <row r="14" spans="1:58" x14ac:dyDescent="0.15">
      <c r="A14" s="421" t="s">
        <v>305</v>
      </c>
      <c r="B14" s="242"/>
      <c r="C14" s="442">
        <f>Calculations!D92</f>
        <v>13460766.719208907</v>
      </c>
      <c r="D14" s="442"/>
      <c r="E14" s="442"/>
      <c r="F14" s="444"/>
      <c r="G14" s="242"/>
      <c r="H14" s="242"/>
      <c r="I14" s="242"/>
      <c r="J14" s="242"/>
      <c r="K14" s="242"/>
      <c r="L14" s="242"/>
      <c r="M14" s="242"/>
      <c r="N14" s="242"/>
      <c r="O14" s="242"/>
      <c r="P14" s="242"/>
      <c r="Q14" s="242"/>
      <c r="R14" s="242"/>
      <c r="S14" s="242"/>
      <c r="T14" s="242"/>
      <c r="U14" s="242"/>
      <c r="V14" s="242"/>
      <c r="W14" s="242"/>
      <c r="X14" s="242"/>
      <c r="Y14" s="242"/>
      <c r="Z14" s="242"/>
      <c r="AA14" s="242"/>
      <c r="AB14" s="242"/>
      <c r="AC14" s="242"/>
      <c r="AD14" s="242"/>
      <c r="AE14" s="242"/>
      <c r="AF14" s="242"/>
      <c r="AG14" s="242"/>
      <c r="AH14" s="242"/>
      <c r="AI14" s="242"/>
      <c r="AJ14" s="242"/>
      <c r="AK14" s="242"/>
      <c r="AL14" s="242"/>
      <c r="AM14" s="242"/>
      <c r="AN14" s="242"/>
      <c r="AO14" s="242"/>
      <c r="AP14" s="242"/>
      <c r="AQ14" s="242"/>
      <c r="AU14" s="283"/>
      <c r="AV14" s="283"/>
      <c r="AW14" s="283"/>
      <c r="AX14" s="283"/>
      <c r="BB14" s="82" t="s">
        <v>305</v>
      </c>
      <c r="BC14" s="87"/>
      <c r="BD14" s="114">
        <f t="shared" si="0"/>
        <v>13460766.719208907</v>
      </c>
      <c r="BE14" s="117"/>
      <c r="BF14" s="138"/>
    </row>
    <row r="15" spans="1:58" x14ac:dyDescent="0.15">
      <c r="A15" s="421" t="s">
        <v>294</v>
      </c>
      <c r="B15" s="242"/>
      <c r="C15" s="442">
        <f>Calculations!G92</f>
        <v>1651299.3617601618</v>
      </c>
      <c r="D15" s="442"/>
      <c r="E15" s="442"/>
      <c r="F15" s="444"/>
      <c r="G15" s="242"/>
      <c r="H15" s="242"/>
      <c r="I15" s="242"/>
      <c r="J15" s="242"/>
      <c r="K15" s="242"/>
      <c r="L15" s="242"/>
      <c r="M15" s="242"/>
      <c r="N15" s="242"/>
      <c r="O15" s="242"/>
      <c r="P15" s="242"/>
      <c r="Q15" s="242"/>
      <c r="R15" s="242"/>
      <c r="S15" s="242"/>
      <c r="T15" s="242"/>
      <c r="U15" s="242"/>
      <c r="V15" s="242"/>
      <c r="W15" s="242"/>
      <c r="X15" s="242"/>
      <c r="Y15" s="242"/>
      <c r="Z15" s="242"/>
      <c r="AA15" s="242"/>
      <c r="AB15" s="242"/>
      <c r="AC15" s="242"/>
      <c r="AD15" s="242"/>
      <c r="AE15" s="242"/>
      <c r="AF15" s="242"/>
      <c r="AG15" s="242"/>
      <c r="AH15" s="242"/>
      <c r="AI15" s="242"/>
      <c r="AJ15" s="242"/>
      <c r="AK15" s="242"/>
      <c r="AL15" s="242"/>
      <c r="AM15" s="242"/>
      <c r="AN15" s="242"/>
      <c r="AO15" s="242"/>
      <c r="AP15" s="242"/>
      <c r="AQ15" s="242"/>
      <c r="AT15" s="418" t="s">
        <v>165</v>
      </c>
      <c r="AU15" s="283" t="s">
        <v>75</v>
      </c>
      <c r="AV15" s="283" t="s">
        <v>198</v>
      </c>
      <c r="AW15" s="283" t="s">
        <v>837</v>
      </c>
      <c r="AX15" s="283" t="s">
        <v>797</v>
      </c>
      <c r="BB15" s="82" t="s">
        <v>294</v>
      </c>
      <c r="BC15" s="87"/>
      <c r="BD15" s="114">
        <f t="shared" si="0"/>
        <v>1651299.3617601618</v>
      </c>
      <c r="BE15" s="117"/>
      <c r="BF15" s="138"/>
    </row>
    <row r="16" spans="1:58" x14ac:dyDescent="0.15">
      <c r="A16" s="421" t="s">
        <v>295</v>
      </c>
      <c r="B16" s="242"/>
      <c r="C16" s="442">
        <f>Calculations!E92</f>
        <v>60233951.08584182</v>
      </c>
      <c r="D16" s="442"/>
      <c r="E16" s="442"/>
      <c r="F16" s="444"/>
      <c r="G16" s="242"/>
      <c r="H16" s="242"/>
      <c r="I16" s="242"/>
      <c r="J16" s="242"/>
      <c r="K16" s="242"/>
      <c r="L16" s="242"/>
      <c r="M16" s="242"/>
      <c r="N16" s="242"/>
      <c r="O16" s="242"/>
      <c r="P16" s="242"/>
      <c r="Q16" s="242"/>
      <c r="R16" s="242"/>
      <c r="S16" s="242"/>
      <c r="T16" s="242"/>
      <c r="U16" s="242"/>
      <c r="V16" s="242"/>
      <c r="W16" s="242"/>
      <c r="X16" s="242"/>
      <c r="Y16" s="242"/>
      <c r="Z16" s="242"/>
      <c r="AA16" s="242"/>
      <c r="AB16" s="242"/>
      <c r="AC16" s="242"/>
      <c r="AD16" s="242"/>
      <c r="AE16" s="242"/>
      <c r="AF16" s="242"/>
      <c r="AG16" s="242"/>
      <c r="AH16" s="242"/>
      <c r="AI16" s="242"/>
      <c r="AJ16" s="242"/>
      <c r="AK16" s="242"/>
      <c r="AL16" s="242"/>
      <c r="AM16" s="242"/>
      <c r="AN16" s="242"/>
      <c r="AO16" s="242"/>
      <c r="AP16" s="242"/>
      <c r="AQ16" s="242"/>
      <c r="AT16" s="446" t="s">
        <v>795</v>
      </c>
      <c r="AU16" s="509">
        <f t="shared" ref="AU16:AX18" si="3">B28</f>
        <v>80.108577481530801</v>
      </c>
      <c r="AV16" s="517">
        <f t="shared" si="3"/>
        <v>11.679985425997568</v>
      </c>
      <c r="AW16" s="518">
        <f t="shared" si="3"/>
        <v>12.02683475929817</v>
      </c>
      <c r="AX16" s="517">
        <f t="shared" si="3"/>
        <v>11.736941829518969</v>
      </c>
      <c r="BB16" s="82" t="s">
        <v>295</v>
      </c>
      <c r="BC16" s="87"/>
      <c r="BD16" s="114">
        <f t="shared" si="0"/>
        <v>60233951.08584182</v>
      </c>
      <c r="BE16" s="117"/>
      <c r="BF16" s="138"/>
    </row>
    <row r="17" spans="1:58" x14ac:dyDescent="0.15">
      <c r="A17" s="421" t="s">
        <v>294</v>
      </c>
      <c r="B17" s="242"/>
      <c r="C17" s="442">
        <f>Calculations!H92</f>
        <v>2715966.7192089064</v>
      </c>
      <c r="D17" s="442"/>
      <c r="E17" s="442"/>
      <c r="F17" s="444"/>
      <c r="G17" s="242"/>
      <c r="H17" s="242"/>
      <c r="I17" s="242"/>
      <c r="J17" s="242"/>
      <c r="K17" s="242"/>
      <c r="L17" s="242"/>
      <c r="M17" s="242"/>
      <c r="N17" s="242"/>
      <c r="O17" s="242"/>
      <c r="P17" s="242"/>
      <c r="Q17" s="242"/>
      <c r="R17" s="242"/>
      <c r="S17" s="242"/>
      <c r="T17" s="242"/>
      <c r="U17" s="242"/>
      <c r="V17" s="242"/>
      <c r="W17" s="242"/>
      <c r="X17" s="242"/>
      <c r="Y17" s="242"/>
      <c r="Z17" s="242"/>
      <c r="AA17" s="242"/>
      <c r="AB17" s="242"/>
      <c r="AC17" s="242"/>
      <c r="AD17" s="242"/>
      <c r="AE17" s="242"/>
      <c r="AF17" s="242"/>
      <c r="AG17" s="242"/>
      <c r="AH17" s="242"/>
      <c r="AI17" s="242"/>
      <c r="AJ17" s="242"/>
      <c r="AK17" s="242"/>
      <c r="AL17" s="242"/>
      <c r="AM17" s="242"/>
      <c r="AN17" s="242"/>
      <c r="AO17" s="242"/>
      <c r="AP17" s="242"/>
      <c r="AQ17" s="242"/>
      <c r="AT17" s="446" t="s">
        <v>798</v>
      </c>
      <c r="AU17" s="509">
        <f t="shared" si="3"/>
        <v>218.24863198170038</v>
      </c>
      <c r="AV17" s="517">
        <f t="shared" si="3"/>
        <v>14.044672442358978</v>
      </c>
      <c r="AW17" s="517">
        <f t="shared" si="3"/>
        <v>44.607295708389202</v>
      </c>
      <c r="AX17" s="517">
        <f t="shared" si="3"/>
        <v>21.172639523435446</v>
      </c>
      <c r="BB17" s="82" t="s">
        <v>294</v>
      </c>
      <c r="BC17" s="87"/>
      <c r="BD17" s="114">
        <f t="shared" si="0"/>
        <v>2715966.7192089064</v>
      </c>
      <c r="BE17" s="117"/>
      <c r="BF17" s="138"/>
    </row>
    <row r="18" spans="1:58" x14ac:dyDescent="0.15">
      <c r="A18" s="421" t="s">
        <v>304</v>
      </c>
      <c r="B18" s="242"/>
      <c r="C18" s="442">
        <f>SUM(Calculations!G86:G88)</f>
        <v>0</v>
      </c>
      <c r="D18" s="442"/>
      <c r="E18" s="442"/>
      <c r="F18" s="444"/>
      <c r="G18" s="242"/>
      <c r="H18" s="242"/>
      <c r="I18" s="242"/>
      <c r="J18" s="242"/>
      <c r="K18" s="242"/>
      <c r="L18" s="242"/>
      <c r="M18" s="242"/>
      <c r="N18" s="242"/>
      <c r="O18" s="242"/>
      <c r="P18" s="242"/>
      <c r="Q18" s="242"/>
      <c r="R18" s="242"/>
      <c r="S18" s="242"/>
      <c r="T18" s="242"/>
      <c r="U18" s="242"/>
      <c r="V18" s="242"/>
      <c r="W18" s="242"/>
      <c r="X18" s="242"/>
      <c r="Y18" s="242"/>
      <c r="Z18" s="242"/>
      <c r="AA18" s="242"/>
      <c r="AB18" s="242"/>
      <c r="AC18" s="242"/>
      <c r="AD18" s="242"/>
      <c r="AE18" s="242"/>
      <c r="AF18" s="242"/>
      <c r="AG18" s="242"/>
      <c r="AH18" s="242"/>
      <c r="AI18" s="242"/>
      <c r="AJ18" s="242"/>
      <c r="AK18" s="242"/>
      <c r="AL18" s="242"/>
      <c r="AM18" s="242"/>
      <c r="AN18" s="242"/>
      <c r="AO18" s="242"/>
      <c r="AP18" s="242"/>
      <c r="AQ18" s="242"/>
      <c r="AT18" s="446" t="s">
        <v>796</v>
      </c>
      <c r="AU18" s="509">
        <f t="shared" si="3"/>
        <v>146.92079394031387</v>
      </c>
      <c r="AV18" s="517">
        <f t="shared" si="3"/>
        <v>8.3955396712931076</v>
      </c>
      <c r="AW18" s="517">
        <f t="shared" si="3"/>
        <v>24.907166570973654</v>
      </c>
      <c r="AX18" s="517">
        <f t="shared" si="3"/>
        <v>14.497619962730282</v>
      </c>
      <c r="BB18" s="82" t="s">
        <v>304</v>
      </c>
      <c r="BC18" s="87"/>
      <c r="BD18" s="114">
        <f t="shared" si="0"/>
        <v>0</v>
      </c>
      <c r="BE18" s="117"/>
      <c r="BF18" s="138"/>
    </row>
    <row r="19" spans="1:58" x14ac:dyDescent="0.15">
      <c r="A19" s="421" t="s">
        <v>296</v>
      </c>
      <c r="B19" s="242"/>
      <c r="C19" s="442">
        <f>Calculations!G89</f>
        <v>891300</v>
      </c>
      <c r="D19" s="442"/>
      <c r="E19" s="442"/>
      <c r="F19" s="444"/>
      <c r="G19" s="242"/>
      <c r="H19" s="242"/>
      <c r="I19" s="242"/>
      <c r="J19" s="242"/>
      <c r="K19" s="242"/>
      <c r="L19" s="242"/>
      <c r="M19" s="242"/>
      <c r="N19" s="242"/>
      <c r="O19" s="242"/>
      <c r="P19" s="242"/>
      <c r="Q19" s="242"/>
      <c r="R19" s="242"/>
      <c r="S19" s="242"/>
      <c r="T19" s="242"/>
      <c r="U19" s="242"/>
      <c r="V19" s="242"/>
      <c r="W19" s="242"/>
      <c r="X19" s="242"/>
      <c r="Y19" s="242"/>
      <c r="Z19" s="242"/>
      <c r="AA19" s="242"/>
      <c r="AB19" s="242"/>
      <c r="AC19" s="242"/>
      <c r="AD19" s="242"/>
      <c r="AE19" s="242"/>
      <c r="AF19" s="242"/>
      <c r="AG19" s="242"/>
      <c r="AH19" s="242"/>
      <c r="AI19" s="242"/>
      <c r="AJ19" s="242"/>
      <c r="AK19" s="242"/>
      <c r="AL19" s="242"/>
      <c r="AM19" s="242"/>
      <c r="AN19" s="242"/>
      <c r="AO19" s="242"/>
      <c r="AP19" s="242"/>
      <c r="AQ19" s="242"/>
      <c r="AT19" s="475"/>
      <c r="BB19" s="82" t="s">
        <v>296</v>
      </c>
      <c r="BC19" s="87"/>
      <c r="BD19" s="114">
        <f t="shared" si="0"/>
        <v>891300</v>
      </c>
      <c r="BE19" s="117"/>
      <c r="BF19" s="138"/>
    </row>
    <row r="20" spans="1:58" x14ac:dyDescent="0.15">
      <c r="A20" s="421" t="s">
        <v>297</v>
      </c>
      <c r="B20" s="242"/>
      <c r="C20" s="442">
        <f>Calculations!G90</f>
        <v>1563900</v>
      </c>
      <c r="D20" s="442"/>
      <c r="E20" s="442"/>
      <c r="F20" s="444"/>
      <c r="G20" s="242"/>
      <c r="H20" s="242"/>
      <c r="I20" s="242"/>
      <c r="J20" s="242"/>
      <c r="K20" s="242"/>
      <c r="L20" s="242"/>
      <c r="M20" s="242"/>
      <c r="N20" s="242"/>
      <c r="O20" s="242"/>
      <c r="P20" s="242"/>
      <c r="Q20" s="242"/>
      <c r="R20" s="242"/>
      <c r="S20" s="242"/>
      <c r="T20" s="242"/>
      <c r="U20" s="242"/>
      <c r="V20" s="242"/>
      <c r="W20" s="242"/>
      <c r="X20" s="242"/>
      <c r="Y20" s="242"/>
      <c r="Z20" s="242"/>
      <c r="AA20" s="242"/>
      <c r="AB20" s="242"/>
      <c r="AC20" s="242"/>
      <c r="AD20" s="242"/>
      <c r="AE20" s="242"/>
      <c r="AF20" s="242"/>
      <c r="AG20" s="242"/>
      <c r="AH20" s="242"/>
      <c r="AI20" s="242"/>
      <c r="AJ20" s="242"/>
      <c r="AK20" s="242"/>
      <c r="AL20" s="242"/>
      <c r="AM20" s="242"/>
      <c r="AN20" s="242"/>
      <c r="AO20" s="242"/>
      <c r="AP20" s="242"/>
      <c r="AQ20" s="242"/>
      <c r="AT20" s="418" t="s">
        <v>836</v>
      </c>
      <c r="AU20" s="283" t="s">
        <v>75</v>
      </c>
      <c r="AV20" s="283"/>
      <c r="AW20" s="283"/>
      <c r="AX20" s="283"/>
      <c r="BB20" s="82" t="s">
        <v>297</v>
      </c>
      <c r="BC20" s="87"/>
      <c r="BD20" s="114">
        <f t="shared" si="0"/>
        <v>1563900</v>
      </c>
      <c r="BE20" s="87"/>
    </row>
    <row r="21" spans="1:58" x14ac:dyDescent="0.15">
      <c r="A21" s="435" t="str">
        <f xml:space="preserve">          'STEP 3 - Edit Project Data'!C15</f>
        <v/>
      </c>
      <c r="B21" s="452"/>
      <c r="C21" s="453"/>
      <c r="D21" s="242"/>
      <c r="E21" s="242"/>
      <c r="F21" s="444"/>
      <c r="G21" s="242"/>
      <c r="H21" s="242"/>
      <c r="I21" s="242"/>
      <c r="J21" s="242"/>
      <c r="K21" s="242"/>
      <c r="L21" s="242"/>
      <c r="M21" s="242"/>
      <c r="N21" s="242"/>
      <c r="O21" s="242"/>
      <c r="P21" s="242"/>
      <c r="Q21" s="242"/>
      <c r="R21" s="242"/>
      <c r="S21" s="242"/>
      <c r="T21" s="242"/>
      <c r="U21" s="242"/>
      <c r="V21" s="242"/>
      <c r="W21" s="242"/>
      <c r="X21" s="242"/>
      <c r="Y21" s="242"/>
      <c r="Z21" s="242"/>
      <c r="AA21" s="242"/>
      <c r="AB21" s="242"/>
      <c r="AC21" s="242"/>
      <c r="AD21" s="242"/>
      <c r="AE21" s="242"/>
      <c r="AF21" s="242"/>
      <c r="AG21" s="242"/>
      <c r="AH21" s="242"/>
      <c r="AI21" s="242"/>
      <c r="AJ21" s="242"/>
      <c r="AK21" s="242"/>
      <c r="AL21" s="242"/>
      <c r="AM21" s="242"/>
      <c r="AN21" s="242"/>
      <c r="AO21" s="242"/>
      <c r="AP21" s="242"/>
      <c r="AQ21" s="242"/>
      <c r="AT21" s="446" t="s">
        <v>795</v>
      </c>
      <c r="AU21" s="509">
        <f t="shared" ref="AU21:AX23" si="4">B34</f>
        <v>11.968868329123286</v>
      </c>
      <c r="AV21" s="519">
        <f t="shared" si="4"/>
        <v>0.78391089734359654</v>
      </c>
      <c r="AW21" s="503">
        <f t="shared" si="4"/>
        <v>0.78391089734359654</v>
      </c>
      <c r="AX21" s="504">
        <f t="shared" si="4"/>
        <v>0.78391089734359654</v>
      </c>
      <c r="BB21" s="112"/>
      <c r="BC21" s="118"/>
      <c r="BD21" s="139"/>
      <c r="BE21" s="117"/>
    </row>
    <row r="22" spans="1:58" s="329" customFormat="1" ht="26" customHeight="1" x14ac:dyDescent="0.2">
      <c r="A22" s="326" t="s">
        <v>200</v>
      </c>
      <c r="B22" s="327"/>
      <c r="C22" s="327"/>
      <c r="D22" s="327"/>
      <c r="E22" s="327"/>
      <c r="F22" s="246"/>
      <c r="G22" s="246"/>
      <c r="H22" s="246"/>
      <c r="I22" s="454"/>
      <c r="J22" s="454"/>
      <c r="K22" s="454"/>
      <c r="L22" s="454"/>
      <c r="M22" s="454"/>
      <c r="N22" s="454"/>
      <c r="O22" s="454"/>
      <c r="P22" s="454"/>
      <c r="Q22" s="454"/>
      <c r="R22" s="454"/>
      <c r="S22" s="454"/>
      <c r="T22" s="454"/>
      <c r="U22" s="454"/>
      <c r="V22" s="454"/>
      <c r="W22" s="454"/>
      <c r="X22" s="454"/>
      <c r="Y22" s="454"/>
      <c r="Z22" s="454"/>
      <c r="AA22" s="454"/>
      <c r="AB22" s="454"/>
      <c r="AC22" s="454"/>
      <c r="AD22" s="454"/>
      <c r="AE22" s="454"/>
      <c r="AF22" s="454"/>
      <c r="AG22" s="454"/>
      <c r="AH22" s="454"/>
      <c r="AI22" s="454"/>
      <c r="AJ22" s="454"/>
      <c r="AK22" s="454"/>
      <c r="AL22" s="454"/>
      <c r="AM22" s="454"/>
      <c r="AN22" s="454"/>
      <c r="AO22" s="454"/>
      <c r="AP22" s="454"/>
      <c r="AQ22" s="454"/>
      <c r="AT22" s="446" t="s">
        <v>798</v>
      </c>
      <c r="AU22" s="509">
        <f t="shared" si="4"/>
        <v>24.843375399048583</v>
      </c>
      <c r="AV22" s="519">
        <f t="shared" si="4"/>
        <v>1.4961647901373647</v>
      </c>
      <c r="AW22" s="504">
        <f t="shared" si="4"/>
        <v>5.5422047420335101</v>
      </c>
      <c r="AX22" s="504">
        <f t="shared" si="4"/>
        <v>3.6545452239374763</v>
      </c>
      <c r="BB22" s="319" t="s">
        <v>200</v>
      </c>
      <c r="BC22" s="328"/>
      <c r="BD22" s="328"/>
      <c r="BE22" s="328"/>
    </row>
    <row r="23" spans="1:58" x14ac:dyDescent="0.15">
      <c r="A23" s="373"/>
      <c r="B23" s="373" t="s">
        <v>75</v>
      </c>
      <c r="C23" s="373" t="s">
        <v>198</v>
      </c>
      <c r="D23" s="373" t="s">
        <v>199</v>
      </c>
      <c r="E23" s="373" t="s">
        <v>631</v>
      </c>
      <c r="F23" s="242"/>
      <c r="G23" s="242"/>
      <c r="H23" s="242"/>
      <c r="I23" s="242"/>
      <c r="J23" s="242"/>
      <c r="K23" s="242"/>
      <c r="L23" s="242"/>
      <c r="M23" s="242"/>
      <c r="N23" s="242"/>
      <c r="O23" s="242"/>
      <c r="P23" s="242"/>
      <c r="Q23" s="242"/>
      <c r="R23" s="242"/>
      <c r="S23" s="242"/>
      <c r="T23" s="242"/>
      <c r="U23" s="242"/>
      <c r="V23" s="242"/>
      <c r="W23" s="242"/>
      <c r="X23" s="242"/>
      <c r="Y23" s="242"/>
      <c r="Z23" s="242"/>
      <c r="AA23" s="242"/>
      <c r="AB23" s="242"/>
      <c r="AC23" s="242"/>
      <c r="AD23" s="242"/>
      <c r="AE23" s="242"/>
      <c r="AF23" s="242"/>
      <c r="AG23" s="242"/>
      <c r="AH23" s="242"/>
      <c r="AI23" s="242"/>
      <c r="AJ23" s="242"/>
      <c r="AK23" s="242"/>
      <c r="AL23" s="242"/>
      <c r="AM23" s="242"/>
      <c r="AN23" s="242"/>
      <c r="AO23" s="242"/>
      <c r="AP23" s="242"/>
      <c r="AQ23" s="242"/>
      <c r="AT23" s="446" t="s">
        <v>796</v>
      </c>
      <c r="AU23" s="509">
        <f t="shared" si="4"/>
        <v>15.035590973517953</v>
      </c>
      <c r="AV23" s="519">
        <f t="shared" si="4"/>
        <v>0.88909494008588175</v>
      </c>
      <c r="AW23" s="504">
        <f t="shared" si="4"/>
        <v>2.6375608758347471</v>
      </c>
      <c r="AX23" s="504">
        <f t="shared" si="4"/>
        <v>1.5351427923167911</v>
      </c>
      <c r="BB23" s="103"/>
      <c r="BC23" s="103" t="s">
        <v>75</v>
      </c>
      <c r="BD23" s="103" t="s">
        <v>198</v>
      </c>
      <c r="BE23" s="103" t="s">
        <v>199</v>
      </c>
      <c r="BF23" s="1" t="s">
        <v>631</v>
      </c>
    </row>
    <row r="24" spans="1:58" x14ac:dyDescent="0.15">
      <c r="A24" s="418" t="s">
        <v>165</v>
      </c>
      <c r="B24" s="242"/>
      <c r="C24" s="242"/>
      <c r="D24" s="242"/>
      <c r="E24" s="242"/>
      <c r="F24" s="455"/>
      <c r="G24" s="456"/>
      <c r="H24" s="456"/>
      <c r="I24" s="242"/>
      <c r="J24" s="242"/>
      <c r="K24" s="242"/>
      <c r="L24" s="242"/>
      <c r="M24" s="242"/>
      <c r="N24" s="242"/>
      <c r="O24" s="242"/>
      <c r="P24" s="242"/>
      <c r="Q24" s="242"/>
      <c r="R24" s="242"/>
      <c r="S24" s="242"/>
      <c r="T24" s="242"/>
      <c r="U24" s="242"/>
      <c r="V24" s="242"/>
      <c r="W24" s="242"/>
      <c r="X24" s="242"/>
      <c r="Y24" s="242"/>
      <c r="Z24" s="242"/>
      <c r="AA24" s="242"/>
      <c r="AB24" s="242"/>
      <c r="AC24" s="242"/>
      <c r="AD24" s="242"/>
      <c r="AE24" s="242"/>
      <c r="AF24" s="242"/>
      <c r="AG24" s="242"/>
      <c r="AH24" s="242"/>
      <c r="AI24" s="242"/>
      <c r="AJ24" s="242"/>
      <c r="AK24" s="242"/>
      <c r="AL24" s="242"/>
      <c r="AM24" s="242"/>
      <c r="AN24" s="242"/>
      <c r="AO24" s="242"/>
      <c r="AP24" s="242"/>
      <c r="AQ24" s="242"/>
      <c r="AT24" s="418"/>
      <c r="BB24" s="90" t="s">
        <v>165</v>
      </c>
      <c r="BC24" s="87"/>
      <c r="BD24" s="87"/>
      <c r="BE24" s="87"/>
    </row>
    <row r="25" spans="1:58" x14ac:dyDescent="0.15">
      <c r="A25" s="242" t="s">
        <v>568</v>
      </c>
      <c r="B25" s="452"/>
      <c r="C25" s="452"/>
      <c r="D25" s="452"/>
      <c r="E25" s="452"/>
      <c r="F25" s="455"/>
      <c r="G25" s="456"/>
      <c r="H25" s="456"/>
      <c r="I25" s="242"/>
      <c r="J25" s="242"/>
      <c r="K25" s="242"/>
      <c r="L25" s="242"/>
      <c r="M25" s="242"/>
      <c r="N25" s="242"/>
      <c r="O25" s="242"/>
      <c r="P25" s="242"/>
      <c r="Q25" s="242"/>
      <c r="R25" s="242"/>
      <c r="S25" s="242"/>
      <c r="T25" s="242"/>
      <c r="U25" s="242"/>
      <c r="V25" s="242"/>
      <c r="W25" s="242"/>
      <c r="X25" s="242"/>
      <c r="Y25" s="242"/>
      <c r="Z25" s="242"/>
      <c r="AA25" s="242"/>
      <c r="AB25" s="242"/>
      <c r="AC25" s="242"/>
      <c r="AD25" s="242"/>
      <c r="AE25" s="242"/>
      <c r="AF25" s="242"/>
      <c r="AG25" s="242"/>
      <c r="AH25" s="242"/>
      <c r="AI25" s="242"/>
      <c r="AJ25" s="242"/>
      <c r="AK25" s="242"/>
      <c r="AL25" s="242"/>
      <c r="AM25" s="242"/>
      <c r="AN25" s="242"/>
      <c r="AO25" s="242"/>
      <c r="AP25" s="242"/>
      <c r="AQ25" s="242"/>
      <c r="AT25" s="242"/>
      <c r="BB25" s="87" t="s">
        <v>568</v>
      </c>
    </row>
    <row r="26" spans="1:58" x14ac:dyDescent="0.15">
      <c r="A26" s="421" t="s">
        <v>569</v>
      </c>
      <c r="B26" s="455">
        <f>Calculations!AH42</f>
        <v>75.907405113318319</v>
      </c>
      <c r="C26" s="456">
        <f>Calculations!AI42</f>
        <v>11.289426359570495</v>
      </c>
      <c r="D26" s="456"/>
      <c r="E26" s="456"/>
      <c r="F26" s="457"/>
      <c r="G26" s="457"/>
      <c r="H26" s="456"/>
      <c r="I26" s="242"/>
      <c r="J26" s="242"/>
      <c r="K26" s="242"/>
      <c r="L26" s="242"/>
      <c r="M26" s="242"/>
      <c r="N26" s="242"/>
      <c r="O26" s="242"/>
      <c r="P26" s="242"/>
      <c r="Q26" s="242"/>
      <c r="R26" s="242"/>
      <c r="S26" s="242"/>
      <c r="T26" s="242"/>
      <c r="U26" s="242"/>
      <c r="V26" s="242"/>
      <c r="W26" s="242"/>
      <c r="X26" s="242"/>
      <c r="Y26" s="242"/>
      <c r="Z26" s="242"/>
      <c r="AA26" s="242"/>
      <c r="AB26" s="242"/>
      <c r="AC26" s="242"/>
      <c r="AD26" s="242"/>
      <c r="AE26" s="242"/>
      <c r="AF26" s="242"/>
      <c r="AG26" s="242"/>
      <c r="AH26" s="242"/>
      <c r="AI26" s="242"/>
      <c r="AJ26" s="242"/>
      <c r="AK26" s="242"/>
      <c r="AL26" s="242"/>
      <c r="AM26" s="242"/>
      <c r="AN26" s="242"/>
      <c r="AO26" s="242"/>
      <c r="AP26" s="242"/>
      <c r="AQ26" s="242"/>
      <c r="AT26" s="469"/>
      <c r="BB26" s="82" t="s">
        <v>569</v>
      </c>
      <c r="BC26" s="147">
        <f t="shared" ref="BC26:BF31" si="5">B26</f>
        <v>75.907405113318319</v>
      </c>
      <c r="BD26" s="148">
        <f t="shared" si="5"/>
        <v>11.289426359570495</v>
      </c>
      <c r="BE26" s="148"/>
    </row>
    <row r="27" spans="1:58" ht="14" x14ac:dyDescent="0.15">
      <c r="A27" s="475" t="s">
        <v>570</v>
      </c>
      <c r="B27" s="455">
        <f>Calculations!AH43</f>
        <v>4.201172368212486</v>
      </c>
      <c r="C27" s="456">
        <f>Calculations!AI43</f>
        <v>0.39055906642707366</v>
      </c>
      <c r="D27" s="456"/>
      <c r="E27" s="456"/>
      <c r="F27" s="457"/>
      <c r="G27" s="457"/>
      <c r="H27" s="456"/>
      <c r="I27" s="242"/>
      <c r="J27" s="242"/>
      <c r="K27" s="242"/>
      <c r="L27" s="242"/>
      <c r="M27" s="242"/>
      <c r="N27" s="242"/>
      <c r="O27" s="242"/>
      <c r="P27" s="242"/>
      <c r="Q27" s="242"/>
      <c r="R27" s="242"/>
      <c r="S27" s="242"/>
      <c r="T27" s="242"/>
      <c r="U27" s="242"/>
      <c r="V27" s="242"/>
      <c r="W27" s="242"/>
      <c r="X27" s="242"/>
      <c r="Y27" s="242"/>
      <c r="Z27" s="242"/>
      <c r="AA27" s="242"/>
      <c r="AB27" s="242"/>
      <c r="AC27" s="242"/>
      <c r="AD27" s="242"/>
      <c r="AE27" s="242"/>
      <c r="AF27" s="242"/>
      <c r="AG27" s="242"/>
      <c r="AH27" s="242"/>
      <c r="AI27" s="242"/>
      <c r="AJ27" s="242"/>
      <c r="AK27" s="242"/>
      <c r="AL27" s="242"/>
      <c r="AM27" s="242"/>
      <c r="AN27" s="242"/>
      <c r="AO27" s="242"/>
      <c r="AP27" s="242"/>
      <c r="AQ27" s="242"/>
      <c r="AT27" s="469"/>
      <c r="BB27" s="163" t="s">
        <v>570</v>
      </c>
      <c r="BC27" s="147">
        <f>B27</f>
        <v>4.201172368212486</v>
      </c>
      <c r="BD27" s="148">
        <f>C27</f>
        <v>0.39055906642707366</v>
      </c>
      <c r="BE27" s="148"/>
    </row>
    <row r="28" spans="1:58" s="241" customFormat="1" ht="14" x14ac:dyDescent="0.15">
      <c r="A28" s="475" t="s">
        <v>606</v>
      </c>
      <c r="B28" s="455">
        <f>Calculations!AH41</f>
        <v>80.108577481530801</v>
      </c>
      <c r="C28" s="456">
        <f>Calculations!AI41</f>
        <v>11.679985425997568</v>
      </c>
      <c r="D28" s="456">
        <f>Calculations!AJ41</f>
        <v>12.02683475929817</v>
      </c>
      <c r="E28" s="456">
        <f>Calculations!AK41</f>
        <v>11.736941829518969</v>
      </c>
      <c r="F28" s="457"/>
      <c r="G28" s="457"/>
      <c r="H28" s="456"/>
      <c r="I28" s="242"/>
      <c r="J28" s="242"/>
      <c r="K28" s="242"/>
      <c r="L28" s="242"/>
      <c r="M28" s="242"/>
      <c r="N28" s="242"/>
      <c r="O28" s="242"/>
      <c r="P28" s="242"/>
      <c r="Q28" s="242"/>
      <c r="R28" s="242"/>
      <c r="S28" s="242"/>
      <c r="T28" s="242"/>
      <c r="U28" s="242"/>
      <c r="V28" s="242"/>
      <c r="W28" s="242"/>
      <c r="X28" s="242"/>
      <c r="Y28" s="242"/>
      <c r="Z28" s="242"/>
      <c r="AA28" s="242"/>
      <c r="AB28" s="242"/>
      <c r="AC28" s="242"/>
      <c r="AD28" s="242"/>
      <c r="AE28" s="242"/>
      <c r="AF28" s="242"/>
      <c r="AG28" s="242"/>
      <c r="AH28" s="242"/>
      <c r="AI28" s="242"/>
      <c r="AJ28" s="242"/>
      <c r="AK28" s="242"/>
      <c r="AL28" s="242"/>
      <c r="AM28" s="242"/>
      <c r="AN28" s="242"/>
      <c r="AO28" s="242"/>
      <c r="AP28" s="242"/>
      <c r="AQ28" s="242"/>
      <c r="AT28" s="461"/>
      <c r="BB28" s="163" t="s">
        <v>606</v>
      </c>
      <c r="BC28" s="147">
        <f>B28</f>
        <v>80.108577481530801</v>
      </c>
      <c r="BD28" s="148">
        <f>C28</f>
        <v>11.679985425997568</v>
      </c>
      <c r="BE28" s="148">
        <f>D28</f>
        <v>12.02683475929817</v>
      </c>
      <c r="BF28" s="148">
        <f>E28</f>
        <v>11.736941829518969</v>
      </c>
    </row>
    <row r="29" spans="1:58" x14ac:dyDescent="0.15">
      <c r="A29" s="469" t="s">
        <v>566</v>
      </c>
      <c r="B29" s="455">
        <f>Calculations!AH44</f>
        <v>218.24863198170038</v>
      </c>
      <c r="C29" s="456">
        <f>Calculations!AI44</f>
        <v>14.044672442358978</v>
      </c>
      <c r="D29" s="456">
        <f>Calculations!AJ44</f>
        <v>44.607295708389202</v>
      </c>
      <c r="E29" s="456">
        <f>Calculations!AK44</f>
        <v>21.172639523435446</v>
      </c>
      <c r="F29" s="455"/>
      <c r="G29" s="456"/>
      <c r="H29" s="456"/>
      <c r="I29" s="242"/>
      <c r="J29" s="242"/>
      <c r="K29" s="242"/>
      <c r="L29" s="242"/>
      <c r="M29" s="242"/>
      <c r="N29" s="242"/>
      <c r="O29" s="242"/>
      <c r="P29" s="242"/>
      <c r="Q29" s="242"/>
      <c r="R29" s="242"/>
      <c r="S29" s="242"/>
      <c r="T29" s="242"/>
      <c r="U29" s="242"/>
      <c r="V29" s="242"/>
      <c r="W29" s="242"/>
      <c r="X29" s="242"/>
      <c r="Y29" s="242"/>
      <c r="Z29" s="242"/>
      <c r="AA29" s="242"/>
      <c r="AB29" s="242"/>
      <c r="AC29" s="242"/>
      <c r="AD29" s="242"/>
      <c r="AE29" s="242"/>
      <c r="AF29" s="242"/>
      <c r="AG29" s="242"/>
      <c r="AH29" s="242"/>
      <c r="AI29" s="242"/>
      <c r="AJ29" s="242"/>
      <c r="AK29" s="242"/>
      <c r="AL29" s="242"/>
      <c r="AM29" s="242"/>
      <c r="AN29" s="242"/>
      <c r="AO29" s="242"/>
      <c r="AP29" s="242"/>
      <c r="AQ29" s="242"/>
      <c r="BB29" s="121" t="s">
        <v>566</v>
      </c>
      <c r="BC29" s="147">
        <f t="shared" si="5"/>
        <v>218.24863198170038</v>
      </c>
      <c r="BD29" s="148">
        <f t="shared" si="5"/>
        <v>14.044672442358978</v>
      </c>
      <c r="BE29" s="148">
        <f t="shared" si="5"/>
        <v>44.607295708389202</v>
      </c>
      <c r="BF29" s="148">
        <f t="shared" si="5"/>
        <v>21.172639523435446</v>
      </c>
    </row>
    <row r="30" spans="1:58" x14ac:dyDescent="0.15">
      <c r="A30" s="469" t="s">
        <v>211</v>
      </c>
      <c r="B30" s="455">
        <f>Calculations!AH45</f>
        <v>146.92079394031387</v>
      </c>
      <c r="C30" s="456">
        <f>Calculations!AI45</f>
        <v>8.3955396712931076</v>
      </c>
      <c r="D30" s="456">
        <f>Calculations!AJ45</f>
        <v>24.907166570973654</v>
      </c>
      <c r="E30" s="456">
        <f>Calculations!AK45</f>
        <v>14.497619962730282</v>
      </c>
      <c r="F30" s="455"/>
      <c r="G30" s="456"/>
      <c r="H30" s="456"/>
      <c r="I30" s="242"/>
      <c r="J30" s="242"/>
      <c r="K30" s="242"/>
      <c r="L30" s="242"/>
      <c r="M30" s="242"/>
      <c r="N30" s="242"/>
      <c r="O30" s="242"/>
      <c r="P30" s="242"/>
      <c r="Q30" s="242"/>
      <c r="R30" s="242"/>
      <c r="S30" s="242"/>
      <c r="T30" s="242"/>
      <c r="U30" s="242"/>
      <c r="V30" s="242"/>
      <c r="W30" s="242"/>
      <c r="X30" s="242"/>
      <c r="Y30" s="242"/>
      <c r="Z30" s="242"/>
      <c r="AA30" s="242"/>
      <c r="AB30" s="242"/>
      <c r="AC30" s="242"/>
      <c r="AD30" s="242"/>
      <c r="AE30" s="242"/>
      <c r="AF30" s="242"/>
      <c r="AG30" s="242"/>
      <c r="AH30" s="242"/>
      <c r="AI30" s="242"/>
      <c r="AJ30" s="242"/>
      <c r="AK30" s="242"/>
      <c r="AL30" s="242"/>
      <c r="AM30" s="242"/>
      <c r="AN30" s="242"/>
      <c r="AO30" s="242"/>
      <c r="AP30" s="242"/>
      <c r="AQ30" s="242"/>
      <c r="BB30" s="121" t="s">
        <v>211</v>
      </c>
      <c r="BC30" s="147">
        <f t="shared" si="5"/>
        <v>146.92079394031387</v>
      </c>
      <c r="BD30" s="148">
        <f t="shared" si="5"/>
        <v>8.3955396712931076</v>
      </c>
      <c r="BE30" s="148">
        <f t="shared" si="5"/>
        <v>24.907166570973654</v>
      </c>
      <c r="BF30" s="148">
        <f t="shared" si="5"/>
        <v>14.497619962730282</v>
      </c>
    </row>
    <row r="31" spans="1:58" x14ac:dyDescent="0.15">
      <c r="A31" s="461" t="s">
        <v>572</v>
      </c>
      <c r="B31" s="476">
        <f>Calculations!AH46</f>
        <v>445.27800340354509</v>
      </c>
      <c r="C31" s="477">
        <f>Calculations!AI46</f>
        <v>34.120197539649652</v>
      </c>
      <c r="D31" s="477">
        <f>Calculations!AJ46</f>
        <v>81.541297038661028</v>
      </c>
      <c r="E31" s="477">
        <f>Calculations!AK46</f>
        <v>47.407201315684695</v>
      </c>
      <c r="F31" s="242"/>
      <c r="G31" s="456"/>
      <c r="H31" s="242"/>
      <c r="I31" s="242"/>
      <c r="J31" s="242"/>
      <c r="K31" s="242"/>
      <c r="L31" s="242"/>
      <c r="M31" s="242"/>
      <c r="N31" s="242"/>
      <c r="O31" s="242"/>
      <c r="P31" s="242"/>
      <c r="Q31" s="242"/>
      <c r="R31" s="242"/>
      <c r="S31" s="242"/>
      <c r="T31" s="242"/>
      <c r="U31" s="242"/>
      <c r="V31" s="242"/>
      <c r="W31" s="242"/>
      <c r="X31" s="242"/>
      <c r="Y31" s="242"/>
      <c r="Z31" s="242"/>
      <c r="AA31" s="242"/>
      <c r="AB31" s="242"/>
      <c r="AC31" s="242"/>
      <c r="AD31" s="242"/>
      <c r="AE31" s="242"/>
      <c r="AF31" s="242"/>
      <c r="AG31" s="242"/>
      <c r="AH31" s="242"/>
      <c r="AI31" s="242"/>
      <c r="AJ31" s="242"/>
      <c r="AK31" s="242"/>
      <c r="AL31" s="242"/>
      <c r="AM31" s="242"/>
      <c r="AN31" s="242"/>
      <c r="AO31" s="242"/>
      <c r="AP31" s="242"/>
      <c r="AQ31" s="242"/>
      <c r="BB31" s="49" t="s">
        <v>572</v>
      </c>
      <c r="BC31" s="119">
        <f t="shared" si="5"/>
        <v>445.27800340354509</v>
      </c>
      <c r="BD31" s="120">
        <f t="shared" si="5"/>
        <v>34.120197539649652</v>
      </c>
      <c r="BE31" s="120">
        <f t="shared" si="5"/>
        <v>81.541297038661028</v>
      </c>
      <c r="BF31" s="120">
        <f t="shared" si="5"/>
        <v>47.407201315684695</v>
      </c>
    </row>
    <row r="32" spans="1:58" x14ac:dyDescent="0.15">
      <c r="A32" s="461"/>
      <c r="B32" s="455"/>
      <c r="C32" s="456"/>
      <c r="D32" s="456"/>
      <c r="E32" s="456"/>
      <c r="F32" s="242"/>
      <c r="G32" s="456"/>
      <c r="H32" s="242"/>
      <c r="I32" s="242"/>
      <c r="J32" s="242"/>
      <c r="K32" s="242"/>
      <c r="L32" s="242"/>
      <c r="M32" s="242"/>
      <c r="N32" s="242"/>
      <c r="O32" s="242"/>
      <c r="P32" s="242"/>
      <c r="Q32" s="242"/>
      <c r="R32" s="242"/>
      <c r="S32" s="242"/>
      <c r="T32" s="242"/>
      <c r="U32" s="242"/>
      <c r="V32" s="242"/>
      <c r="W32" s="242"/>
      <c r="X32" s="242"/>
      <c r="Y32" s="242"/>
      <c r="Z32" s="242"/>
      <c r="AA32" s="242"/>
      <c r="AB32" s="242"/>
      <c r="AC32" s="242"/>
      <c r="AD32" s="242"/>
      <c r="AE32" s="242"/>
      <c r="AF32" s="242"/>
      <c r="AG32" s="242"/>
      <c r="AH32" s="242"/>
      <c r="AI32" s="242"/>
      <c r="AJ32" s="242"/>
      <c r="AK32" s="242"/>
      <c r="AL32" s="242"/>
      <c r="AM32" s="242"/>
      <c r="AN32" s="242"/>
      <c r="AO32" s="242"/>
      <c r="AP32" s="242"/>
      <c r="AQ32" s="242"/>
      <c r="BB32" s="49"/>
      <c r="BC32" s="122"/>
      <c r="BD32" s="123"/>
      <c r="BE32" s="123"/>
      <c r="BF32" s="123"/>
    </row>
    <row r="33" spans="1:58" x14ac:dyDescent="0.15">
      <c r="A33" s="418" t="s">
        <v>328</v>
      </c>
      <c r="B33" s="242"/>
      <c r="C33" s="478"/>
      <c r="D33" s="456"/>
      <c r="E33" s="456"/>
      <c r="F33" s="436"/>
      <c r="G33" s="458"/>
      <c r="H33" s="458"/>
      <c r="I33" s="242"/>
      <c r="J33" s="242"/>
      <c r="K33" s="242"/>
      <c r="L33" s="242"/>
      <c r="M33" s="242"/>
      <c r="N33" s="242"/>
      <c r="O33" s="242"/>
      <c r="P33" s="242"/>
      <c r="Q33" s="242"/>
      <c r="R33" s="242"/>
      <c r="S33" s="242"/>
      <c r="T33" s="242"/>
      <c r="U33" s="242"/>
      <c r="V33" s="242"/>
      <c r="W33" s="242"/>
      <c r="X33" s="242"/>
      <c r="Y33" s="242"/>
      <c r="Z33" s="242"/>
      <c r="AA33" s="242"/>
      <c r="AB33" s="242"/>
      <c r="AC33" s="242"/>
      <c r="AD33" s="242"/>
      <c r="AE33" s="242"/>
      <c r="AF33" s="242"/>
      <c r="AG33" s="242"/>
      <c r="AH33" s="242"/>
      <c r="AI33" s="242"/>
      <c r="AJ33" s="242"/>
      <c r="AK33" s="242"/>
      <c r="AL33" s="242"/>
      <c r="AM33" s="242"/>
      <c r="AN33" s="242"/>
      <c r="AO33" s="242"/>
      <c r="AP33" s="242"/>
      <c r="AQ33" s="242"/>
      <c r="BB33" s="90" t="s">
        <v>328</v>
      </c>
      <c r="BC33" s="149"/>
      <c r="BD33" s="124"/>
      <c r="BE33" s="123"/>
      <c r="BF33" s="123"/>
    </row>
    <row r="34" spans="1:58" x14ac:dyDescent="0.15">
      <c r="A34" s="242" t="s">
        <v>567</v>
      </c>
      <c r="B34" s="436">
        <f>Calculations!AH50</f>
        <v>11.968868329123286</v>
      </c>
      <c r="C34" s="456">
        <f>Calculations!AI50</f>
        <v>0.78391089734359654</v>
      </c>
      <c r="D34" s="456">
        <f>Calculations!AJ50</f>
        <v>0.78391089734359654</v>
      </c>
      <c r="E34" s="456">
        <f>Calculations!AK50</f>
        <v>0.78391089734359654</v>
      </c>
      <c r="F34" s="411"/>
      <c r="G34" s="457"/>
      <c r="H34" s="458"/>
      <c r="I34" s="242"/>
      <c r="J34" s="242"/>
      <c r="K34" s="242"/>
      <c r="L34" s="242"/>
      <c r="M34" s="242"/>
      <c r="N34" s="242"/>
      <c r="O34" s="242"/>
      <c r="P34" s="242"/>
      <c r="Q34" s="242"/>
      <c r="R34" s="242"/>
      <c r="S34" s="242"/>
      <c r="T34" s="242"/>
      <c r="U34" s="242"/>
      <c r="V34" s="242"/>
      <c r="W34" s="242"/>
      <c r="X34" s="242"/>
      <c r="Y34" s="242"/>
      <c r="Z34" s="242"/>
      <c r="AA34" s="242"/>
      <c r="AB34" s="242"/>
      <c r="AC34" s="242"/>
      <c r="AD34" s="242"/>
      <c r="AE34" s="242"/>
      <c r="AF34" s="242"/>
      <c r="AG34" s="242"/>
      <c r="AH34" s="242"/>
      <c r="AI34" s="242"/>
      <c r="AJ34" s="242"/>
      <c r="AK34" s="242"/>
      <c r="AL34" s="242"/>
      <c r="AM34" s="242"/>
      <c r="AN34" s="242"/>
      <c r="AO34" s="242"/>
      <c r="AP34" s="242"/>
      <c r="AQ34" s="242"/>
      <c r="BB34" s="87" t="s">
        <v>567</v>
      </c>
      <c r="BC34" s="147">
        <f t="shared" ref="BC34:BF37" si="6">B34</f>
        <v>11.968868329123286</v>
      </c>
      <c r="BD34" s="148">
        <f t="shared" si="6"/>
        <v>0.78391089734359654</v>
      </c>
      <c r="BE34" s="148">
        <f t="shared" si="6"/>
        <v>0.78391089734359654</v>
      </c>
      <c r="BF34" s="148">
        <f t="shared" si="6"/>
        <v>0.78391089734359654</v>
      </c>
    </row>
    <row r="35" spans="1:58" x14ac:dyDescent="0.15">
      <c r="A35" s="469" t="s">
        <v>571</v>
      </c>
      <c r="B35" s="436">
        <f>Calculations!AH51</f>
        <v>24.843375399048583</v>
      </c>
      <c r="C35" s="456">
        <f>Calculations!AI51</f>
        <v>1.4961647901373647</v>
      </c>
      <c r="D35" s="456">
        <f>Calculations!AJ51</f>
        <v>5.5422047420335101</v>
      </c>
      <c r="E35" s="456">
        <f>Calculations!AK51</f>
        <v>3.6545452239374763</v>
      </c>
      <c r="F35" s="459"/>
      <c r="G35" s="456"/>
      <c r="H35" s="458"/>
      <c r="I35" s="242"/>
      <c r="J35" s="242"/>
      <c r="K35" s="242"/>
      <c r="L35" s="242"/>
      <c r="M35" s="242"/>
      <c r="N35" s="242"/>
      <c r="O35" s="242"/>
      <c r="P35" s="242"/>
      <c r="Q35" s="242"/>
      <c r="R35" s="242"/>
      <c r="S35" s="242"/>
      <c r="T35" s="242"/>
      <c r="U35" s="242"/>
      <c r="V35" s="242"/>
      <c r="W35" s="242"/>
      <c r="X35" s="242"/>
      <c r="Y35" s="242"/>
      <c r="Z35" s="242"/>
      <c r="AA35" s="242"/>
      <c r="AB35" s="242"/>
      <c r="AC35" s="242"/>
      <c r="AD35" s="242"/>
      <c r="AE35" s="242"/>
      <c r="AF35" s="242"/>
      <c r="AG35" s="242"/>
      <c r="AH35" s="242"/>
      <c r="AI35" s="242"/>
      <c r="AJ35" s="242"/>
      <c r="AK35" s="242"/>
      <c r="AL35" s="242"/>
      <c r="AM35" s="242"/>
      <c r="AN35" s="242"/>
      <c r="AO35" s="242"/>
      <c r="AP35" s="242"/>
      <c r="AQ35" s="242"/>
      <c r="BB35" s="121" t="s">
        <v>571</v>
      </c>
      <c r="BC35" s="147">
        <f t="shared" si="6"/>
        <v>24.843375399048583</v>
      </c>
      <c r="BD35" s="148">
        <f t="shared" si="6"/>
        <v>1.4961647901373647</v>
      </c>
      <c r="BE35" s="148">
        <f t="shared" si="6"/>
        <v>5.5422047420335101</v>
      </c>
      <c r="BF35" s="148">
        <f t="shared" si="6"/>
        <v>3.6545452239374763</v>
      </c>
    </row>
    <row r="36" spans="1:58" x14ac:dyDescent="0.15">
      <c r="A36" s="469" t="s">
        <v>211</v>
      </c>
      <c r="B36" s="436">
        <f>Calculations!AH52</f>
        <v>15.035590973517953</v>
      </c>
      <c r="C36" s="456">
        <f>Calculations!AI52</f>
        <v>0.88909494008588175</v>
      </c>
      <c r="D36" s="456">
        <f>Calculations!AJ52</f>
        <v>2.6375608758347471</v>
      </c>
      <c r="E36" s="456">
        <f>Calculations!AK52</f>
        <v>1.5351427923167911</v>
      </c>
      <c r="F36" s="459"/>
      <c r="G36" s="456"/>
      <c r="H36" s="458"/>
      <c r="I36" s="242"/>
      <c r="J36" s="242"/>
      <c r="K36" s="242"/>
      <c r="L36" s="242"/>
      <c r="M36" s="242"/>
      <c r="N36" s="242"/>
      <c r="O36" s="242"/>
      <c r="P36" s="242"/>
      <c r="Q36" s="242"/>
      <c r="R36" s="242"/>
      <c r="S36" s="242"/>
      <c r="T36" s="242"/>
      <c r="U36" s="242"/>
      <c r="V36" s="242"/>
      <c r="W36" s="242"/>
      <c r="X36" s="242"/>
      <c r="Y36" s="242"/>
      <c r="Z36" s="242"/>
      <c r="AA36" s="242"/>
      <c r="AB36" s="242"/>
      <c r="AC36" s="242"/>
      <c r="AD36" s="242"/>
      <c r="AE36" s="242"/>
      <c r="AF36" s="242"/>
      <c r="AG36" s="242"/>
      <c r="AH36" s="242"/>
      <c r="AI36" s="242"/>
      <c r="AJ36" s="242"/>
      <c r="AK36" s="242"/>
      <c r="AL36" s="242"/>
      <c r="AM36" s="242"/>
      <c r="AN36" s="242"/>
      <c r="AO36" s="242"/>
      <c r="AP36" s="242"/>
      <c r="AQ36" s="242"/>
      <c r="BB36" s="121" t="s">
        <v>211</v>
      </c>
      <c r="BC36" s="147">
        <f t="shared" si="6"/>
        <v>15.035590973517953</v>
      </c>
      <c r="BD36" s="148">
        <f t="shared" si="6"/>
        <v>0.88909494008588175</v>
      </c>
      <c r="BE36" s="148">
        <f t="shared" si="6"/>
        <v>2.6375608758347471</v>
      </c>
      <c r="BF36" s="148">
        <f t="shared" si="6"/>
        <v>1.5351427923167911</v>
      </c>
    </row>
    <row r="37" spans="1:58" x14ac:dyDescent="0.15">
      <c r="A37" s="461" t="s">
        <v>572</v>
      </c>
      <c r="B37" s="410">
        <f>Calculations!AH53</f>
        <v>51.84783470168982</v>
      </c>
      <c r="C37" s="477">
        <f>Calculations!AI53</f>
        <v>3.1691706275668428</v>
      </c>
      <c r="D37" s="477">
        <f>Calculations!AJ53</f>
        <v>8.9636765152118532</v>
      </c>
      <c r="E37" s="477">
        <f>Calculations!AK53</f>
        <v>5.973598913597864</v>
      </c>
      <c r="F37" s="459"/>
      <c r="G37" s="456"/>
      <c r="H37" s="242"/>
      <c r="I37" s="242"/>
      <c r="J37" s="242"/>
      <c r="K37" s="242"/>
      <c r="L37" s="242"/>
      <c r="M37" s="242"/>
      <c r="N37" s="242"/>
      <c r="O37" s="242"/>
      <c r="P37" s="242"/>
      <c r="Q37" s="242"/>
      <c r="R37" s="242"/>
      <c r="S37" s="242"/>
      <c r="T37" s="242"/>
      <c r="U37" s="242"/>
      <c r="V37" s="242"/>
      <c r="W37" s="242"/>
      <c r="X37" s="242"/>
      <c r="Y37" s="242"/>
      <c r="Z37" s="242"/>
      <c r="AA37" s="242"/>
      <c r="AB37" s="242"/>
      <c r="AC37" s="242"/>
      <c r="AD37" s="242"/>
      <c r="AE37" s="242"/>
      <c r="AF37" s="242"/>
      <c r="AG37" s="242"/>
      <c r="AH37" s="242"/>
      <c r="AI37" s="242"/>
      <c r="AJ37" s="242"/>
      <c r="AK37" s="242"/>
      <c r="AL37" s="242"/>
      <c r="AM37" s="242"/>
      <c r="AN37" s="242"/>
      <c r="AO37" s="242"/>
      <c r="AP37" s="242"/>
      <c r="AQ37" s="242"/>
      <c r="BB37" s="49" t="s">
        <v>572</v>
      </c>
      <c r="BC37" s="119">
        <f t="shared" si="6"/>
        <v>51.84783470168982</v>
      </c>
      <c r="BD37" s="120">
        <f t="shared" si="6"/>
        <v>3.1691706275668428</v>
      </c>
      <c r="BE37" s="120">
        <f t="shared" si="6"/>
        <v>8.9636765152118532</v>
      </c>
      <c r="BF37" s="120">
        <f t="shared" si="6"/>
        <v>5.973598913597864</v>
      </c>
    </row>
    <row r="38" spans="1:58" x14ac:dyDescent="0.15">
      <c r="A38" s="479" t="str">
        <f>CONCATENATE("Notes:  Earnings and Output values are millions of dollars in year ",C10, " dollars.  Construction and operating jobs are full-")</f>
        <v>Notes:  Earnings and Output values are millions of dollars in year 2020 dollars.  Construction and operating jobs are full-</v>
      </c>
      <c r="B38" s="410"/>
      <c r="C38" s="480"/>
      <c r="D38" s="480"/>
      <c r="E38" s="480"/>
      <c r="F38" s="459"/>
      <c r="G38" s="456"/>
      <c r="H38" s="242"/>
      <c r="I38" s="242"/>
      <c r="J38" s="242"/>
      <c r="K38" s="242"/>
      <c r="L38" s="242"/>
      <c r="M38" s="242"/>
      <c r="N38" s="242"/>
      <c r="O38" s="242"/>
      <c r="P38" s="242"/>
      <c r="Q38" s="242"/>
      <c r="R38" s="242"/>
      <c r="S38" s="242"/>
      <c r="T38" s="242"/>
      <c r="U38" s="242"/>
      <c r="V38" s="242"/>
      <c r="W38" s="242"/>
      <c r="X38" s="242"/>
      <c r="Y38" s="242"/>
      <c r="Z38" s="242"/>
      <c r="AA38" s="242"/>
      <c r="AB38" s="242"/>
      <c r="AC38" s="242"/>
      <c r="AD38" s="242"/>
      <c r="AE38" s="242"/>
      <c r="AF38" s="242"/>
      <c r="AG38" s="242"/>
      <c r="AH38" s="242"/>
      <c r="AI38" s="242"/>
      <c r="AJ38" s="242"/>
      <c r="AK38" s="242"/>
      <c r="AL38" s="242"/>
      <c r="AM38" s="242"/>
      <c r="AN38" s="242"/>
      <c r="AO38" s="242"/>
      <c r="AP38" s="242"/>
      <c r="AQ38" s="242"/>
      <c r="BB38" s="125" t="str">
        <f>CONCATENATE("Notes:  Earnings and Output values are millions of dollars in year ",BD10, " dollars.  Construction and operating jobs are full-")</f>
        <v>Notes:  Earnings and Output values are millions of dollars in year 2020 dollars.  Construction and operating jobs are full-</v>
      </c>
      <c r="BC38" s="103"/>
      <c r="BD38" s="120"/>
      <c r="BE38" s="120"/>
    </row>
    <row r="39" spans="1:58" x14ac:dyDescent="0.15">
      <c r="A39" s="481" t="s">
        <v>541</v>
      </c>
      <c r="B39" s="410"/>
      <c r="C39" s="480"/>
      <c r="D39" s="480"/>
      <c r="E39" s="480"/>
      <c r="F39" s="459"/>
      <c r="G39" s="456"/>
      <c r="H39" s="242"/>
      <c r="I39" s="242"/>
      <c r="J39" s="242"/>
      <c r="K39" s="242"/>
      <c r="L39" s="242"/>
      <c r="M39" s="242"/>
      <c r="N39" s="242"/>
      <c r="O39" s="242"/>
      <c r="P39" s="242"/>
      <c r="Q39" s="242"/>
      <c r="R39" s="242"/>
      <c r="S39" s="242"/>
      <c r="T39" s="242"/>
      <c r="U39" s="242"/>
      <c r="V39" s="242"/>
      <c r="W39" s="242"/>
      <c r="X39" s="242"/>
      <c r="Y39" s="242"/>
      <c r="Z39" s="242"/>
      <c r="AA39" s="242"/>
      <c r="AB39" s="242"/>
      <c r="AC39" s="242"/>
      <c r="AD39" s="242"/>
      <c r="AE39" s="460">
        <f>C8+C9</f>
        <v>1367.2673056840686</v>
      </c>
      <c r="AF39" s="242"/>
      <c r="AG39" s="242"/>
      <c r="AH39" s="242"/>
      <c r="AI39" s="242"/>
      <c r="AJ39" s="242"/>
      <c r="AK39" s="242"/>
      <c r="AL39" s="242"/>
      <c r="AM39" s="242"/>
      <c r="AN39" s="242"/>
      <c r="AO39" s="242"/>
      <c r="AP39" s="242"/>
      <c r="AQ39" s="242"/>
      <c r="BB39" s="126" t="s">
        <v>541</v>
      </c>
      <c r="BC39" s="103"/>
      <c r="BD39" s="120"/>
      <c r="BE39" s="120"/>
    </row>
    <row r="40" spans="1:58" x14ac:dyDescent="0.15">
      <c r="A40" s="481" t="s">
        <v>542</v>
      </c>
      <c r="B40" s="410"/>
      <c r="C40" s="480"/>
      <c r="D40" s="480"/>
      <c r="E40" s="480"/>
      <c r="F40" s="459"/>
      <c r="G40" s="456"/>
      <c r="H40" s="242"/>
      <c r="I40" s="242"/>
      <c r="J40" s="242"/>
      <c r="K40" s="242"/>
      <c r="L40" s="242"/>
      <c r="M40" s="242"/>
      <c r="N40" s="242"/>
      <c r="O40" s="242"/>
      <c r="P40" s="242"/>
      <c r="Q40" s="242"/>
      <c r="R40" s="242"/>
      <c r="S40" s="242"/>
      <c r="T40" s="242"/>
      <c r="U40" s="242"/>
      <c r="V40" s="242"/>
      <c r="W40" s="242"/>
      <c r="X40" s="242"/>
      <c r="Y40" s="242"/>
      <c r="Z40" s="242"/>
      <c r="AA40" s="242"/>
      <c r="AB40" s="242"/>
      <c r="AC40" s="242"/>
      <c r="AD40" s="242"/>
      <c r="AE40" s="460">
        <f>DefaultData!E46+DefaultData!F80</f>
        <v>1334.6133260191643</v>
      </c>
      <c r="AF40" s="242"/>
      <c r="AG40" s="242"/>
      <c r="AH40" s="242"/>
      <c r="AI40" s="242"/>
      <c r="AJ40" s="242"/>
      <c r="AK40" s="242"/>
      <c r="AL40" s="242"/>
      <c r="AM40" s="242"/>
      <c r="AN40" s="242"/>
      <c r="AO40" s="242"/>
      <c r="AP40" s="242"/>
      <c r="AQ40" s="242"/>
      <c r="BB40" s="126" t="s">
        <v>542</v>
      </c>
      <c r="BC40" s="103"/>
      <c r="BD40" s="120"/>
      <c r="BE40" s="120"/>
    </row>
    <row r="41" spans="1:58" x14ac:dyDescent="0.15">
      <c r="A41" s="479" t="s">
        <v>552</v>
      </c>
      <c r="B41" s="410"/>
      <c r="C41" s="480"/>
      <c r="D41" s="480"/>
      <c r="E41" s="480"/>
      <c r="F41" s="459"/>
      <c r="G41" s="456"/>
      <c r="H41" s="242"/>
      <c r="I41" s="242"/>
      <c r="J41" s="242"/>
      <c r="K41" s="242"/>
      <c r="L41" s="242"/>
      <c r="M41" s="242"/>
      <c r="N41" s="242"/>
      <c r="O41" s="242"/>
      <c r="P41" s="242"/>
      <c r="Q41" s="242"/>
      <c r="R41" s="242"/>
      <c r="S41" s="242"/>
      <c r="T41" s="242"/>
      <c r="U41" s="242"/>
      <c r="V41" s="242"/>
      <c r="W41" s="242"/>
      <c r="X41" s="242"/>
      <c r="Y41" s="242"/>
      <c r="Z41" s="242"/>
      <c r="AA41" s="242"/>
      <c r="AB41" s="242"/>
      <c r="AC41" s="242"/>
      <c r="AD41" s="242"/>
      <c r="AE41" s="242" t="str">
        <f>IF(AE39=AE40,"model default","User modifications to default")</f>
        <v>User modifications to default</v>
      </c>
      <c r="AF41" s="242"/>
      <c r="AG41" s="242"/>
      <c r="AH41" s="242"/>
      <c r="AI41" s="242"/>
      <c r="AJ41" s="242"/>
      <c r="AK41" s="242"/>
      <c r="AL41" s="242"/>
      <c r="AM41" s="242"/>
      <c r="AN41" s="242"/>
      <c r="AO41" s="242"/>
      <c r="AP41" s="242"/>
      <c r="AQ41" s="242"/>
      <c r="BB41" s="125" t="s">
        <v>553</v>
      </c>
      <c r="BC41" s="103"/>
      <c r="BD41" s="120"/>
      <c r="BE41" s="120"/>
    </row>
    <row r="42" spans="1:58" x14ac:dyDescent="0.15">
      <c r="A42" s="479" t="str">
        <f>CONCATENATE("Totals may not add up due to independent rounding.  Results are based on ",$AE$41, " values.")</f>
        <v>Totals may not add up due to independent rounding.  Results are based on User modifications to default values.</v>
      </c>
      <c r="B42" s="410"/>
      <c r="C42" s="480"/>
      <c r="D42" s="480"/>
      <c r="E42" s="480"/>
      <c r="F42" s="459"/>
      <c r="G42" s="456"/>
      <c r="H42" s="242"/>
      <c r="I42" s="242"/>
      <c r="J42" s="242"/>
      <c r="K42" s="242"/>
      <c r="L42" s="242"/>
      <c r="M42" s="242"/>
      <c r="N42" s="242"/>
      <c r="O42" s="242"/>
      <c r="P42" s="242"/>
      <c r="Q42" s="242"/>
      <c r="R42" s="242"/>
      <c r="S42" s="242"/>
      <c r="T42" s="242"/>
      <c r="U42" s="242"/>
      <c r="V42" s="242"/>
      <c r="W42" s="242"/>
      <c r="X42" s="242"/>
      <c r="Y42" s="242"/>
      <c r="Z42" s="242"/>
      <c r="AA42" s="242"/>
      <c r="AB42" s="242"/>
      <c r="AC42" s="242"/>
      <c r="AD42" s="242"/>
      <c r="AE42" s="242"/>
      <c r="AF42" s="242"/>
      <c r="AG42" s="242"/>
      <c r="AH42" s="242"/>
      <c r="AI42" s="242"/>
      <c r="AJ42" s="242"/>
      <c r="AK42" s="242"/>
      <c r="AL42" s="242"/>
      <c r="AM42" s="242"/>
      <c r="AN42" s="242"/>
      <c r="AO42" s="242"/>
      <c r="AP42" s="242"/>
      <c r="AQ42" s="242"/>
      <c r="BB42" s="125" t="str">
        <f>CONCATENATE("noted.  Totals may not add up due to independent rounding.  Results are based on ",$AE$41, " values.")</f>
        <v>noted.  Totals may not add up due to independent rounding.  Results are based on User modifications to default values.</v>
      </c>
      <c r="BC42" s="103"/>
      <c r="BD42" s="120"/>
      <c r="BE42" s="120"/>
    </row>
    <row r="43" spans="1:58" x14ac:dyDescent="0.15">
      <c r="A43" s="242"/>
      <c r="B43" s="242"/>
      <c r="C43" s="242"/>
      <c r="D43" s="242"/>
      <c r="E43" s="242"/>
      <c r="F43" s="242"/>
      <c r="G43" s="242"/>
      <c r="H43" s="242"/>
      <c r="I43" s="242"/>
      <c r="J43" s="242"/>
      <c r="K43" s="242"/>
      <c r="L43" s="242"/>
      <c r="M43" s="242"/>
      <c r="N43" s="242"/>
      <c r="O43" s="242"/>
      <c r="P43" s="242"/>
      <c r="Q43" s="242"/>
      <c r="R43" s="242"/>
      <c r="S43" s="242"/>
      <c r="T43" s="242"/>
      <c r="U43" s="242"/>
      <c r="V43" s="242"/>
      <c r="W43" s="242"/>
      <c r="X43" s="242"/>
      <c r="Y43" s="242"/>
      <c r="Z43" s="242"/>
      <c r="AA43" s="242"/>
      <c r="AB43" s="242"/>
      <c r="AC43" s="242"/>
      <c r="AD43" s="242"/>
      <c r="AE43" s="242"/>
      <c r="AF43" s="242"/>
      <c r="AG43" s="242"/>
      <c r="AH43" s="242"/>
      <c r="AI43" s="242"/>
      <c r="AJ43" s="242"/>
      <c r="AK43" s="242"/>
      <c r="AL43" s="242"/>
      <c r="AM43" s="242"/>
      <c r="AN43" s="242"/>
      <c r="AO43" s="242"/>
      <c r="AP43" s="242"/>
      <c r="AQ43" s="242"/>
    </row>
    <row r="44" spans="1:58" x14ac:dyDescent="0.15">
      <c r="A44" s="242"/>
      <c r="B44" s="242"/>
      <c r="C44" s="242"/>
      <c r="D44" s="242"/>
      <c r="E44" s="242"/>
      <c r="F44" s="242"/>
      <c r="G44" s="242"/>
      <c r="H44" s="242"/>
      <c r="I44" s="242"/>
      <c r="J44" s="242"/>
      <c r="K44" s="242"/>
      <c r="L44" s="242"/>
      <c r="M44" s="242"/>
      <c r="N44" s="242"/>
      <c r="O44" s="242"/>
      <c r="P44" s="242"/>
      <c r="Q44" s="242"/>
      <c r="R44" s="242"/>
      <c r="S44" s="242"/>
      <c r="T44" s="242"/>
      <c r="U44" s="242"/>
      <c r="V44" s="242"/>
      <c r="W44" s="242"/>
      <c r="X44" s="242"/>
      <c r="Y44" s="242"/>
      <c r="Z44" s="242"/>
      <c r="AA44" s="242"/>
      <c r="AB44" s="242"/>
      <c r="AC44" s="242"/>
      <c r="AD44" s="242"/>
      <c r="AE44" s="242"/>
      <c r="AF44" s="242"/>
      <c r="AG44" s="242"/>
      <c r="AH44" s="242"/>
      <c r="AI44" s="242"/>
      <c r="AJ44" s="242"/>
      <c r="AK44" s="242"/>
      <c r="AL44" s="242"/>
      <c r="AM44" s="242"/>
      <c r="AN44" s="242"/>
      <c r="AO44" s="242"/>
      <c r="AP44" s="242"/>
      <c r="AQ44" s="242"/>
    </row>
    <row r="45" spans="1:58" ht="26" customHeight="1" x14ac:dyDescent="0.2">
      <c r="A45" s="323" t="s">
        <v>435</v>
      </c>
      <c r="B45" s="324"/>
      <c r="C45" s="325" t="str">
        <f>Calculations!E1</f>
        <v>COLORADO</v>
      </c>
      <c r="D45" s="324"/>
      <c r="E45" s="324"/>
      <c r="F45" s="242"/>
      <c r="G45" s="242"/>
      <c r="H45" s="242"/>
      <c r="I45" s="242"/>
      <c r="J45" s="242"/>
      <c r="K45" s="242"/>
      <c r="L45" s="242"/>
      <c r="M45" s="242"/>
      <c r="N45" s="242"/>
      <c r="O45" s="242"/>
      <c r="P45" s="242"/>
      <c r="Q45" s="242"/>
      <c r="R45" s="242"/>
      <c r="S45" s="242"/>
      <c r="T45" s="242"/>
      <c r="U45" s="242"/>
      <c r="V45" s="242"/>
      <c r="W45" s="242"/>
      <c r="X45" s="242"/>
      <c r="Y45" s="242"/>
      <c r="Z45" s="242"/>
      <c r="AA45" s="242"/>
      <c r="AB45" s="242"/>
      <c r="AC45" s="242"/>
      <c r="AD45" s="242"/>
      <c r="AE45" s="242"/>
      <c r="AF45" s="242"/>
      <c r="AG45" s="242"/>
      <c r="AH45" s="242"/>
      <c r="AI45" s="242"/>
      <c r="AJ45" s="242"/>
      <c r="AK45" s="242"/>
      <c r="AL45" s="242"/>
      <c r="AM45" s="242"/>
      <c r="AN45" s="242"/>
      <c r="AO45" s="242"/>
      <c r="AP45" s="242"/>
      <c r="AQ45" s="242"/>
      <c r="BB45" s="128" t="s">
        <v>435</v>
      </c>
      <c r="BC45" s="87"/>
      <c r="BD45" s="103" t="str">
        <f>C45</f>
        <v>COLORADO</v>
      </c>
      <c r="BE45" s="87"/>
    </row>
    <row r="46" spans="1:58" x14ac:dyDescent="0.15">
      <c r="A46" s="348"/>
      <c r="B46" s="348"/>
      <c r="C46" s="348"/>
      <c r="D46" s="348"/>
      <c r="E46" s="348"/>
      <c r="F46" s="242"/>
      <c r="G46" s="242"/>
      <c r="H46" s="242"/>
      <c r="I46" s="242"/>
      <c r="J46" s="242"/>
      <c r="K46" s="242"/>
      <c r="L46" s="242"/>
      <c r="M46" s="242"/>
      <c r="N46" s="242"/>
      <c r="O46" s="242"/>
      <c r="P46" s="242"/>
      <c r="Q46" s="242"/>
      <c r="R46" s="242"/>
      <c r="S46" s="242"/>
      <c r="T46" s="242"/>
      <c r="U46" s="242"/>
      <c r="V46" s="242"/>
      <c r="W46" s="242"/>
      <c r="X46" s="242"/>
      <c r="Y46" s="242"/>
      <c r="Z46" s="242"/>
      <c r="AA46" s="242"/>
      <c r="AB46" s="242"/>
      <c r="AC46" s="242"/>
      <c r="AD46" s="242"/>
      <c r="AE46" s="242"/>
      <c r="AF46" s="242"/>
      <c r="AG46" s="242"/>
      <c r="AH46" s="242"/>
      <c r="AI46" s="242"/>
      <c r="AJ46" s="242"/>
      <c r="AK46" s="242"/>
      <c r="AL46" s="242"/>
      <c r="AM46" s="242"/>
      <c r="AN46" s="242"/>
      <c r="AO46" s="242"/>
      <c r="AP46" s="242"/>
      <c r="AQ46" s="242"/>
      <c r="BB46" s="87"/>
      <c r="BC46" s="87"/>
      <c r="BD46" s="87"/>
      <c r="BE46" s="87"/>
    </row>
    <row r="47" spans="1:58" ht="14" x14ac:dyDescent="0.15">
      <c r="A47" s="350" t="s">
        <v>17</v>
      </c>
      <c r="B47" s="348"/>
      <c r="C47" s="349" t="s">
        <v>133</v>
      </c>
      <c r="D47" s="379" t="s">
        <v>18</v>
      </c>
      <c r="E47" s="379"/>
      <c r="F47" s="242"/>
      <c r="G47" s="242"/>
      <c r="H47" s="242"/>
      <c r="I47" s="242"/>
      <c r="J47" s="242"/>
      <c r="K47" s="242"/>
      <c r="L47" s="242"/>
      <c r="M47" s="242"/>
      <c r="N47" s="242"/>
      <c r="O47" s="242"/>
      <c r="P47" s="242"/>
      <c r="Q47" s="242"/>
      <c r="R47" s="242"/>
      <c r="S47" s="242"/>
      <c r="T47" s="242"/>
      <c r="U47" s="242"/>
      <c r="V47" s="242"/>
      <c r="W47" s="242"/>
      <c r="X47" s="242"/>
      <c r="Y47" s="242"/>
      <c r="Z47" s="242"/>
      <c r="AA47" s="242"/>
      <c r="AB47" s="242"/>
      <c r="AC47" s="242"/>
      <c r="AD47" s="242"/>
      <c r="AE47" s="242"/>
      <c r="AF47" s="242"/>
      <c r="AG47" s="242"/>
      <c r="AH47" s="242"/>
      <c r="AI47" s="242"/>
      <c r="AJ47" s="242"/>
      <c r="AK47" s="242"/>
      <c r="AL47" s="242"/>
      <c r="AM47" s="242"/>
      <c r="AN47" s="242"/>
      <c r="AO47" s="242"/>
      <c r="AP47" s="242"/>
      <c r="AQ47" s="242"/>
      <c r="BB47" s="49" t="s">
        <v>275</v>
      </c>
      <c r="BC47" s="87"/>
      <c r="BD47" s="103" t="s">
        <v>133</v>
      </c>
      <c r="BE47" s="277" t="s">
        <v>18</v>
      </c>
    </row>
    <row r="48" spans="1:58" x14ac:dyDescent="0.15">
      <c r="A48" s="461" t="s">
        <v>456</v>
      </c>
      <c r="B48" s="242"/>
      <c r="C48" s="412"/>
      <c r="D48" s="462"/>
      <c r="E48" s="462"/>
      <c r="F48" s="242"/>
      <c r="G48" s="242"/>
      <c r="H48" s="242"/>
      <c r="I48" s="242"/>
      <c r="J48" s="242"/>
      <c r="K48" s="242"/>
      <c r="L48" s="242"/>
      <c r="M48" s="242"/>
      <c r="N48" s="242"/>
      <c r="O48" s="242"/>
      <c r="P48" s="242"/>
      <c r="Q48" s="242"/>
      <c r="R48" s="242"/>
      <c r="S48" s="242"/>
      <c r="T48" s="242"/>
      <c r="U48" s="242"/>
      <c r="V48" s="242"/>
      <c r="W48" s="242"/>
      <c r="X48" s="242"/>
      <c r="Y48" s="242"/>
      <c r="Z48" s="242"/>
      <c r="AA48" s="242"/>
      <c r="AB48" s="242"/>
      <c r="AC48" s="242"/>
      <c r="AD48" s="242"/>
      <c r="AE48" s="242"/>
      <c r="AF48" s="242"/>
      <c r="AG48" s="242"/>
      <c r="AH48" s="242"/>
      <c r="AI48" s="242"/>
      <c r="AJ48" s="242"/>
      <c r="AK48" s="242"/>
      <c r="AL48" s="242"/>
      <c r="AM48" s="242"/>
      <c r="AN48" s="242"/>
      <c r="AO48" s="242"/>
      <c r="AP48" s="242"/>
      <c r="AQ48" s="242"/>
      <c r="BB48" s="49" t="s">
        <v>19</v>
      </c>
      <c r="BC48" s="87"/>
      <c r="BD48" s="131"/>
      <c r="BE48" s="130"/>
    </row>
    <row r="49" spans="1:57" x14ac:dyDescent="0.15">
      <c r="A49" s="242" t="s">
        <v>14</v>
      </c>
      <c r="B49" s="242"/>
      <c r="C49" s="412">
        <f>Calculations!AC21</f>
        <v>180900000</v>
      </c>
      <c r="D49" s="462">
        <f>Calculations!AD21</f>
        <v>0</v>
      </c>
      <c r="E49" s="462"/>
      <c r="F49" s="242"/>
      <c r="G49" s="242"/>
      <c r="H49" s="242"/>
      <c r="I49" s="242"/>
      <c r="J49" s="242"/>
      <c r="K49" s="242"/>
      <c r="L49" s="242"/>
      <c r="M49" s="242"/>
      <c r="N49" s="242"/>
      <c r="O49" s="242"/>
      <c r="P49" s="242"/>
      <c r="Q49" s="242"/>
      <c r="R49" s="242"/>
      <c r="S49" s="242"/>
      <c r="T49" s="242"/>
      <c r="U49" s="242"/>
      <c r="V49" s="242"/>
      <c r="W49" s="242"/>
      <c r="X49" s="242"/>
      <c r="Y49" s="242"/>
      <c r="Z49" s="242"/>
      <c r="AA49" s="242"/>
      <c r="AB49" s="242"/>
      <c r="AC49" s="242"/>
      <c r="AD49" s="242"/>
      <c r="AE49" s="242"/>
      <c r="AF49" s="242"/>
      <c r="AG49" s="242"/>
      <c r="AH49" s="242"/>
      <c r="AI49" s="242"/>
      <c r="AJ49" s="242"/>
      <c r="AK49" s="242"/>
      <c r="AL49" s="242"/>
      <c r="AM49" s="242"/>
      <c r="AN49" s="242"/>
      <c r="AO49" s="242"/>
      <c r="AP49" s="242"/>
      <c r="AQ49" s="242"/>
      <c r="BB49" s="87" t="s">
        <v>14</v>
      </c>
      <c r="BC49" s="87"/>
      <c r="BD49" s="131">
        <f t="shared" ref="BD49:BE51" si="7">C49</f>
        <v>180900000</v>
      </c>
      <c r="BE49" s="130">
        <f t="shared" si="7"/>
        <v>0</v>
      </c>
    </row>
    <row r="50" spans="1:57" x14ac:dyDescent="0.15">
      <c r="A50" s="242" t="s">
        <v>237</v>
      </c>
      <c r="B50" s="242"/>
      <c r="C50" s="412">
        <f>Calculations!AC22</f>
        <v>56400000</v>
      </c>
      <c r="D50" s="462">
        <f>Calculations!AD22</f>
        <v>0</v>
      </c>
      <c r="E50" s="462"/>
      <c r="F50" s="242"/>
      <c r="G50" s="242"/>
      <c r="H50" s="242"/>
      <c r="I50" s="242"/>
      <c r="J50" s="242"/>
      <c r="K50" s="242"/>
      <c r="L50" s="242"/>
      <c r="M50" s="242"/>
      <c r="N50" s="242"/>
      <c r="O50" s="242"/>
      <c r="P50" s="242"/>
      <c r="Q50" s="242"/>
      <c r="R50" s="242"/>
      <c r="S50" s="242"/>
      <c r="T50" s="242"/>
      <c r="U50" s="242"/>
      <c r="V50" s="242"/>
      <c r="W50" s="242"/>
      <c r="X50" s="242"/>
      <c r="Y50" s="242"/>
      <c r="Z50" s="242"/>
      <c r="AA50" s="242"/>
      <c r="AB50" s="242"/>
      <c r="AC50" s="242"/>
      <c r="AD50" s="242"/>
      <c r="AE50" s="242"/>
      <c r="AF50" s="242"/>
      <c r="AG50" s="242"/>
      <c r="AH50" s="242"/>
      <c r="AI50" s="242"/>
      <c r="AJ50" s="242"/>
      <c r="AK50" s="242"/>
      <c r="AL50" s="242"/>
      <c r="AM50" s="242"/>
      <c r="AN50" s="242"/>
      <c r="AO50" s="242"/>
      <c r="AP50" s="242"/>
      <c r="AQ50" s="242"/>
      <c r="BB50" s="87" t="s">
        <v>237</v>
      </c>
      <c r="BC50" s="87"/>
      <c r="BD50" s="131">
        <f t="shared" si="7"/>
        <v>56400000</v>
      </c>
      <c r="BE50" s="130">
        <f t="shared" si="7"/>
        <v>0</v>
      </c>
    </row>
    <row r="51" spans="1:57" x14ac:dyDescent="0.15">
      <c r="A51" s="242" t="s">
        <v>15</v>
      </c>
      <c r="B51" s="242"/>
      <c r="C51" s="412">
        <f>Calculations!AC23</f>
        <v>65700000</v>
      </c>
      <c r="D51" s="462">
        <f>Calculations!AD23</f>
        <v>0</v>
      </c>
      <c r="E51" s="462"/>
      <c r="F51" s="242"/>
      <c r="G51" s="242"/>
      <c r="H51" s="242"/>
      <c r="I51" s="242"/>
      <c r="J51" s="242"/>
      <c r="K51" s="242"/>
      <c r="L51" s="242"/>
      <c r="M51" s="242"/>
      <c r="N51" s="242"/>
      <c r="O51" s="242"/>
      <c r="P51" s="242"/>
      <c r="Q51" s="242"/>
      <c r="R51" s="242"/>
      <c r="S51" s="242"/>
      <c r="T51" s="242"/>
      <c r="U51" s="242"/>
      <c r="V51" s="242"/>
      <c r="W51" s="242"/>
      <c r="X51" s="242"/>
      <c r="Y51" s="242"/>
      <c r="Z51" s="242"/>
      <c r="AA51" s="242"/>
      <c r="AB51" s="242"/>
      <c r="AC51" s="242"/>
      <c r="AD51" s="242"/>
      <c r="AE51" s="242"/>
      <c r="AF51" s="242"/>
      <c r="AG51" s="242"/>
      <c r="AH51" s="242"/>
      <c r="AI51" s="242"/>
      <c r="AJ51" s="242"/>
      <c r="AK51" s="242"/>
      <c r="AL51" s="242"/>
      <c r="AM51" s="242"/>
      <c r="AN51" s="242"/>
      <c r="AO51" s="242"/>
      <c r="AP51" s="242"/>
      <c r="AQ51" s="242"/>
      <c r="BB51" s="87" t="s">
        <v>15</v>
      </c>
      <c r="BC51" s="87"/>
      <c r="BD51" s="131">
        <f t="shared" si="7"/>
        <v>65700000</v>
      </c>
      <c r="BE51" s="130">
        <f t="shared" si="7"/>
        <v>0</v>
      </c>
    </row>
    <row r="52" spans="1:57" x14ac:dyDescent="0.15">
      <c r="A52" s="420" t="s">
        <v>445</v>
      </c>
      <c r="B52" s="242"/>
      <c r="C52" s="412">
        <f>Calculations!AC24</f>
        <v>31071692.333119016</v>
      </c>
      <c r="D52" s="462">
        <f>Calculations!AD24</f>
        <v>0</v>
      </c>
      <c r="E52" s="462"/>
      <c r="F52" s="242"/>
      <c r="G52" s="242"/>
      <c r="H52" s="242"/>
      <c r="I52" s="242"/>
      <c r="J52" s="242"/>
      <c r="K52" s="242"/>
      <c r="L52" s="242"/>
      <c r="M52" s="242"/>
      <c r="N52" s="242"/>
      <c r="O52" s="242"/>
      <c r="P52" s="242"/>
      <c r="Q52" s="242"/>
      <c r="R52" s="242"/>
      <c r="S52" s="242"/>
      <c r="T52" s="242"/>
      <c r="U52" s="242"/>
      <c r="V52" s="242"/>
      <c r="W52" s="242"/>
      <c r="X52" s="242"/>
      <c r="Y52" s="242"/>
      <c r="Z52" s="242"/>
      <c r="AA52" s="242"/>
      <c r="AB52" s="242"/>
      <c r="AC52" s="242"/>
      <c r="AD52" s="242"/>
      <c r="AE52" s="242"/>
      <c r="AF52" s="242"/>
      <c r="AG52" s="242"/>
      <c r="AH52" s="242"/>
      <c r="AI52" s="242"/>
      <c r="AJ52" s="242"/>
      <c r="AK52" s="242"/>
      <c r="AL52" s="242"/>
      <c r="AM52" s="242"/>
      <c r="AN52" s="242"/>
      <c r="AO52" s="242"/>
      <c r="AP52" s="242"/>
      <c r="AQ52" s="242"/>
      <c r="BB52" s="95" t="s">
        <v>445</v>
      </c>
      <c r="BC52" s="87"/>
      <c r="BD52" s="131">
        <f>C52</f>
        <v>31071692.333119016</v>
      </c>
      <c r="BE52" s="130">
        <f>D52</f>
        <v>0</v>
      </c>
    </row>
    <row r="53" spans="1:57" x14ac:dyDescent="0.15">
      <c r="A53" s="242" t="s">
        <v>468</v>
      </c>
      <c r="B53" s="242"/>
      <c r="C53" s="412">
        <f>Calculations!AC25</f>
        <v>334071692.33311903</v>
      </c>
      <c r="D53" s="462"/>
      <c r="E53" s="462"/>
      <c r="F53" s="242"/>
      <c r="G53" s="242"/>
      <c r="H53" s="242"/>
      <c r="I53" s="242"/>
      <c r="J53" s="242"/>
      <c r="K53" s="242"/>
      <c r="L53" s="242"/>
      <c r="M53" s="242"/>
      <c r="N53" s="242"/>
      <c r="O53" s="242"/>
      <c r="P53" s="242"/>
      <c r="Q53" s="242"/>
      <c r="R53" s="242"/>
      <c r="S53" s="242"/>
      <c r="T53" s="242"/>
      <c r="U53" s="242"/>
      <c r="V53" s="242"/>
      <c r="W53" s="242"/>
      <c r="X53" s="242"/>
      <c r="Y53" s="242"/>
      <c r="Z53" s="242"/>
      <c r="AA53" s="242"/>
      <c r="AB53" s="242"/>
      <c r="AC53" s="242"/>
      <c r="AD53" s="242"/>
      <c r="AE53" s="242"/>
      <c r="AF53" s="242"/>
      <c r="AG53" s="242"/>
      <c r="AH53" s="242"/>
      <c r="AI53" s="242"/>
      <c r="AJ53" s="242"/>
      <c r="AK53" s="242"/>
      <c r="AL53" s="242"/>
      <c r="AM53" s="242"/>
      <c r="AN53" s="242"/>
      <c r="AO53" s="242"/>
      <c r="AP53" s="242"/>
      <c r="AQ53" s="242"/>
      <c r="BB53" s="87" t="s">
        <v>243</v>
      </c>
      <c r="BC53" s="87"/>
      <c r="BD53" s="131">
        <f>C53</f>
        <v>334071692.33311903</v>
      </c>
      <c r="BE53" s="130"/>
    </row>
    <row r="54" spans="1:57" x14ac:dyDescent="0.15">
      <c r="A54" s="461" t="s">
        <v>453</v>
      </c>
      <c r="B54" s="242"/>
      <c r="C54" s="412"/>
      <c r="D54" s="462"/>
      <c r="E54" s="462"/>
      <c r="F54" s="242"/>
      <c r="G54" s="242"/>
      <c r="H54" s="242"/>
      <c r="I54" s="242"/>
      <c r="J54" s="242"/>
      <c r="K54" s="242"/>
      <c r="L54" s="242"/>
      <c r="M54" s="242"/>
      <c r="N54" s="242"/>
      <c r="O54" s="242"/>
      <c r="P54" s="242"/>
      <c r="Q54" s="242"/>
      <c r="R54" s="242"/>
      <c r="S54" s="242"/>
      <c r="T54" s="242"/>
      <c r="U54" s="242"/>
      <c r="V54" s="242"/>
      <c r="W54" s="242"/>
      <c r="X54" s="242"/>
      <c r="Y54" s="242"/>
      <c r="Z54" s="242"/>
      <c r="AA54" s="242"/>
      <c r="AB54" s="242"/>
      <c r="AC54" s="242"/>
      <c r="AD54" s="242"/>
      <c r="AE54" s="242"/>
      <c r="AF54" s="242"/>
      <c r="AG54" s="242"/>
      <c r="AH54" s="242"/>
      <c r="AI54" s="242"/>
      <c r="AJ54" s="242"/>
      <c r="AK54" s="242"/>
      <c r="AL54" s="242"/>
      <c r="AM54" s="242"/>
      <c r="AN54" s="242"/>
      <c r="AO54" s="242"/>
      <c r="AP54" s="242"/>
      <c r="AQ54" s="242"/>
      <c r="BB54" s="49" t="s">
        <v>453</v>
      </c>
      <c r="BC54" s="87"/>
      <c r="BD54" s="131"/>
      <c r="BE54" s="130"/>
    </row>
    <row r="55" spans="1:57" x14ac:dyDescent="0.15">
      <c r="A55" s="242" t="s">
        <v>2</v>
      </c>
      <c r="B55" s="242"/>
      <c r="C55" s="242"/>
      <c r="D55" s="462"/>
      <c r="E55" s="462"/>
      <c r="F55" s="242"/>
      <c r="G55" s="242"/>
      <c r="H55" s="242"/>
      <c r="I55" s="242"/>
      <c r="J55" s="242"/>
      <c r="K55" s="242"/>
      <c r="L55" s="242"/>
      <c r="M55" s="242"/>
      <c r="N55" s="242"/>
      <c r="O55" s="242"/>
      <c r="P55" s="242"/>
      <c r="Q55" s="242"/>
      <c r="R55" s="242"/>
      <c r="S55" s="242"/>
      <c r="T55" s="242"/>
      <c r="U55" s="242"/>
      <c r="V55" s="242"/>
      <c r="W55" s="242"/>
      <c r="X55" s="242"/>
      <c r="Y55" s="242"/>
      <c r="Z55" s="242"/>
      <c r="AA55" s="242"/>
      <c r="AB55" s="242"/>
      <c r="AC55" s="242"/>
      <c r="AD55" s="242"/>
      <c r="AE55" s="242"/>
      <c r="AF55" s="242"/>
      <c r="AG55" s="242"/>
      <c r="AH55" s="242"/>
      <c r="AI55" s="242"/>
      <c r="AJ55" s="242"/>
      <c r="AK55" s="242"/>
      <c r="AL55" s="242"/>
      <c r="AM55" s="242"/>
      <c r="AN55" s="242"/>
      <c r="AO55" s="242"/>
      <c r="AP55" s="242"/>
      <c r="AQ55" s="242"/>
      <c r="BB55" s="87" t="s">
        <v>2</v>
      </c>
      <c r="BC55" s="87"/>
      <c r="BD55" s="87"/>
      <c r="BE55" s="130"/>
    </row>
    <row r="56" spans="1:57" x14ac:dyDescent="0.15">
      <c r="A56" s="242" t="s">
        <v>3</v>
      </c>
      <c r="B56" s="242"/>
      <c r="C56" s="412">
        <f>Calculations!AC7</f>
        <v>18560959.539846696</v>
      </c>
      <c r="D56" s="462">
        <f>Calculations!AD7</f>
        <v>0.9</v>
      </c>
      <c r="E56" s="462"/>
      <c r="F56" s="242"/>
      <c r="G56" s="242"/>
      <c r="H56" s="242"/>
      <c r="I56" s="242"/>
      <c r="J56" s="242"/>
      <c r="K56" s="242"/>
      <c r="L56" s="242"/>
      <c r="M56" s="242"/>
      <c r="N56" s="242"/>
      <c r="O56" s="242"/>
      <c r="P56" s="242"/>
      <c r="Q56" s="242"/>
      <c r="R56" s="242"/>
      <c r="S56" s="242"/>
      <c r="T56" s="242"/>
      <c r="U56" s="242"/>
      <c r="V56" s="242"/>
      <c r="W56" s="242"/>
      <c r="X56" s="242"/>
      <c r="Y56" s="242"/>
      <c r="Z56" s="242"/>
      <c r="AA56" s="242"/>
      <c r="AB56" s="242"/>
      <c r="AC56" s="242"/>
      <c r="AD56" s="242"/>
      <c r="AE56" s="242"/>
      <c r="AF56" s="242"/>
      <c r="AG56" s="242"/>
      <c r="AH56" s="242"/>
      <c r="AI56" s="242"/>
      <c r="AJ56" s="242"/>
      <c r="AK56" s="242"/>
      <c r="AL56" s="242"/>
      <c r="AM56" s="242"/>
      <c r="AN56" s="242"/>
      <c r="AO56" s="242"/>
      <c r="AP56" s="242"/>
      <c r="AQ56" s="242"/>
      <c r="BB56" s="87" t="s">
        <v>3</v>
      </c>
      <c r="BC56" s="87"/>
      <c r="BD56" s="131">
        <f t="shared" ref="BD56:BE59" si="8">C56</f>
        <v>18560959.539846696</v>
      </c>
      <c r="BE56" s="130">
        <f t="shared" si="8"/>
        <v>0.9</v>
      </c>
    </row>
    <row r="57" spans="1:57" x14ac:dyDescent="0.15">
      <c r="A57" s="242" t="s">
        <v>4</v>
      </c>
      <c r="B57" s="242"/>
      <c r="C57" s="412">
        <f>Calculations!AC8</f>
        <v>0</v>
      </c>
      <c r="D57" s="462">
        <f>Calculations!AD8</f>
        <v>0</v>
      </c>
      <c r="E57" s="462"/>
      <c r="F57" s="242"/>
      <c r="G57" s="242"/>
      <c r="H57" s="242"/>
      <c r="I57" s="242"/>
      <c r="J57" s="242"/>
      <c r="K57" s="242"/>
      <c r="L57" s="242"/>
      <c r="M57" s="242"/>
      <c r="N57" s="242"/>
      <c r="O57" s="242"/>
      <c r="P57" s="242"/>
      <c r="Q57" s="242"/>
      <c r="R57" s="242"/>
      <c r="S57" s="242"/>
      <c r="T57" s="242"/>
      <c r="U57" s="242"/>
      <c r="V57" s="242"/>
      <c r="W57" s="242"/>
      <c r="X57" s="242"/>
      <c r="Y57" s="242"/>
      <c r="Z57" s="242"/>
      <c r="AA57" s="242"/>
      <c r="AB57" s="242"/>
      <c r="AC57" s="242"/>
      <c r="AD57" s="242"/>
      <c r="AE57" s="242"/>
      <c r="AF57" s="242"/>
      <c r="AG57" s="242"/>
      <c r="AH57" s="242"/>
      <c r="AI57" s="242"/>
      <c r="AJ57" s="242"/>
      <c r="AK57" s="242"/>
      <c r="AL57" s="242"/>
      <c r="AM57" s="242"/>
      <c r="AN57" s="242"/>
      <c r="AO57" s="242"/>
      <c r="AP57" s="242"/>
      <c r="AQ57" s="242"/>
      <c r="BB57" s="87" t="s">
        <v>4</v>
      </c>
      <c r="BC57" s="87"/>
      <c r="BD57" s="131">
        <f t="shared" si="8"/>
        <v>0</v>
      </c>
      <c r="BE57" s="130">
        <f t="shared" si="8"/>
        <v>0</v>
      </c>
    </row>
    <row r="58" spans="1:57" x14ac:dyDescent="0.15">
      <c r="A58" s="242" t="s">
        <v>5</v>
      </c>
      <c r="B58" s="242"/>
      <c r="C58" s="412">
        <f>Calculations!AC9</f>
        <v>5682993.109400183</v>
      </c>
      <c r="D58" s="462">
        <f>Calculations!AD9</f>
        <v>1</v>
      </c>
      <c r="E58" s="462"/>
      <c r="F58" s="242"/>
      <c r="G58" s="242"/>
      <c r="H58" s="242"/>
      <c r="I58" s="242"/>
      <c r="J58" s="242"/>
      <c r="K58" s="242"/>
      <c r="L58" s="242"/>
      <c r="M58" s="242"/>
      <c r="N58" s="242"/>
      <c r="O58" s="242"/>
      <c r="P58" s="242"/>
      <c r="Q58" s="242"/>
      <c r="R58" s="242"/>
      <c r="S58" s="242"/>
      <c r="T58" s="242"/>
      <c r="U58" s="242"/>
      <c r="V58" s="242"/>
      <c r="W58" s="242"/>
      <c r="X58" s="242"/>
      <c r="Y58" s="242"/>
      <c r="Z58" s="242"/>
      <c r="AA58" s="242"/>
      <c r="AB58" s="242"/>
      <c r="AC58" s="242"/>
      <c r="AD58" s="242"/>
      <c r="AE58" s="242"/>
      <c r="AF58" s="242"/>
      <c r="AG58" s="242"/>
      <c r="AH58" s="242"/>
      <c r="AI58" s="242"/>
      <c r="AJ58" s="242"/>
      <c r="AK58" s="242"/>
      <c r="AL58" s="242"/>
      <c r="AM58" s="242"/>
      <c r="AN58" s="242"/>
      <c r="AO58" s="242"/>
      <c r="AP58" s="242"/>
      <c r="AQ58" s="242"/>
      <c r="BB58" s="87" t="s">
        <v>5</v>
      </c>
      <c r="BC58" s="87"/>
      <c r="BD58" s="131">
        <f t="shared" si="8"/>
        <v>5682993.109400183</v>
      </c>
      <c r="BE58" s="130">
        <f t="shared" si="8"/>
        <v>1</v>
      </c>
    </row>
    <row r="59" spans="1:57" x14ac:dyDescent="0.15">
      <c r="A59" s="242" t="s">
        <v>6</v>
      </c>
      <c r="B59" s="242"/>
      <c r="C59" s="412">
        <f>Calculations!AC10</f>
        <v>1563881.1528987759</v>
      </c>
      <c r="D59" s="462">
        <f>Calculations!AD10</f>
        <v>0.7</v>
      </c>
      <c r="E59" s="462"/>
      <c r="F59" s="242"/>
      <c r="G59" s="242"/>
      <c r="H59" s="242"/>
      <c r="I59" s="242"/>
      <c r="J59" s="242"/>
      <c r="K59" s="242"/>
      <c r="L59" s="242"/>
      <c r="M59" s="242"/>
      <c r="N59" s="242"/>
      <c r="O59" s="242"/>
      <c r="P59" s="242"/>
      <c r="Q59" s="242"/>
      <c r="R59" s="242"/>
      <c r="S59" s="242"/>
      <c r="T59" s="242"/>
      <c r="U59" s="242"/>
      <c r="V59" s="242"/>
      <c r="W59" s="242"/>
      <c r="X59" s="242"/>
      <c r="Y59" s="242"/>
      <c r="Z59" s="242"/>
      <c r="AA59" s="242"/>
      <c r="AB59" s="242"/>
      <c r="AC59" s="242"/>
      <c r="AD59" s="242"/>
      <c r="AE59" s="242"/>
      <c r="AF59" s="242"/>
      <c r="AG59" s="242"/>
      <c r="AH59" s="242"/>
      <c r="AI59" s="242"/>
      <c r="AJ59" s="242"/>
      <c r="AK59" s="242"/>
      <c r="AL59" s="242"/>
      <c r="AM59" s="242"/>
      <c r="AN59" s="242"/>
      <c r="AO59" s="242"/>
      <c r="AP59" s="242"/>
      <c r="AQ59" s="242"/>
      <c r="BB59" s="87" t="s">
        <v>6</v>
      </c>
      <c r="BC59" s="87"/>
      <c r="BD59" s="131">
        <f t="shared" si="8"/>
        <v>1563881.1528987759</v>
      </c>
      <c r="BE59" s="130">
        <f t="shared" si="8"/>
        <v>0.7</v>
      </c>
    </row>
    <row r="60" spans="1:57" x14ac:dyDescent="0.15">
      <c r="A60" s="242" t="s">
        <v>241</v>
      </c>
      <c r="B60" s="242"/>
      <c r="C60" s="412">
        <f>Calculations!AC11</f>
        <v>25807833.802145656</v>
      </c>
      <c r="D60" s="462"/>
      <c r="E60" s="462"/>
      <c r="F60" s="242"/>
      <c r="G60" s="242"/>
      <c r="H60" s="242"/>
      <c r="I60" s="242"/>
      <c r="J60" s="242"/>
      <c r="K60" s="242"/>
      <c r="L60" s="242"/>
      <c r="M60" s="242"/>
      <c r="N60" s="242"/>
      <c r="O60" s="242"/>
      <c r="P60" s="242"/>
      <c r="Q60" s="242"/>
      <c r="R60" s="242"/>
      <c r="S60" s="242"/>
      <c r="T60" s="242"/>
      <c r="U60" s="242"/>
      <c r="V60" s="242"/>
      <c r="W60" s="242"/>
      <c r="X60" s="242"/>
      <c r="Y60" s="242"/>
      <c r="Z60" s="242"/>
      <c r="AA60" s="242"/>
      <c r="AB60" s="242"/>
      <c r="AC60" s="242"/>
      <c r="AD60" s="242"/>
      <c r="AE60" s="242"/>
      <c r="AF60" s="242"/>
      <c r="AG60" s="242"/>
      <c r="AH60" s="242"/>
      <c r="AI60" s="242"/>
      <c r="AJ60" s="242"/>
      <c r="AK60" s="242"/>
      <c r="AL60" s="242"/>
      <c r="AM60" s="242"/>
      <c r="AN60" s="242"/>
      <c r="AO60" s="242"/>
      <c r="AP60" s="242"/>
      <c r="AQ60" s="242"/>
      <c r="BB60" s="87" t="s">
        <v>241</v>
      </c>
      <c r="BC60" s="87"/>
      <c r="BD60" s="131">
        <f>C60</f>
        <v>25807833.802145656</v>
      </c>
      <c r="BE60" s="130"/>
    </row>
    <row r="61" spans="1:57" x14ac:dyDescent="0.15">
      <c r="A61" s="242" t="s">
        <v>8</v>
      </c>
      <c r="B61" s="242"/>
      <c r="C61" s="412"/>
      <c r="D61" s="462"/>
      <c r="E61" s="462"/>
      <c r="F61" s="242"/>
      <c r="G61" s="242"/>
      <c r="H61" s="242"/>
      <c r="I61" s="242"/>
      <c r="J61" s="242"/>
      <c r="K61" s="242"/>
      <c r="L61" s="242"/>
      <c r="M61" s="242"/>
      <c r="N61" s="242"/>
      <c r="O61" s="242"/>
      <c r="P61" s="242"/>
      <c r="Q61" s="242"/>
      <c r="R61" s="242"/>
      <c r="S61" s="242"/>
      <c r="T61" s="242"/>
      <c r="U61" s="242"/>
      <c r="V61" s="242"/>
      <c r="W61" s="242"/>
      <c r="X61" s="242"/>
      <c r="Y61" s="242"/>
      <c r="Z61" s="242"/>
      <c r="AA61" s="242"/>
      <c r="AB61" s="242"/>
      <c r="AC61" s="242"/>
      <c r="AD61" s="242"/>
      <c r="AE61" s="242"/>
      <c r="AF61" s="242"/>
      <c r="AG61" s="242"/>
      <c r="AH61" s="242"/>
      <c r="AI61" s="242"/>
      <c r="AJ61" s="242"/>
      <c r="AK61" s="242"/>
      <c r="AL61" s="242"/>
      <c r="AM61" s="242"/>
      <c r="AN61" s="242"/>
      <c r="AO61" s="242"/>
      <c r="AP61" s="242"/>
      <c r="AQ61" s="242"/>
      <c r="BB61" s="87" t="s">
        <v>8</v>
      </c>
      <c r="BC61" s="87"/>
      <c r="BD61" s="131"/>
      <c r="BE61" s="130"/>
    </row>
    <row r="62" spans="1:57" x14ac:dyDescent="0.15">
      <c r="A62" s="242" t="s">
        <v>9</v>
      </c>
      <c r="B62" s="242"/>
      <c r="C62" s="412">
        <f>Calculations!AC13</f>
        <v>4239947.7575955112</v>
      </c>
      <c r="D62" s="462">
        <f>Calculations!AD13</f>
        <v>0.95</v>
      </c>
      <c r="E62" s="462"/>
      <c r="F62" s="242"/>
      <c r="G62" s="242"/>
      <c r="H62" s="242"/>
      <c r="I62" s="242"/>
      <c r="J62" s="242"/>
      <c r="K62" s="242"/>
      <c r="L62" s="242"/>
      <c r="M62" s="242"/>
      <c r="N62" s="242"/>
      <c r="O62" s="242"/>
      <c r="P62" s="242"/>
      <c r="Q62" s="242"/>
      <c r="R62" s="242"/>
      <c r="S62" s="242"/>
      <c r="T62" s="242"/>
      <c r="U62" s="242"/>
      <c r="V62" s="242"/>
      <c r="W62" s="242"/>
      <c r="X62" s="242"/>
      <c r="Y62" s="242"/>
      <c r="Z62" s="242"/>
      <c r="AA62" s="242"/>
      <c r="AB62" s="242"/>
      <c r="AC62" s="242"/>
      <c r="AD62" s="242"/>
      <c r="AE62" s="242"/>
      <c r="AF62" s="242"/>
      <c r="AG62" s="242"/>
      <c r="AH62" s="242"/>
      <c r="AI62" s="242"/>
      <c r="AJ62" s="242"/>
      <c r="AK62" s="242"/>
      <c r="AL62" s="242"/>
      <c r="AM62" s="242"/>
      <c r="AN62" s="242"/>
      <c r="AO62" s="242"/>
      <c r="AP62" s="242"/>
      <c r="AQ62" s="242"/>
      <c r="BB62" s="87" t="s">
        <v>9</v>
      </c>
      <c r="BC62" s="87"/>
      <c r="BD62" s="131">
        <f t="shared" ref="BD62:BE65" si="9">C62</f>
        <v>4239947.7575955112</v>
      </c>
      <c r="BE62" s="130">
        <f t="shared" si="9"/>
        <v>0.95</v>
      </c>
    </row>
    <row r="63" spans="1:57" x14ac:dyDescent="0.15">
      <c r="A63" s="242" t="s">
        <v>10</v>
      </c>
      <c r="B63" s="242"/>
      <c r="C63" s="412">
        <f>Calculations!AC14</f>
        <v>7790047.9660859304</v>
      </c>
      <c r="D63" s="462">
        <f>Calculations!AD14</f>
        <v>0.75</v>
      </c>
      <c r="E63" s="462"/>
      <c r="F63" s="242"/>
      <c r="G63" s="242"/>
      <c r="H63" s="242"/>
      <c r="I63" s="242"/>
      <c r="J63" s="242"/>
      <c r="K63" s="242"/>
      <c r="L63" s="242"/>
      <c r="M63" s="242"/>
      <c r="N63" s="242"/>
      <c r="O63" s="242"/>
      <c r="P63" s="242"/>
      <c r="Q63" s="242"/>
      <c r="R63" s="242"/>
      <c r="S63" s="242"/>
      <c r="T63" s="242"/>
      <c r="U63" s="242"/>
      <c r="V63" s="242"/>
      <c r="W63" s="242"/>
      <c r="X63" s="242"/>
      <c r="Y63" s="242"/>
      <c r="Z63" s="242"/>
      <c r="AA63" s="242"/>
      <c r="AB63" s="242"/>
      <c r="AC63" s="242"/>
      <c r="AD63" s="242"/>
      <c r="AE63" s="242"/>
      <c r="AF63" s="242"/>
      <c r="AG63" s="242"/>
      <c r="AH63" s="242"/>
      <c r="AI63" s="242"/>
      <c r="AJ63" s="242"/>
      <c r="AK63" s="242"/>
      <c r="AL63" s="242"/>
      <c r="AM63" s="242"/>
      <c r="AN63" s="242"/>
      <c r="AO63" s="242"/>
      <c r="AP63" s="242"/>
      <c r="AQ63" s="242"/>
      <c r="BB63" s="87" t="s">
        <v>10</v>
      </c>
      <c r="BC63" s="87"/>
      <c r="BD63" s="131">
        <f t="shared" si="9"/>
        <v>7790047.9660859304</v>
      </c>
      <c r="BE63" s="130">
        <f t="shared" si="9"/>
        <v>0.75</v>
      </c>
    </row>
    <row r="64" spans="1:57" x14ac:dyDescent="0.15">
      <c r="A64" s="242" t="s">
        <v>11</v>
      </c>
      <c r="B64" s="242"/>
      <c r="C64" s="412">
        <f>Calculations!AC15</f>
        <v>1773965.3638829268</v>
      </c>
      <c r="D64" s="462">
        <f>Calculations!AD15</f>
        <v>0.7</v>
      </c>
      <c r="E64" s="462"/>
      <c r="F64" s="242"/>
      <c r="G64" s="242"/>
      <c r="H64" s="242"/>
      <c r="I64" s="242"/>
      <c r="J64" s="242"/>
      <c r="K64" s="242"/>
      <c r="L64" s="242"/>
      <c r="M64" s="242"/>
      <c r="N64" s="242"/>
      <c r="O64" s="242"/>
      <c r="P64" s="242"/>
      <c r="Q64" s="242"/>
      <c r="R64" s="242"/>
      <c r="S64" s="242"/>
      <c r="T64" s="242"/>
      <c r="U64" s="242"/>
      <c r="V64" s="242"/>
      <c r="W64" s="242"/>
      <c r="X64" s="242"/>
      <c r="Y64" s="242"/>
      <c r="Z64" s="242"/>
      <c r="AA64" s="242"/>
      <c r="AB64" s="242"/>
      <c r="AC64" s="242"/>
      <c r="AD64" s="242"/>
      <c r="AE64" s="242"/>
      <c r="AF64" s="242"/>
      <c r="AG64" s="242"/>
      <c r="AH64" s="242"/>
      <c r="AI64" s="242"/>
      <c r="AJ64" s="242"/>
      <c r="AK64" s="242"/>
      <c r="AL64" s="242"/>
      <c r="AM64" s="242"/>
      <c r="AN64" s="242"/>
      <c r="AO64" s="242"/>
      <c r="AP64" s="242"/>
      <c r="AQ64" s="242"/>
      <c r="BB64" s="87" t="s">
        <v>11</v>
      </c>
      <c r="BC64" s="87"/>
      <c r="BD64" s="131">
        <f t="shared" si="9"/>
        <v>1773965.3638829268</v>
      </c>
      <c r="BE64" s="130">
        <f t="shared" si="9"/>
        <v>0.7</v>
      </c>
    </row>
    <row r="65" spans="1:57" x14ac:dyDescent="0.15">
      <c r="A65" s="242" t="s">
        <v>12</v>
      </c>
      <c r="B65" s="242"/>
      <c r="C65" s="412">
        <f>Calculations!AC16</f>
        <v>2047903.0070803107</v>
      </c>
      <c r="D65" s="462">
        <f>Calculations!AD16</f>
        <v>0</v>
      </c>
      <c r="E65" s="462"/>
      <c r="F65" s="242"/>
      <c r="G65" s="242"/>
      <c r="H65" s="242"/>
      <c r="I65" s="242"/>
      <c r="J65" s="242"/>
      <c r="K65" s="242"/>
      <c r="L65" s="242"/>
      <c r="M65" s="242"/>
      <c r="N65" s="242"/>
      <c r="O65" s="242"/>
      <c r="P65" s="242"/>
      <c r="Q65" s="242"/>
      <c r="R65" s="242"/>
      <c r="S65" s="242"/>
      <c r="T65" s="242"/>
      <c r="U65" s="242"/>
      <c r="V65" s="242"/>
      <c r="W65" s="242"/>
      <c r="X65" s="242"/>
      <c r="Y65" s="242"/>
      <c r="Z65" s="242"/>
      <c r="AA65" s="242"/>
      <c r="AB65" s="242"/>
      <c r="AC65" s="242"/>
      <c r="AD65" s="242"/>
      <c r="AE65" s="242"/>
      <c r="AF65" s="242"/>
      <c r="AG65" s="242"/>
      <c r="AH65" s="242"/>
      <c r="AI65" s="242"/>
      <c r="AJ65" s="242"/>
      <c r="AK65" s="242"/>
      <c r="AL65" s="242"/>
      <c r="AM65" s="242"/>
      <c r="AN65" s="242"/>
      <c r="AO65" s="242"/>
      <c r="AP65" s="242"/>
      <c r="AQ65" s="242"/>
      <c r="BB65" s="87" t="s">
        <v>12</v>
      </c>
      <c r="BC65" s="87"/>
      <c r="BD65" s="131">
        <f t="shared" si="9"/>
        <v>2047903.0070803107</v>
      </c>
      <c r="BE65" s="130">
        <f t="shared" si="9"/>
        <v>0</v>
      </c>
    </row>
    <row r="66" spans="1:57" x14ac:dyDescent="0.15">
      <c r="A66" s="242" t="s">
        <v>525</v>
      </c>
      <c r="B66" s="242"/>
      <c r="C66" s="412">
        <f>Calculations!AC17</f>
        <v>1295776.8240952727</v>
      </c>
      <c r="D66" s="462">
        <f>Calculations!AD17</f>
        <v>0.5</v>
      </c>
      <c r="E66" s="462"/>
      <c r="F66" s="242"/>
      <c r="G66" s="242"/>
      <c r="H66" s="242"/>
      <c r="I66" s="242"/>
      <c r="J66" s="242"/>
      <c r="K66" s="242"/>
      <c r="L66" s="242"/>
      <c r="M66" s="242"/>
      <c r="N66" s="242"/>
      <c r="O66" s="242"/>
      <c r="P66" s="242"/>
      <c r="Q66" s="242"/>
      <c r="R66" s="242"/>
      <c r="S66" s="242"/>
      <c r="T66" s="242"/>
      <c r="U66" s="242"/>
      <c r="V66" s="242"/>
      <c r="W66" s="242"/>
      <c r="X66" s="242"/>
      <c r="Y66" s="242"/>
      <c r="Z66" s="242"/>
      <c r="AA66" s="242"/>
      <c r="AB66" s="242"/>
      <c r="AC66" s="242"/>
      <c r="AD66" s="242"/>
      <c r="AE66" s="242"/>
      <c r="AF66" s="242"/>
      <c r="AG66" s="242"/>
      <c r="AH66" s="242"/>
      <c r="AI66" s="242"/>
      <c r="AJ66" s="242"/>
      <c r="AK66" s="242"/>
      <c r="AL66" s="242"/>
      <c r="AM66" s="242"/>
      <c r="AN66" s="242"/>
      <c r="AO66" s="242"/>
      <c r="AP66" s="242"/>
      <c r="AQ66" s="242"/>
      <c r="BB66" s="87" t="s">
        <v>525</v>
      </c>
      <c r="BC66" s="87"/>
      <c r="BD66" s="131">
        <f>C66</f>
        <v>1295776.8240952727</v>
      </c>
      <c r="BE66" s="130">
        <f>D66</f>
        <v>0.5</v>
      </c>
    </row>
    <row r="67" spans="1:57" x14ac:dyDescent="0.15">
      <c r="A67" s="242" t="s">
        <v>242</v>
      </c>
      <c r="B67" s="242"/>
      <c r="C67" s="412">
        <f>Calculations!AC18</f>
        <v>17147640.918739952</v>
      </c>
      <c r="D67" s="462"/>
      <c r="E67" s="462"/>
      <c r="F67" s="242"/>
      <c r="G67" s="242"/>
      <c r="H67" s="242"/>
      <c r="I67" s="242"/>
      <c r="J67" s="242"/>
      <c r="K67" s="242"/>
      <c r="L67" s="242"/>
      <c r="M67" s="242"/>
      <c r="N67" s="242"/>
      <c r="O67" s="242"/>
      <c r="P67" s="242"/>
      <c r="Q67" s="242"/>
      <c r="R67" s="242"/>
      <c r="S67" s="242"/>
      <c r="T67" s="242"/>
      <c r="U67" s="242"/>
      <c r="V67" s="242"/>
      <c r="W67" s="242"/>
      <c r="X67" s="242"/>
      <c r="Y67" s="242"/>
      <c r="Z67" s="242"/>
      <c r="AA67" s="242"/>
      <c r="AB67" s="242"/>
      <c r="AC67" s="242"/>
      <c r="AD67" s="242"/>
      <c r="AE67" s="242"/>
      <c r="AF67" s="242"/>
      <c r="AG67" s="242"/>
      <c r="AH67" s="242"/>
      <c r="AI67" s="242"/>
      <c r="AJ67" s="242"/>
      <c r="AK67" s="242"/>
      <c r="AL67" s="242"/>
      <c r="AM67" s="242"/>
      <c r="AN67" s="242"/>
      <c r="AO67" s="242"/>
      <c r="AP67" s="242"/>
      <c r="AQ67" s="242"/>
      <c r="BB67" s="87" t="s">
        <v>242</v>
      </c>
      <c r="BC67" s="87"/>
      <c r="BD67" s="131">
        <f>C67</f>
        <v>17147640.918739952</v>
      </c>
      <c r="BE67" s="130"/>
    </row>
    <row r="68" spans="1:57" x14ac:dyDescent="0.15">
      <c r="A68" s="440" t="s">
        <v>460</v>
      </c>
      <c r="B68" s="242"/>
      <c r="C68" s="412"/>
      <c r="D68" s="462"/>
      <c r="E68" s="462"/>
      <c r="F68" s="242"/>
      <c r="G68" s="242"/>
      <c r="H68" s="242"/>
      <c r="I68" s="242"/>
      <c r="J68" s="242"/>
      <c r="K68" s="242"/>
      <c r="L68" s="242"/>
      <c r="M68" s="242"/>
      <c r="N68" s="242"/>
      <c r="O68" s="242"/>
      <c r="P68" s="242"/>
      <c r="Q68" s="242"/>
      <c r="R68" s="242"/>
      <c r="S68" s="242"/>
      <c r="T68" s="242"/>
      <c r="U68" s="242"/>
      <c r="V68" s="242"/>
      <c r="W68" s="242"/>
      <c r="X68" s="242"/>
      <c r="Y68" s="242"/>
      <c r="Z68" s="242"/>
      <c r="AA68" s="242"/>
      <c r="AB68" s="242"/>
      <c r="AC68" s="242"/>
      <c r="AD68" s="242"/>
      <c r="AE68" s="242"/>
      <c r="AF68" s="242"/>
      <c r="AG68" s="242"/>
      <c r="AH68" s="242"/>
      <c r="AI68" s="242"/>
      <c r="AJ68" s="242"/>
      <c r="AK68" s="242"/>
      <c r="AL68" s="242"/>
      <c r="AM68" s="242"/>
      <c r="AN68" s="242"/>
      <c r="AO68" s="242"/>
      <c r="AP68" s="242"/>
      <c r="AQ68" s="242"/>
      <c r="BB68" s="49" t="s">
        <v>454</v>
      </c>
      <c r="BC68" s="87"/>
      <c r="BD68" s="131"/>
      <c r="BE68" s="130"/>
    </row>
    <row r="69" spans="1:57" x14ac:dyDescent="0.15">
      <c r="A69" s="242" t="s">
        <v>461</v>
      </c>
      <c r="B69" s="242"/>
      <c r="C69" s="412"/>
      <c r="D69" s="462"/>
      <c r="E69" s="462"/>
      <c r="F69" s="242"/>
      <c r="G69" s="242"/>
      <c r="H69" s="242"/>
      <c r="I69" s="242"/>
      <c r="J69" s="242"/>
      <c r="K69" s="242"/>
      <c r="L69" s="242"/>
      <c r="M69" s="242"/>
      <c r="N69" s="242"/>
      <c r="O69" s="242"/>
      <c r="P69" s="242"/>
      <c r="Q69" s="242"/>
      <c r="R69" s="242"/>
      <c r="S69" s="242"/>
      <c r="T69" s="242"/>
      <c r="U69" s="242"/>
      <c r="V69" s="242"/>
      <c r="W69" s="242"/>
      <c r="X69" s="242"/>
      <c r="Y69" s="242"/>
      <c r="Z69" s="242"/>
      <c r="AA69" s="242"/>
      <c r="AB69" s="242"/>
      <c r="AC69" s="242"/>
      <c r="AD69" s="242"/>
      <c r="AE69" s="242"/>
      <c r="AF69" s="242"/>
      <c r="AG69" s="242"/>
      <c r="AH69" s="242"/>
      <c r="AI69" s="242"/>
      <c r="AJ69" s="242"/>
      <c r="AK69" s="242"/>
      <c r="AL69" s="242"/>
      <c r="AM69" s="242"/>
      <c r="AN69" s="242"/>
      <c r="AO69" s="242"/>
      <c r="AP69" s="242"/>
      <c r="AQ69" s="242"/>
      <c r="BB69" s="87" t="s">
        <v>21</v>
      </c>
      <c r="BC69" s="87"/>
      <c r="BD69" s="131"/>
      <c r="BE69" s="130"/>
    </row>
    <row r="70" spans="1:57" x14ac:dyDescent="0.15">
      <c r="A70" s="420" t="s">
        <v>538</v>
      </c>
      <c r="B70" s="242"/>
      <c r="C70" s="412">
        <f>Calculations!AC28</f>
        <v>4638518.6636323333</v>
      </c>
      <c r="D70" s="462">
        <f>Calculations!AD28</f>
        <v>0.9</v>
      </c>
      <c r="E70" s="462"/>
      <c r="F70" s="242"/>
      <c r="G70" s="242"/>
      <c r="H70" s="242"/>
      <c r="I70" s="242"/>
      <c r="J70" s="242"/>
      <c r="K70" s="242"/>
      <c r="L70" s="242"/>
      <c r="M70" s="242"/>
      <c r="N70" s="242"/>
      <c r="O70" s="242"/>
      <c r="P70" s="242"/>
      <c r="Q70" s="242"/>
      <c r="R70" s="242"/>
      <c r="S70" s="242"/>
      <c r="T70" s="242"/>
      <c r="U70" s="242"/>
      <c r="V70" s="242"/>
      <c r="W70" s="242"/>
      <c r="X70" s="242"/>
      <c r="Y70" s="242"/>
      <c r="Z70" s="242"/>
      <c r="AA70" s="242"/>
      <c r="AB70" s="242"/>
      <c r="AC70" s="242"/>
      <c r="AD70" s="242"/>
      <c r="AE70" s="242"/>
      <c r="AF70" s="242"/>
      <c r="AG70" s="242"/>
      <c r="AH70" s="242"/>
      <c r="AI70" s="242"/>
      <c r="AJ70" s="242"/>
      <c r="AK70" s="242"/>
      <c r="AL70" s="242"/>
      <c r="AM70" s="242"/>
      <c r="AN70" s="242"/>
      <c r="AO70" s="242"/>
      <c r="AP70" s="242"/>
      <c r="AQ70" s="242"/>
      <c r="BB70" s="95" t="s">
        <v>538</v>
      </c>
      <c r="BC70" s="87"/>
      <c r="BD70" s="131">
        <f>C70</f>
        <v>4638518.6636323333</v>
      </c>
      <c r="BE70" s="130">
        <f>D70</f>
        <v>0.9</v>
      </c>
    </row>
    <row r="71" spans="1:57" x14ac:dyDescent="0.15">
      <c r="A71" s="420" t="s">
        <v>539</v>
      </c>
      <c r="B71" s="242"/>
      <c r="C71" s="412">
        <f>Calculations!AC29</f>
        <v>1987936.5701281431</v>
      </c>
      <c r="D71" s="462">
        <f>Calculations!AD29</f>
        <v>0.1</v>
      </c>
      <c r="E71" s="462"/>
      <c r="F71" s="242"/>
      <c r="G71" s="242"/>
      <c r="H71" s="242"/>
      <c r="I71" s="242"/>
      <c r="J71" s="242"/>
      <c r="K71" s="242"/>
      <c r="L71" s="242"/>
      <c r="M71" s="242"/>
      <c r="N71" s="242"/>
      <c r="O71" s="242"/>
      <c r="P71" s="242"/>
      <c r="Q71" s="242"/>
      <c r="R71" s="242"/>
      <c r="S71" s="242"/>
      <c r="T71" s="242"/>
      <c r="U71" s="242"/>
      <c r="V71" s="242"/>
      <c r="W71" s="242"/>
      <c r="X71" s="242"/>
      <c r="Y71" s="242"/>
      <c r="Z71" s="242"/>
      <c r="AA71" s="242"/>
      <c r="AB71" s="242"/>
      <c r="AC71" s="242"/>
      <c r="AD71" s="242"/>
      <c r="AE71" s="242"/>
      <c r="AF71" s="242"/>
      <c r="AG71" s="242"/>
      <c r="AH71" s="242"/>
      <c r="AI71" s="242"/>
      <c r="AJ71" s="242"/>
      <c r="AK71" s="242"/>
      <c r="AL71" s="242"/>
      <c r="AM71" s="242"/>
      <c r="AN71" s="242"/>
      <c r="AO71" s="242"/>
      <c r="AP71" s="242"/>
      <c r="AQ71" s="242"/>
      <c r="BB71" s="95" t="s">
        <v>539</v>
      </c>
      <c r="BC71" s="87"/>
      <c r="BD71" s="131">
        <f>C71</f>
        <v>1987936.5701281431</v>
      </c>
      <c r="BE71" s="130">
        <f>D71</f>
        <v>0.1</v>
      </c>
    </row>
    <row r="72" spans="1:57" x14ac:dyDescent="0.15">
      <c r="A72" s="242" t="s">
        <v>462</v>
      </c>
      <c r="B72" s="242"/>
      <c r="C72" s="412">
        <f>Calculations!AC30</f>
        <v>2376670</v>
      </c>
      <c r="D72" s="462">
        <f>Calculations!AD30</f>
        <v>0</v>
      </c>
      <c r="E72" s="462"/>
      <c r="F72" s="242"/>
      <c r="G72" s="242"/>
      <c r="H72" s="242"/>
      <c r="I72" s="242"/>
      <c r="J72" s="242"/>
      <c r="K72" s="242"/>
      <c r="L72" s="242"/>
      <c r="M72" s="242"/>
      <c r="N72" s="242"/>
      <c r="O72" s="242"/>
      <c r="P72" s="242"/>
      <c r="Q72" s="242"/>
      <c r="R72" s="242"/>
      <c r="S72" s="242"/>
      <c r="T72" s="242"/>
      <c r="U72" s="242"/>
      <c r="V72" s="242"/>
      <c r="W72" s="242"/>
      <c r="X72" s="242"/>
      <c r="Y72" s="242"/>
      <c r="Z72" s="242"/>
      <c r="AA72" s="242"/>
      <c r="AB72" s="242"/>
      <c r="AC72" s="242"/>
      <c r="AD72" s="242"/>
      <c r="AE72" s="242"/>
      <c r="AF72" s="242"/>
      <c r="AG72" s="242"/>
      <c r="AH72" s="242"/>
      <c r="AI72" s="242"/>
      <c r="AJ72" s="242"/>
      <c r="AK72" s="242"/>
      <c r="AL72" s="242"/>
      <c r="AM72" s="242"/>
      <c r="AN72" s="242"/>
      <c r="AO72" s="242"/>
      <c r="AP72" s="242"/>
      <c r="AQ72" s="242"/>
      <c r="BB72" s="87" t="s">
        <v>307</v>
      </c>
      <c r="BC72" s="87"/>
      <c r="BD72" s="131">
        <f t="shared" ref="BB72:BD79" si="10">C72</f>
        <v>2376670</v>
      </c>
      <c r="BE72" s="130">
        <f>D72</f>
        <v>0</v>
      </c>
    </row>
    <row r="73" spans="1:57" x14ac:dyDescent="0.15">
      <c r="A73" s="242" t="s">
        <v>463</v>
      </c>
      <c r="B73" s="242"/>
      <c r="C73" s="412">
        <f>Calculations!AC31</f>
        <v>716475.87847002619</v>
      </c>
      <c r="D73" s="462">
        <f>Calculations!AD31</f>
        <v>1</v>
      </c>
      <c r="E73" s="462"/>
      <c r="F73" s="242"/>
      <c r="G73" s="242"/>
      <c r="H73" s="242"/>
      <c r="I73" s="242"/>
      <c r="J73" s="242"/>
      <c r="K73" s="242"/>
      <c r="L73" s="242"/>
      <c r="M73" s="242"/>
      <c r="N73" s="242"/>
      <c r="O73" s="242"/>
      <c r="P73" s="242"/>
      <c r="Q73" s="242"/>
      <c r="R73" s="242"/>
      <c r="S73" s="242"/>
      <c r="T73" s="242"/>
      <c r="U73" s="242"/>
      <c r="V73" s="242"/>
      <c r="W73" s="242"/>
      <c r="X73" s="242"/>
      <c r="Y73" s="242"/>
      <c r="Z73" s="242"/>
      <c r="AA73" s="242"/>
      <c r="AB73" s="242"/>
      <c r="AC73" s="242"/>
      <c r="AD73" s="242"/>
      <c r="AE73" s="242"/>
      <c r="AF73" s="242"/>
      <c r="AG73" s="242"/>
      <c r="AH73" s="242"/>
      <c r="AI73" s="242"/>
      <c r="AJ73" s="242"/>
      <c r="AK73" s="242"/>
      <c r="AL73" s="242"/>
      <c r="AM73" s="242"/>
      <c r="AN73" s="242"/>
      <c r="AO73" s="242"/>
      <c r="AP73" s="242"/>
      <c r="AQ73" s="242"/>
      <c r="BB73" s="87" t="s">
        <v>308</v>
      </c>
      <c r="BC73" s="87"/>
      <c r="BD73" s="131">
        <f t="shared" si="10"/>
        <v>716475.87847002619</v>
      </c>
      <c r="BE73" s="130">
        <f>D73</f>
        <v>1</v>
      </c>
    </row>
    <row r="74" spans="1:57" x14ac:dyDescent="0.15">
      <c r="A74" s="242" t="s">
        <v>464</v>
      </c>
      <c r="B74" s="242"/>
      <c r="C74" s="412">
        <f>Calculations!AC32</f>
        <v>0</v>
      </c>
      <c r="D74" s="462">
        <f>Calculations!AD32</f>
        <v>1</v>
      </c>
      <c r="E74" s="462"/>
      <c r="F74" s="242"/>
      <c r="G74" s="242"/>
      <c r="H74" s="242"/>
      <c r="I74" s="242"/>
      <c r="J74" s="242"/>
      <c r="K74" s="242"/>
      <c r="L74" s="242"/>
      <c r="M74" s="242"/>
      <c r="N74" s="242"/>
      <c r="O74" s="242"/>
      <c r="P74" s="242"/>
      <c r="Q74" s="242"/>
      <c r="R74" s="242"/>
      <c r="S74" s="242"/>
      <c r="T74" s="242"/>
      <c r="U74" s="242"/>
      <c r="V74" s="242"/>
      <c r="W74" s="242"/>
      <c r="X74" s="242"/>
      <c r="Y74" s="242"/>
      <c r="Z74" s="242"/>
      <c r="AA74" s="242"/>
      <c r="AB74" s="242"/>
      <c r="AC74" s="242"/>
      <c r="AD74" s="242"/>
      <c r="AE74" s="242"/>
      <c r="AF74" s="242"/>
      <c r="AG74" s="242"/>
      <c r="AH74" s="242"/>
      <c r="AI74" s="242"/>
      <c r="AJ74" s="242"/>
      <c r="AK74" s="242"/>
      <c r="AL74" s="242"/>
      <c r="AM74" s="242"/>
      <c r="AN74" s="242"/>
      <c r="AO74" s="242"/>
      <c r="AP74" s="242"/>
      <c r="AQ74" s="242"/>
      <c r="BB74" s="87" t="s">
        <v>22</v>
      </c>
      <c r="BC74" s="87"/>
      <c r="BD74" s="131">
        <f t="shared" si="10"/>
        <v>0</v>
      </c>
      <c r="BE74" s="130">
        <f>D74</f>
        <v>1</v>
      </c>
    </row>
    <row r="75" spans="1:57" x14ac:dyDescent="0.15">
      <c r="A75" s="242" t="s">
        <v>469</v>
      </c>
      <c r="B75" s="242"/>
      <c r="C75" s="412">
        <f>Calculations!AC33</f>
        <v>437229.63951422449</v>
      </c>
      <c r="D75" s="462">
        <f>Calculations!AD33</f>
        <v>1</v>
      </c>
      <c r="E75" s="462"/>
      <c r="F75" s="242"/>
      <c r="G75" s="242"/>
      <c r="H75" s="242"/>
      <c r="I75" s="242"/>
      <c r="J75" s="242"/>
      <c r="K75" s="242"/>
      <c r="L75" s="242"/>
      <c r="M75" s="242"/>
      <c r="N75" s="242"/>
      <c r="O75" s="242"/>
      <c r="P75" s="242"/>
      <c r="Q75" s="242"/>
      <c r="R75" s="242"/>
      <c r="S75" s="242"/>
      <c r="T75" s="242"/>
      <c r="U75" s="242"/>
      <c r="V75" s="242"/>
      <c r="W75" s="242"/>
      <c r="X75" s="242"/>
      <c r="Y75" s="242"/>
      <c r="Z75" s="242"/>
      <c r="AA75" s="242"/>
      <c r="AB75" s="242"/>
      <c r="AC75" s="242"/>
      <c r="AD75" s="242"/>
      <c r="AE75" s="242"/>
      <c r="AF75" s="242"/>
      <c r="AG75" s="242"/>
      <c r="AH75" s="242"/>
      <c r="AI75" s="242"/>
      <c r="AJ75" s="242"/>
      <c r="AK75" s="242"/>
      <c r="AL75" s="242"/>
      <c r="AM75" s="242"/>
      <c r="AN75" s="242"/>
      <c r="AO75" s="242"/>
      <c r="AP75" s="242"/>
      <c r="AQ75" s="242"/>
      <c r="BB75" s="87" t="s">
        <v>23</v>
      </c>
      <c r="BC75" s="87"/>
      <c r="BD75" s="131">
        <f t="shared" si="10"/>
        <v>437229.63951422449</v>
      </c>
      <c r="BE75" s="130">
        <f>D75</f>
        <v>1</v>
      </c>
    </row>
    <row r="76" spans="1:57" x14ac:dyDescent="0.15">
      <c r="A76" s="242" t="s">
        <v>470</v>
      </c>
      <c r="B76" s="242"/>
      <c r="C76" s="412">
        <f>Calculations!AC34</f>
        <v>10156830.751744727</v>
      </c>
      <c r="D76" s="462"/>
      <c r="E76" s="462"/>
      <c r="F76" s="242"/>
      <c r="G76" s="242"/>
      <c r="H76" s="242"/>
      <c r="I76" s="242"/>
      <c r="J76" s="242"/>
      <c r="K76" s="242"/>
      <c r="L76" s="242"/>
      <c r="M76" s="242"/>
      <c r="N76" s="242"/>
      <c r="O76" s="242"/>
      <c r="P76" s="242"/>
      <c r="Q76" s="242"/>
      <c r="R76" s="242"/>
      <c r="S76" s="242"/>
      <c r="T76" s="242"/>
      <c r="U76" s="242"/>
      <c r="V76" s="242"/>
      <c r="W76" s="242"/>
      <c r="X76" s="242"/>
      <c r="Y76" s="242"/>
      <c r="Z76" s="242"/>
      <c r="AA76" s="242"/>
      <c r="AB76" s="242"/>
      <c r="AC76" s="242"/>
      <c r="AD76" s="242"/>
      <c r="AE76" s="242"/>
      <c r="AF76" s="242"/>
      <c r="AG76" s="242"/>
      <c r="AH76" s="242"/>
      <c r="AI76" s="242"/>
      <c r="AJ76" s="242"/>
      <c r="AK76" s="242"/>
      <c r="AL76" s="242"/>
      <c r="AM76" s="242"/>
      <c r="AN76" s="242"/>
      <c r="AO76" s="242"/>
      <c r="AP76" s="242"/>
      <c r="AQ76" s="242"/>
      <c r="BB76" s="87" t="s">
        <v>244</v>
      </c>
      <c r="BC76" s="87"/>
      <c r="BD76" s="131">
        <f t="shared" si="10"/>
        <v>10156830.751744727</v>
      </c>
      <c r="BE76" s="130"/>
    </row>
    <row r="77" spans="1:57" x14ac:dyDescent="0.15">
      <c r="A77" s="242" t="s">
        <v>471</v>
      </c>
      <c r="B77" s="242"/>
      <c r="C77" s="412">
        <f>C76+C67+C60</f>
        <v>53112305.472630337</v>
      </c>
      <c r="D77" s="462"/>
      <c r="E77" s="462"/>
      <c r="F77" s="242"/>
      <c r="G77" s="242"/>
      <c r="H77" s="242"/>
      <c r="I77" s="242"/>
      <c r="J77" s="242"/>
      <c r="K77" s="242"/>
      <c r="L77" s="242"/>
      <c r="M77" s="242"/>
      <c r="N77" s="242"/>
      <c r="O77" s="242"/>
      <c r="P77" s="242"/>
      <c r="Q77" s="242"/>
      <c r="R77" s="242"/>
      <c r="S77" s="242"/>
      <c r="T77" s="242"/>
      <c r="U77" s="242"/>
      <c r="V77" s="242"/>
      <c r="W77" s="242"/>
      <c r="X77" s="242"/>
      <c r="Y77" s="242"/>
      <c r="Z77" s="242"/>
      <c r="AA77" s="242"/>
      <c r="AB77" s="242"/>
      <c r="AC77" s="242"/>
      <c r="AD77" s="242"/>
      <c r="AE77" s="242"/>
      <c r="AF77" s="242"/>
      <c r="AG77" s="242"/>
      <c r="AH77" s="242"/>
      <c r="AI77" s="242"/>
      <c r="AJ77" s="242"/>
      <c r="AK77" s="242"/>
      <c r="AL77" s="242"/>
      <c r="AM77" s="242"/>
      <c r="AN77" s="242"/>
      <c r="AO77" s="242"/>
      <c r="AP77" s="242"/>
      <c r="AQ77" s="242"/>
      <c r="BB77" s="87" t="s">
        <v>471</v>
      </c>
      <c r="BC77" s="87"/>
      <c r="BD77" s="131">
        <f t="shared" si="10"/>
        <v>53112305.472630337</v>
      </c>
      <c r="BE77" s="130"/>
    </row>
    <row r="78" spans="1:57" x14ac:dyDescent="0.15">
      <c r="A78" s="463" t="s">
        <v>575</v>
      </c>
      <c r="B78" s="242"/>
      <c r="C78" s="412">
        <f>Calculations!AC36</f>
        <v>9535427.1802622247</v>
      </c>
      <c r="D78" s="462">
        <f>Calculations!AD36</f>
        <v>1</v>
      </c>
      <c r="E78" s="462"/>
      <c r="F78" s="242"/>
      <c r="G78" s="242"/>
      <c r="H78" s="242"/>
      <c r="I78" s="242"/>
      <c r="J78" s="242"/>
      <c r="K78" s="242"/>
      <c r="L78" s="242"/>
      <c r="M78" s="242"/>
      <c r="N78" s="242"/>
      <c r="O78" s="242"/>
      <c r="P78" s="242"/>
      <c r="Q78" s="242"/>
      <c r="R78" s="242"/>
      <c r="S78" s="242"/>
      <c r="T78" s="242"/>
      <c r="U78" s="242"/>
      <c r="V78" s="242"/>
      <c r="W78" s="242"/>
      <c r="X78" s="242"/>
      <c r="Y78" s="242"/>
      <c r="Z78" s="242"/>
      <c r="AA78" s="242"/>
      <c r="AB78" s="242"/>
      <c r="AC78" s="242"/>
      <c r="AD78" s="242"/>
      <c r="AE78" s="242"/>
      <c r="AF78" s="242"/>
      <c r="AG78" s="242"/>
      <c r="AH78" s="242"/>
      <c r="AI78" s="242"/>
      <c r="AJ78" s="242"/>
      <c r="AK78" s="242"/>
      <c r="AL78" s="242"/>
      <c r="AM78" s="242"/>
      <c r="AN78" s="242"/>
      <c r="AO78" s="242"/>
      <c r="AP78" s="242"/>
      <c r="AQ78" s="242"/>
      <c r="BB78" s="131" t="str">
        <f t="shared" si="10"/>
        <v>Sales Tax (Materials &amp; Equipment Purchases)</v>
      </c>
      <c r="BC78" s="87"/>
      <c r="BD78" s="131">
        <f t="shared" si="10"/>
        <v>9535427.1802622247</v>
      </c>
      <c r="BE78" s="130">
        <f>D78</f>
        <v>1</v>
      </c>
    </row>
    <row r="79" spans="1:57" x14ac:dyDescent="0.15">
      <c r="A79" s="461" t="s">
        <v>276</v>
      </c>
      <c r="B79" s="242"/>
      <c r="C79" s="464">
        <f>Calculations!AC37</f>
        <v>396719424.98601162</v>
      </c>
      <c r="D79" s="462"/>
      <c r="E79" s="462"/>
      <c r="F79" s="242"/>
      <c r="G79" s="242"/>
      <c r="H79" s="242"/>
      <c r="I79" s="242"/>
      <c r="J79" s="242"/>
      <c r="K79" s="242"/>
      <c r="L79" s="242"/>
      <c r="M79" s="242"/>
      <c r="N79" s="242"/>
      <c r="O79" s="242"/>
      <c r="P79" s="242"/>
      <c r="Q79" s="242"/>
      <c r="R79" s="242"/>
      <c r="S79" s="242"/>
      <c r="T79" s="242"/>
      <c r="U79" s="242"/>
      <c r="V79" s="242"/>
      <c r="W79" s="242"/>
      <c r="X79" s="242"/>
      <c r="Y79" s="242"/>
      <c r="Z79" s="242"/>
      <c r="AA79" s="242"/>
      <c r="AB79" s="242"/>
      <c r="AC79" s="242"/>
      <c r="AD79" s="242"/>
      <c r="AE79" s="242"/>
      <c r="AF79" s="242"/>
      <c r="AG79" s="242"/>
      <c r="AH79" s="242"/>
      <c r="AI79" s="242"/>
      <c r="AJ79" s="242"/>
      <c r="AK79" s="242"/>
      <c r="AL79" s="242"/>
      <c r="AM79" s="242"/>
      <c r="AN79" s="242"/>
      <c r="AO79" s="242"/>
      <c r="AP79" s="242"/>
      <c r="AQ79" s="242"/>
      <c r="BB79" s="49" t="s">
        <v>276</v>
      </c>
      <c r="BC79" s="87"/>
      <c r="BD79" s="131">
        <f t="shared" si="10"/>
        <v>396719424.98601162</v>
      </c>
      <c r="BE79" s="130"/>
    </row>
    <row r="80" spans="1:57" x14ac:dyDescent="0.15">
      <c r="A80" s="242"/>
      <c r="B80" s="242"/>
      <c r="C80" s="412"/>
      <c r="D80" s="462"/>
      <c r="E80" s="462"/>
      <c r="F80" s="242"/>
      <c r="G80" s="242"/>
      <c r="H80" s="242"/>
      <c r="I80" s="242"/>
      <c r="J80" s="242"/>
      <c r="K80" s="242"/>
      <c r="L80" s="242"/>
      <c r="M80" s="242"/>
      <c r="N80" s="242"/>
      <c r="O80" s="242"/>
      <c r="P80" s="242"/>
      <c r="Q80" s="242"/>
      <c r="R80" s="242"/>
      <c r="S80" s="242"/>
      <c r="T80" s="242"/>
      <c r="U80" s="242"/>
      <c r="V80" s="242"/>
      <c r="W80" s="242"/>
      <c r="X80" s="242"/>
      <c r="Y80" s="242"/>
      <c r="Z80" s="242"/>
      <c r="AA80" s="242"/>
      <c r="AB80" s="242"/>
      <c r="AC80" s="242"/>
      <c r="AD80" s="242"/>
      <c r="AE80" s="242"/>
      <c r="AF80" s="242"/>
      <c r="AG80" s="242"/>
      <c r="AH80" s="242"/>
      <c r="AI80" s="242"/>
      <c r="AJ80" s="242"/>
      <c r="AK80" s="242"/>
      <c r="AL80" s="242"/>
      <c r="AM80" s="242"/>
      <c r="AN80" s="242"/>
      <c r="AO80" s="242"/>
      <c r="AP80" s="242"/>
      <c r="AQ80" s="242"/>
      <c r="BB80" s="87"/>
      <c r="BC80" s="87"/>
      <c r="BD80" s="131"/>
      <c r="BE80" s="130"/>
    </row>
    <row r="81" spans="1:57" ht="14" x14ac:dyDescent="0.15">
      <c r="A81" s="350" t="s">
        <v>166</v>
      </c>
      <c r="B81" s="348"/>
      <c r="C81" s="352"/>
      <c r="D81" s="380"/>
      <c r="E81" s="380"/>
      <c r="F81" s="242"/>
      <c r="G81" s="242"/>
      <c r="H81" s="242"/>
      <c r="I81" s="242"/>
      <c r="J81" s="242"/>
      <c r="K81" s="242"/>
      <c r="L81" s="242"/>
      <c r="M81" s="242"/>
      <c r="N81" s="242"/>
      <c r="O81" s="242"/>
      <c r="P81" s="242"/>
      <c r="Q81" s="242"/>
      <c r="R81" s="242"/>
      <c r="S81" s="242"/>
      <c r="T81" s="242"/>
      <c r="U81" s="242"/>
      <c r="V81" s="242"/>
      <c r="W81" s="242"/>
      <c r="X81" s="242"/>
      <c r="Y81" s="242"/>
      <c r="Z81" s="242"/>
      <c r="AA81" s="242"/>
      <c r="AB81" s="242"/>
      <c r="AC81" s="242"/>
      <c r="AD81" s="242"/>
      <c r="AE81" s="242"/>
      <c r="AF81" s="242"/>
      <c r="AG81" s="242"/>
      <c r="AH81" s="242"/>
      <c r="AI81" s="242"/>
      <c r="AJ81" s="242"/>
      <c r="AK81" s="242"/>
      <c r="AL81" s="242"/>
      <c r="AM81" s="242"/>
      <c r="AN81" s="242"/>
      <c r="AO81" s="242"/>
      <c r="AP81" s="242"/>
      <c r="AQ81" s="242"/>
      <c r="BB81" s="65" t="s">
        <v>437</v>
      </c>
      <c r="BC81" s="87"/>
      <c r="BD81" s="131"/>
      <c r="BE81" s="130"/>
    </row>
    <row r="82" spans="1:57" x14ac:dyDescent="0.15">
      <c r="A82" s="348"/>
      <c r="B82" s="348"/>
      <c r="C82" s="381" t="s">
        <v>133</v>
      </c>
      <c r="D82" s="379" t="s">
        <v>18</v>
      </c>
      <c r="E82" s="379"/>
      <c r="F82" s="242"/>
      <c r="G82" s="242"/>
      <c r="H82" s="242"/>
      <c r="I82" s="242"/>
      <c r="J82" s="242"/>
      <c r="K82" s="242"/>
      <c r="L82" s="242"/>
      <c r="M82" s="242"/>
      <c r="N82" s="242"/>
      <c r="O82" s="242"/>
      <c r="P82" s="242"/>
      <c r="Q82" s="242"/>
      <c r="R82" s="242"/>
      <c r="S82" s="242"/>
      <c r="T82" s="242"/>
      <c r="U82" s="242"/>
      <c r="V82" s="242"/>
      <c r="W82" s="242"/>
      <c r="X82" s="242"/>
      <c r="Y82" s="242"/>
      <c r="Z82" s="242"/>
      <c r="AA82" s="242"/>
      <c r="AB82" s="242"/>
      <c r="AC82" s="242"/>
      <c r="AD82" s="242"/>
      <c r="AE82" s="242"/>
      <c r="AF82" s="242"/>
      <c r="AG82" s="242"/>
      <c r="AH82" s="242"/>
      <c r="AI82" s="242"/>
      <c r="AJ82" s="242"/>
      <c r="AK82" s="242"/>
      <c r="AL82" s="242"/>
      <c r="AM82" s="242"/>
      <c r="AN82" s="242"/>
      <c r="AO82" s="242"/>
      <c r="AP82" s="242"/>
      <c r="AQ82" s="242"/>
      <c r="BB82" s="87"/>
      <c r="BC82" s="87"/>
      <c r="BD82" s="132" t="s">
        <v>133</v>
      </c>
      <c r="BE82" s="129" t="s">
        <v>18</v>
      </c>
    </row>
    <row r="83" spans="1:57" ht="14" x14ac:dyDescent="0.15">
      <c r="A83" s="413" t="s">
        <v>466</v>
      </c>
      <c r="B83" s="242"/>
      <c r="C83" s="465"/>
      <c r="D83" s="466"/>
      <c r="E83" s="466"/>
      <c r="F83" s="242"/>
      <c r="G83" s="242"/>
      <c r="H83" s="242"/>
      <c r="I83" s="242"/>
      <c r="J83" s="242"/>
      <c r="K83" s="242"/>
      <c r="L83" s="242"/>
      <c r="M83" s="242"/>
      <c r="N83" s="242"/>
      <c r="O83" s="242"/>
      <c r="P83" s="242"/>
      <c r="Q83" s="242"/>
      <c r="R83" s="242"/>
      <c r="S83" s="242"/>
      <c r="T83" s="242"/>
      <c r="U83" s="242"/>
      <c r="V83" s="242"/>
      <c r="W83" s="242"/>
      <c r="X83" s="242"/>
      <c r="Y83" s="242"/>
      <c r="Z83" s="242"/>
      <c r="AA83" s="242"/>
      <c r="AB83" s="242"/>
      <c r="AC83" s="242"/>
      <c r="AD83" s="242"/>
      <c r="AE83" s="242"/>
      <c r="AF83" s="242"/>
      <c r="AG83" s="242"/>
      <c r="AH83" s="242"/>
      <c r="AI83" s="242"/>
      <c r="AJ83" s="242"/>
      <c r="AK83" s="242"/>
      <c r="AL83" s="242"/>
      <c r="AM83" s="242"/>
      <c r="AN83" s="242"/>
      <c r="AO83" s="242"/>
      <c r="AP83" s="242"/>
      <c r="AQ83" s="242"/>
      <c r="BB83" s="65" t="s">
        <v>458</v>
      </c>
      <c r="BC83" s="87"/>
      <c r="BD83" s="132"/>
      <c r="BE83" s="129"/>
    </row>
    <row r="84" spans="1:57" x14ac:dyDescent="0.15">
      <c r="A84" s="461" t="s">
        <v>167</v>
      </c>
      <c r="B84" s="242"/>
      <c r="C84" s="412"/>
      <c r="D84" s="462"/>
      <c r="E84" s="462"/>
      <c r="F84" s="242"/>
      <c r="G84" s="242"/>
      <c r="H84" s="242"/>
      <c r="I84" s="242"/>
      <c r="J84" s="242"/>
      <c r="K84" s="242"/>
      <c r="L84" s="242"/>
      <c r="M84" s="242"/>
      <c r="N84" s="242"/>
      <c r="O84" s="242"/>
      <c r="P84" s="242"/>
      <c r="Q84" s="242"/>
      <c r="R84" s="242"/>
      <c r="S84" s="242"/>
      <c r="T84" s="242"/>
      <c r="U84" s="242"/>
      <c r="V84" s="242"/>
      <c r="W84" s="242"/>
      <c r="X84" s="242"/>
      <c r="Y84" s="242"/>
      <c r="Z84" s="242"/>
      <c r="AA84" s="242"/>
      <c r="AB84" s="242"/>
      <c r="AC84" s="242"/>
      <c r="AD84" s="242"/>
      <c r="AE84" s="242"/>
      <c r="AF84" s="242"/>
      <c r="AG84" s="242"/>
      <c r="AH84" s="242"/>
      <c r="AI84" s="242"/>
      <c r="AJ84" s="242"/>
      <c r="AK84" s="242"/>
      <c r="AL84" s="242"/>
      <c r="AM84" s="242"/>
      <c r="AN84" s="242"/>
      <c r="AO84" s="242"/>
      <c r="AP84" s="242"/>
      <c r="AQ84" s="242"/>
      <c r="BB84" s="49" t="s">
        <v>167</v>
      </c>
      <c r="BC84" s="87"/>
      <c r="BD84" s="131"/>
      <c r="BE84" s="130"/>
    </row>
    <row r="85" spans="1:57" x14ac:dyDescent="0.15">
      <c r="A85" s="242" t="s">
        <v>168</v>
      </c>
      <c r="B85" s="242"/>
      <c r="C85" s="412">
        <f>Calculations!AC43</f>
        <v>654949.51326797565</v>
      </c>
      <c r="D85" s="462">
        <f>Calculations!AD43</f>
        <v>1</v>
      </c>
      <c r="E85" s="462"/>
      <c r="F85" s="242"/>
      <c r="G85" s="242"/>
      <c r="H85" s="242"/>
      <c r="I85" s="242"/>
      <c r="J85" s="242"/>
      <c r="K85" s="242"/>
      <c r="L85" s="242"/>
      <c r="M85" s="242"/>
      <c r="N85" s="242"/>
      <c r="O85" s="242"/>
      <c r="P85" s="242"/>
      <c r="Q85" s="242"/>
      <c r="R85" s="242"/>
      <c r="S85" s="242"/>
      <c r="T85" s="242"/>
      <c r="U85" s="242"/>
      <c r="V85" s="242"/>
      <c r="W85" s="242"/>
      <c r="X85" s="242"/>
      <c r="Y85" s="242"/>
      <c r="Z85" s="242"/>
      <c r="AA85" s="242"/>
      <c r="AB85" s="242"/>
      <c r="AC85" s="242"/>
      <c r="AD85" s="242"/>
      <c r="AE85" s="242"/>
      <c r="AF85" s="242"/>
      <c r="AG85" s="242"/>
      <c r="AH85" s="242"/>
      <c r="AI85" s="242"/>
      <c r="AJ85" s="242"/>
      <c r="AK85" s="242"/>
      <c r="AL85" s="242"/>
      <c r="AM85" s="242"/>
      <c r="AN85" s="242"/>
      <c r="AO85" s="242"/>
      <c r="AP85" s="242"/>
      <c r="AQ85" s="242"/>
      <c r="BB85" s="87" t="s">
        <v>168</v>
      </c>
      <c r="BC85" s="87"/>
      <c r="BD85" s="131">
        <f t="shared" ref="BD85:BD107" si="11">C85</f>
        <v>654949.51326797565</v>
      </c>
      <c r="BE85" s="130">
        <f t="shared" ref="BE85:BE106" si="12">D85</f>
        <v>1</v>
      </c>
    </row>
    <row r="86" spans="1:57" x14ac:dyDescent="0.15">
      <c r="A86" s="242" t="s">
        <v>409</v>
      </c>
      <c r="B86" s="242"/>
      <c r="C86" s="412">
        <f>Calculations!AC44</f>
        <v>82097.395480421284</v>
      </c>
      <c r="D86" s="462">
        <f>Calculations!AD44</f>
        <v>1</v>
      </c>
      <c r="E86" s="462"/>
      <c r="F86" s="242"/>
      <c r="G86" s="242"/>
      <c r="H86" s="242"/>
      <c r="I86" s="242"/>
      <c r="J86" s="242"/>
      <c r="K86" s="242"/>
      <c r="L86" s="242"/>
      <c r="M86" s="242"/>
      <c r="N86" s="242"/>
      <c r="O86" s="242"/>
      <c r="P86" s="242"/>
      <c r="Q86" s="242"/>
      <c r="R86" s="242"/>
      <c r="S86" s="242"/>
      <c r="T86" s="242"/>
      <c r="U86" s="242"/>
      <c r="V86" s="242"/>
      <c r="W86" s="242"/>
      <c r="X86" s="242"/>
      <c r="Y86" s="242"/>
      <c r="Z86" s="242"/>
      <c r="AA86" s="242"/>
      <c r="AB86" s="242"/>
      <c r="AC86" s="242"/>
      <c r="AD86" s="242"/>
      <c r="AE86" s="242"/>
      <c r="AF86" s="242"/>
      <c r="AG86" s="242"/>
      <c r="AH86" s="242"/>
      <c r="AI86" s="242"/>
      <c r="AJ86" s="242"/>
      <c r="AK86" s="242"/>
      <c r="AL86" s="242"/>
      <c r="AM86" s="242"/>
      <c r="AN86" s="242"/>
      <c r="AO86" s="242"/>
      <c r="AP86" s="242"/>
      <c r="AQ86" s="242"/>
      <c r="BB86" s="87" t="s">
        <v>409</v>
      </c>
      <c r="BC86" s="87"/>
      <c r="BD86" s="131">
        <f t="shared" si="11"/>
        <v>82097.395480421284</v>
      </c>
      <c r="BE86" s="130">
        <f t="shared" si="12"/>
        <v>1</v>
      </c>
    </row>
    <row r="87" spans="1:57" x14ac:dyDescent="0.15">
      <c r="A87" s="242" t="s">
        <v>410</v>
      </c>
      <c r="B87" s="242"/>
      <c r="C87" s="412">
        <f>Calculations!AC45</f>
        <v>106994.11327050562</v>
      </c>
      <c r="D87" s="462">
        <f>Calculations!AD45</f>
        <v>1</v>
      </c>
      <c r="E87" s="462"/>
      <c r="F87" s="242"/>
      <c r="G87" s="242"/>
      <c r="H87" s="242"/>
      <c r="I87" s="242"/>
      <c r="J87" s="242"/>
      <c r="K87" s="242"/>
      <c r="L87" s="242"/>
      <c r="M87" s="242"/>
      <c r="N87" s="242"/>
      <c r="O87" s="242"/>
      <c r="P87" s="242"/>
      <c r="Q87" s="242"/>
      <c r="R87" s="242"/>
      <c r="S87" s="242"/>
      <c r="T87" s="242"/>
      <c r="U87" s="242"/>
      <c r="V87" s="242"/>
      <c r="W87" s="242"/>
      <c r="X87" s="242"/>
      <c r="Y87" s="242"/>
      <c r="Z87" s="242"/>
      <c r="AA87" s="242"/>
      <c r="AB87" s="242"/>
      <c r="AC87" s="242"/>
      <c r="AD87" s="242"/>
      <c r="AE87" s="242"/>
      <c r="AF87" s="242"/>
      <c r="AG87" s="242"/>
      <c r="AH87" s="242"/>
      <c r="AI87" s="242"/>
      <c r="AJ87" s="242"/>
      <c r="AK87" s="242"/>
      <c r="AL87" s="242"/>
      <c r="AM87" s="242"/>
      <c r="AN87" s="242"/>
      <c r="AO87" s="242"/>
      <c r="AP87" s="242"/>
      <c r="AQ87" s="242"/>
      <c r="BB87" s="87" t="s">
        <v>410</v>
      </c>
      <c r="BC87" s="87"/>
      <c r="BD87" s="131">
        <f t="shared" si="11"/>
        <v>106994.11327050562</v>
      </c>
      <c r="BE87" s="130">
        <f t="shared" si="12"/>
        <v>1</v>
      </c>
    </row>
    <row r="88" spans="1:57" x14ac:dyDescent="0.15">
      <c r="A88" s="242" t="s">
        <v>497</v>
      </c>
      <c r="B88" s="242"/>
      <c r="C88" s="412">
        <f>Calculations!AC46</f>
        <v>844041.02201890259</v>
      </c>
      <c r="D88" s="462"/>
      <c r="E88" s="462"/>
      <c r="F88" s="242"/>
      <c r="G88" s="242"/>
      <c r="H88" s="242"/>
      <c r="I88" s="242"/>
      <c r="J88" s="242"/>
      <c r="K88" s="242"/>
      <c r="L88" s="242"/>
      <c r="M88" s="242"/>
      <c r="N88" s="242"/>
      <c r="O88" s="242"/>
      <c r="P88" s="242"/>
      <c r="Q88" s="242"/>
      <c r="R88" s="242"/>
      <c r="S88" s="242"/>
      <c r="T88" s="242"/>
      <c r="U88" s="242"/>
      <c r="V88" s="242"/>
      <c r="W88" s="242"/>
      <c r="X88" s="242"/>
      <c r="Y88" s="242"/>
      <c r="Z88" s="242"/>
      <c r="AA88" s="242"/>
      <c r="AB88" s="242"/>
      <c r="AC88" s="242"/>
      <c r="AD88" s="242"/>
      <c r="AE88" s="242"/>
      <c r="AF88" s="242"/>
      <c r="AG88" s="242"/>
      <c r="AH88" s="242"/>
      <c r="AI88" s="242"/>
      <c r="AJ88" s="242"/>
      <c r="AK88" s="242"/>
      <c r="AL88" s="242"/>
      <c r="AM88" s="242"/>
      <c r="AN88" s="242"/>
      <c r="AO88" s="242"/>
      <c r="AP88" s="242"/>
      <c r="AQ88" s="242"/>
      <c r="BB88" s="87" t="s">
        <v>497</v>
      </c>
      <c r="BC88" s="87"/>
      <c r="BD88" s="131">
        <f t="shared" si="11"/>
        <v>844041.02201890259</v>
      </c>
      <c r="BE88" s="130"/>
    </row>
    <row r="89" spans="1:57" ht="14" x14ac:dyDescent="0.15">
      <c r="A89" s="413" t="s">
        <v>171</v>
      </c>
      <c r="B89" s="242"/>
      <c r="C89" s="412"/>
      <c r="D89" s="462"/>
      <c r="E89" s="462"/>
      <c r="F89" s="242"/>
      <c r="G89" s="242"/>
      <c r="H89" s="242"/>
      <c r="I89" s="242"/>
      <c r="J89" s="242"/>
      <c r="K89" s="242"/>
      <c r="L89" s="242"/>
      <c r="M89" s="242"/>
      <c r="N89" s="242"/>
      <c r="O89" s="242"/>
      <c r="P89" s="242"/>
      <c r="Q89" s="242"/>
      <c r="R89" s="242"/>
      <c r="S89" s="242"/>
      <c r="T89" s="242"/>
      <c r="U89" s="242"/>
      <c r="V89" s="242"/>
      <c r="W89" s="242"/>
      <c r="X89" s="242"/>
      <c r="Y89" s="242"/>
      <c r="Z89" s="242"/>
      <c r="AA89" s="242"/>
      <c r="AB89" s="242"/>
      <c r="AC89" s="242"/>
      <c r="AD89" s="242"/>
      <c r="AE89" s="242"/>
      <c r="AF89" s="242"/>
      <c r="AG89" s="242"/>
      <c r="AH89" s="242"/>
      <c r="AI89" s="242"/>
      <c r="AJ89" s="242"/>
      <c r="AK89" s="242"/>
      <c r="AL89" s="242"/>
      <c r="AM89" s="242"/>
      <c r="AN89" s="242"/>
      <c r="AO89" s="242"/>
      <c r="AP89" s="242"/>
      <c r="AQ89" s="242"/>
      <c r="BB89" s="49" t="s">
        <v>171</v>
      </c>
      <c r="BC89" s="87"/>
      <c r="BD89" s="131"/>
      <c r="BE89" s="130"/>
    </row>
    <row r="90" spans="1:57" x14ac:dyDescent="0.15">
      <c r="A90" s="242" t="s">
        <v>182</v>
      </c>
      <c r="B90" s="242"/>
      <c r="C90" s="412">
        <f>Calculations!AC51</f>
        <v>352976.97408887587</v>
      </c>
      <c r="D90" s="462">
        <f>Calculations!AD51</f>
        <v>1</v>
      </c>
      <c r="E90" s="462"/>
      <c r="F90" s="242"/>
      <c r="G90" s="242"/>
      <c r="H90" s="242"/>
      <c r="I90" s="242"/>
      <c r="J90" s="242"/>
      <c r="K90" s="242"/>
      <c r="L90" s="242"/>
      <c r="M90" s="242"/>
      <c r="N90" s="242"/>
      <c r="O90" s="242"/>
      <c r="P90" s="242"/>
      <c r="Q90" s="242"/>
      <c r="R90" s="242"/>
      <c r="S90" s="242"/>
      <c r="T90" s="242"/>
      <c r="U90" s="242"/>
      <c r="V90" s="242"/>
      <c r="W90" s="242"/>
      <c r="X90" s="242"/>
      <c r="Y90" s="242"/>
      <c r="Z90" s="242"/>
      <c r="AA90" s="242"/>
      <c r="AB90" s="242"/>
      <c r="AC90" s="242"/>
      <c r="AD90" s="242"/>
      <c r="AE90" s="242"/>
      <c r="AF90" s="242"/>
      <c r="AG90" s="242"/>
      <c r="AH90" s="242"/>
      <c r="AI90" s="242"/>
      <c r="AJ90" s="242"/>
      <c r="AK90" s="242"/>
      <c r="AL90" s="242"/>
      <c r="AM90" s="242"/>
      <c r="AN90" s="242"/>
      <c r="AO90" s="242"/>
      <c r="AP90" s="242"/>
      <c r="AQ90" s="242"/>
      <c r="BB90" t="s">
        <v>182</v>
      </c>
      <c r="BC90" s="87"/>
      <c r="BD90" s="131">
        <f t="shared" si="11"/>
        <v>352976.97408887587</v>
      </c>
      <c r="BE90" s="130">
        <f t="shared" si="12"/>
        <v>1</v>
      </c>
    </row>
    <row r="91" spans="1:57" ht="14" x14ac:dyDescent="0.15">
      <c r="A91" s="242" t="s">
        <v>173</v>
      </c>
      <c r="B91" s="242"/>
      <c r="C91" s="412">
        <f>Calculations!AC52</f>
        <v>137661.01989466159</v>
      </c>
      <c r="D91" s="462">
        <f>Calculations!AD52</f>
        <v>0.8</v>
      </c>
      <c r="E91" s="462"/>
      <c r="F91" s="242"/>
      <c r="G91" s="242"/>
      <c r="H91" s="242"/>
      <c r="I91" s="242"/>
      <c r="J91" s="242"/>
      <c r="K91" s="242"/>
      <c r="L91" s="242"/>
      <c r="M91" s="242"/>
      <c r="N91" s="242"/>
      <c r="O91" s="242"/>
      <c r="P91" s="242"/>
      <c r="Q91" s="242"/>
      <c r="R91" s="242"/>
      <c r="S91" s="242"/>
      <c r="T91" s="242"/>
      <c r="U91" s="242"/>
      <c r="V91" s="242"/>
      <c r="W91" s="242"/>
      <c r="X91" s="242"/>
      <c r="Y91" s="242"/>
      <c r="Z91" s="242"/>
      <c r="AA91" s="242"/>
      <c r="AB91" s="242"/>
      <c r="AC91" s="242"/>
      <c r="AD91" s="242"/>
      <c r="AE91" s="242"/>
      <c r="AF91" s="242"/>
      <c r="AG91" s="242"/>
      <c r="AH91" s="242"/>
      <c r="AI91" s="242"/>
      <c r="AJ91" s="242"/>
      <c r="AK91" s="242"/>
      <c r="AL91" s="242"/>
      <c r="AM91" s="242"/>
      <c r="AN91" s="242"/>
      <c r="AO91" s="242"/>
      <c r="AP91" s="242"/>
      <c r="AQ91" s="242"/>
      <c r="BB91" s="205" t="s">
        <v>494</v>
      </c>
      <c r="BC91" s="87"/>
      <c r="BD91" s="131">
        <f t="shared" si="11"/>
        <v>137661.01989466159</v>
      </c>
      <c r="BE91" s="130">
        <f t="shared" si="12"/>
        <v>0.8</v>
      </c>
    </row>
    <row r="92" spans="1:57" ht="14" x14ac:dyDescent="0.15">
      <c r="A92" s="242" t="s">
        <v>174</v>
      </c>
      <c r="B92" s="242"/>
      <c r="C92" s="412">
        <f>Calculations!AC53</f>
        <v>68830.509947330793</v>
      </c>
      <c r="D92" s="462">
        <f>Calculations!AD53</f>
        <v>1</v>
      </c>
      <c r="E92" s="462"/>
      <c r="F92" s="242"/>
      <c r="G92" s="242"/>
      <c r="H92" s="242"/>
      <c r="I92" s="242"/>
      <c r="J92" s="242"/>
      <c r="K92" s="242"/>
      <c r="L92" s="242"/>
      <c r="M92" s="242"/>
      <c r="N92" s="242"/>
      <c r="O92" s="242"/>
      <c r="P92" s="242"/>
      <c r="Q92" s="242"/>
      <c r="R92" s="242"/>
      <c r="S92" s="242"/>
      <c r="T92" s="242"/>
      <c r="U92" s="242"/>
      <c r="V92" s="242"/>
      <c r="W92" s="242"/>
      <c r="X92" s="242"/>
      <c r="Y92" s="242"/>
      <c r="Z92" s="242"/>
      <c r="AA92" s="242"/>
      <c r="AB92" s="242"/>
      <c r="AC92" s="242"/>
      <c r="AD92" s="242"/>
      <c r="AE92" s="242"/>
      <c r="AF92" s="242"/>
      <c r="AG92" s="242"/>
      <c r="AH92" s="242"/>
      <c r="AI92" s="242"/>
      <c r="AJ92" s="242"/>
      <c r="AK92" s="242"/>
      <c r="AL92" s="242"/>
      <c r="AM92" s="242"/>
      <c r="AN92" s="242"/>
      <c r="AO92" s="242"/>
      <c r="AP92" s="242"/>
      <c r="AQ92" s="242"/>
      <c r="BB92" s="206" t="s">
        <v>174</v>
      </c>
      <c r="BC92" s="87"/>
      <c r="BD92" s="131">
        <f t="shared" si="11"/>
        <v>68830.509947330793</v>
      </c>
      <c r="BE92" s="130">
        <f t="shared" si="12"/>
        <v>1</v>
      </c>
    </row>
    <row r="93" spans="1:57" x14ac:dyDescent="0.15">
      <c r="A93" s="242" t="s">
        <v>175</v>
      </c>
      <c r="B93" s="242"/>
      <c r="C93" s="412">
        <f>Calculations!AC54</f>
        <v>275322.03978932317</v>
      </c>
      <c r="D93" s="462">
        <f>Calculations!AD54</f>
        <v>1</v>
      </c>
      <c r="E93" s="462"/>
      <c r="F93" s="242"/>
      <c r="G93" s="242"/>
      <c r="H93" s="242"/>
      <c r="I93" s="242"/>
      <c r="J93" s="242"/>
      <c r="K93" s="242"/>
      <c r="L93" s="242"/>
      <c r="M93" s="242"/>
      <c r="N93" s="242"/>
      <c r="O93" s="242"/>
      <c r="P93" s="242"/>
      <c r="Q93" s="242"/>
      <c r="R93" s="242"/>
      <c r="S93" s="242"/>
      <c r="T93" s="242"/>
      <c r="U93" s="242"/>
      <c r="V93" s="242"/>
      <c r="W93" s="242"/>
      <c r="X93" s="242"/>
      <c r="Y93" s="242"/>
      <c r="Z93" s="242"/>
      <c r="AA93" s="242"/>
      <c r="AB93" s="242"/>
      <c r="AC93" s="242"/>
      <c r="AD93" s="242"/>
      <c r="AE93" s="242"/>
      <c r="AF93" s="242"/>
      <c r="AG93" s="242"/>
      <c r="AH93" s="242"/>
      <c r="AI93" s="242"/>
      <c r="AJ93" s="242"/>
      <c r="AK93" s="242"/>
      <c r="AL93" s="242"/>
      <c r="AM93" s="242"/>
      <c r="AN93" s="242"/>
      <c r="AO93" s="242"/>
      <c r="AP93" s="242"/>
      <c r="AQ93" s="242"/>
      <c r="BB93" s="207" t="s">
        <v>232</v>
      </c>
      <c r="BC93" s="87"/>
      <c r="BD93" s="131">
        <f t="shared" si="11"/>
        <v>275322.03978932317</v>
      </c>
      <c r="BE93" s="130">
        <f t="shared" si="12"/>
        <v>1</v>
      </c>
    </row>
    <row r="94" spans="1:57" ht="14" x14ac:dyDescent="0.15">
      <c r="A94" s="242" t="s">
        <v>172</v>
      </c>
      <c r="B94" s="242"/>
      <c r="C94" s="412">
        <f>Calculations!AC55</f>
        <v>2647327.3056665687</v>
      </c>
      <c r="D94" s="462">
        <f>Calculations!AD55</f>
        <v>0</v>
      </c>
      <c r="E94" s="462"/>
      <c r="F94" s="242"/>
      <c r="G94" s="242"/>
      <c r="H94" s="242"/>
      <c r="I94" s="242"/>
      <c r="J94" s="242"/>
      <c r="K94" s="242"/>
      <c r="L94" s="242"/>
      <c r="M94" s="242"/>
      <c r="N94" s="242"/>
      <c r="O94" s="242"/>
      <c r="P94" s="242"/>
      <c r="Q94" s="242"/>
      <c r="R94" s="242"/>
      <c r="S94" s="242"/>
      <c r="T94" s="242"/>
      <c r="U94" s="242"/>
      <c r="V94" s="242"/>
      <c r="W94" s="242"/>
      <c r="X94" s="242"/>
      <c r="Y94" s="242"/>
      <c r="Z94" s="242"/>
      <c r="AA94" s="242"/>
      <c r="AB94" s="242"/>
      <c r="AC94" s="242"/>
      <c r="AD94" s="242"/>
      <c r="AE94" s="242"/>
      <c r="AF94" s="242"/>
      <c r="AG94" s="242"/>
      <c r="AH94" s="242"/>
      <c r="AI94" s="242"/>
      <c r="AJ94" s="242"/>
      <c r="AK94" s="242"/>
      <c r="AL94" s="242"/>
      <c r="AM94" s="242"/>
      <c r="AN94" s="242"/>
      <c r="AO94" s="242"/>
      <c r="AP94" s="242"/>
      <c r="AQ94" s="242"/>
      <c r="BB94" s="206" t="s">
        <v>172</v>
      </c>
      <c r="BC94" s="87"/>
      <c r="BD94" s="131">
        <f t="shared" si="11"/>
        <v>2647327.3056665687</v>
      </c>
      <c r="BE94" s="130">
        <f t="shared" si="12"/>
        <v>0</v>
      </c>
    </row>
    <row r="95" spans="1:57" x14ac:dyDescent="0.15">
      <c r="A95" s="242" t="s">
        <v>207</v>
      </c>
      <c r="B95" s="242"/>
      <c r="C95" s="412">
        <f>Calculations!AC56</f>
        <v>137661.01989466159</v>
      </c>
      <c r="D95" s="462">
        <f>Calculations!AD56</f>
        <v>0</v>
      </c>
      <c r="E95" s="462"/>
      <c r="F95" s="242"/>
      <c r="G95" s="242"/>
      <c r="H95" s="242"/>
      <c r="I95" s="242"/>
      <c r="J95" s="242"/>
      <c r="K95" s="242"/>
      <c r="L95" s="242"/>
      <c r="M95" s="242"/>
      <c r="N95" s="242"/>
      <c r="O95" s="242"/>
      <c r="P95" s="242"/>
      <c r="Q95" s="242"/>
      <c r="R95" s="242"/>
      <c r="S95" s="242"/>
      <c r="T95" s="242"/>
      <c r="U95" s="242"/>
      <c r="V95" s="242"/>
      <c r="W95" s="242"/>
      <c r="X95" s="242"/>
      <c r="Y95" s="242"/>
      <c r="Z95" s="242"/>
      <c r="AA95" s="242"/>
      <c r="AB95" s="242"/>
      <c r="AC95" s="242"/>
      <c r="AD95" s="242"/>
      <c r="AE95" s="242"/>
      <c r="AF95" s="242"/>
      <c r="AG95" s="242"/>
      <c r="AH95" s="242"/>
      <c r="AI95" s="242"/>
      <c r="AJ95" s="242"/>
      <c r="AK95" s="242"/>
      <c r="AL95" s="242"/>
      <c r="AM95" s="242"/>
      <c r="AN95" s="242"/>
      <c r="AO95" s="242"/>
      <c r="AP95" s="242"/>
      <c r="AQ95" s="242"/>
      <c r="BB95" s="207" t="s">
        <v>207</v>
      </c>
      <c r="BC95" s="87"/>
      <c r="BD95" s="131">
        <f t="shared" si="11"/>
        <v>137661.01989466159</v>
      </c>
      <c r="BE95" s="130">
        <f t="shared" si="12"/>
        <v>0</v>
      </c>
    </row>
    <row r="96" spans="1:57" ht="14" x14ac:dyDescent="0.15">
      <c r="A96" s="242" t="s">
        <v>180</v>
      </c>
      <c r="B96" s="242"/>
      <c r="C96" s="412">
        <f>Calculations!AC57</f>
        <v>894796.62931530038</v>
      </c>
      <c r="D96" s="462">
        <f>Calculations!AD57</f>
        <v>0</v>
      </c>
      <c r="E96" s="462"/>
      <c r="F96" s="242"/>
      <c r="G96" s="242"/>
      <c r="H96" s="242"/>
      <c r="I96" s="242"/>
      <c r="J96" s="242"/>
      <c r="K96" s="242"/>
      <c r="L96" s="242"/>
      <c r="M96" s="242"/>
      <c r="N96" s="242"/>
      <c r="O96" s="242"/>
      <c r="P96" s="242"/>
      <c r="Q96" s="242"/>
      <c r="R96" s="242"/>
      <c r="S96" s="242"/>
      <c r="T96" s="242"/>
      <c r="U96" s="242"/>
      <c r="V96" s="242"/>
      <c r="W96" s="242"/>
      <c r="X96" s="242"/>
      <c r="Y96" s="242"/>
      <c r="Z96" s="242"/>
      <c r="AA96" s="242"/>
      <c r="AB96" s="242"/>
      <c r="AC96" s="242"/>
      <c r="AD96" s="242"/>
      <c r="AE96" s="242"/>
      <c r="AF96" s="242"/>
      <c r="AG96" s="242"/>
      <c r="AH96" s="242"/>
      <c r="AI96" s="242"/>
      <c r="AJ96" s="242"/>
      <c r="AK96" s="242"/>
      <c r="AL96" s="242"/>
      <c r="AM96" s="242"/>
      <c r="AN96" s="242"/>
      <c r="AO96" s="242"/>
      <c r="AP96" s="242"/>
      <c r="AQ96" s="242"/>
      <c r="BB96" s="205" t="s">
        <v>495</v>
      </c>
      <c r="BC96" s="87"/>
      <c r="BD96" s="131">
        <f t="shared" si="11"/>
        <v>894796.62931530038</v>
      </c>
      <c r="BE96" s="130">
        <f t="shared" si="12"/>
        <v>0</v>
      </c>
    </row>
    <row r="97" spans="1:57" ht="13.5" customHeight="1" x14ac:dyDescent="0.15">
      <c r="A97" s="242" t="s">
        <v>181</v>
      </c>
      <c r="B97" s="242"/>
      <c r="C97" s="412">
        <f>Calculations!AC58</f>
        <v>7841383.4793843757</v>
      </c>
      <c r="D97" s="462">
        <f>Calculations!AD58</f>
        <v>0</v>
      </c>
      <c r="E97" s="462"/>
      <c r="F97" s="242"/>
      <c r="G97" s="242"/>
      <c r="H97" s="242"/>
      <c r="I97" s="242"/>
      <c r="J97" s="242"/>
      <c r="K97" s="242"/>
      <c r="L97" s="242"/>
      <c r="M97" s="242"/>
      <c r="N97" s="242"/>
      <c r="O97" s="242"/>
      <c r="P97" s="242"/>
      <c r="Q97" s="242"/>
      <c r="R97" s="242"/>
      <c r="S97" s="242"/>
      <c r="T97" s="242"/>
      <c r="U97" s="242"/>
      <c r="V97" s="242"/>
      <c r="W97" s="242"/>
      <c r="X97" s="242"/>
      <c r="Y97" s="242"/>
      <c r="Z97" s="242"/>
      <c r="AA97" s="242"/>
      <c r="AB97" s="242"/>
      <c r="AC97" s="242"/>
      <c r="AD97" s="242"/>
      <c r="AE97" s="242"/>
      <c r="AF97" s="242"/>
      <c r="AG97" s="242"/>
      <c r="AH97" s="242"/>
      <c r="AI97" s="242"/>
      <c r="AJ97" s="242"/>
      <c r="AK97" s="242"/>
      <c r="AL97" s="242"/>
      <c r="AM97" s="242"/>
      <c r="AN97" s="242"/>
      <c r="AO97" s="242"/>
      <c r="AP97" s="242"/>
      <c r="AQ97" s="242"/>
      <c r="BB97" s="205" t="s">
        <v>496</v>
      </c>
      <c r="BC97" s="87"/>
      <c r="BD97" s="131">
        <f t="shared" si="11"/>
        <v>7841383.4793843757</v>
      </c>
      <c r="BE97" s="130">
        <f t="shared" si="12"/>
        <v>0</v>
      </c>
    </row>
    <row r="98" spans="1:57" x14ac:dyDescent="0.15">
      <c r="A98" s="242" t="s">
        <v>246</v>
      </c>
      <c r="B98" s="242"/>
      <c r="C98" s="412">
        <f>Calculations!AC59</f>
        <v>12355958.977981098</v>
      </c>
      <c r="D98" s="462"/>
      <c r="E98" s="462"/>
      <c r="F98" s="242"/>
      <c r="G98" s="242"/>
      <c r="H98" s="242"/>
      <c r="I98" s="242"/>
      <c r="J98" s="242"/>
      <c r="K98" s="242"/>
      <c r="L98" s="242"/>
      <c r="M98" s="242"/>
      <c r="N98" s="242"/>
      <c r="O98" s="242"/>
      <c r="P98" s="242"/>
      <c r="Q98" s="242"/>
      <c r="R98" s="242"/>
      <c r="S98" s="242"/>
      <c r="T98" s="242"/>
      <c r="U98" s="242"/>
      <c r="V98" s="242"/>
      <c r="W98" s="242"/>
      <c r="X98" s="242"/>
      <c r="Y98" s="242"/>
      <c r="Z98" s="242"/>
      <c r="AA98" s="242"/>
      <c r="AB98" s="242"/>
      <c r="AC98" s="242"/>
      <c r="AD98" s="242"/>
      <c r="AE98" s="242"/>
      <c r="AF98" s="242"/>
      <c r="AG98" s="242"/>
      <c r="AH98" s="242"/>
      <c r="AI98" s="242"/>
      <c r="AJ98" s="242"/>
      <c r="AK98" s="242"/>
      <c r="AL98" s="242"/>
      <c r="AM98" s="242"/>
      <c r="AN98" s="242"/>
      <c r="AO98" s="242"/>
      <c r="AP98" s="242"/>
      <c r="AQ98" s="242"/>
      <c r="BB98" s="113" t="s">
        <v>246</v>
      </c>
      <c r="BC98" s="87"/>
      <c r="BD98" s="131">
        <f t="shared" si="11"/>
        <v>12355958.977981098</v>
      </c>
      <c r="BE98" s="130"/>
    </row>
    <row r="99" spans="1:57" x14ac:dyDescent="0.15">
      <c r="A99" s="242" t="s">
        <v>575</v>
      </c>
      <c r="B99" s="242"/>
      <c r="C99" s="412">
        <f>Calculations!AC60</f>
        <v>260766.71920890728</v>
      </c>
      <c r="D99" s="462">
        <f>Calculations!AD60</f>
        <v>1</v>
      </c>
      <c r="E99" s="462"/>
      <c r="F99" s="242"/>
      <c r="G99" s="242"/>
      <c r="H99" s="242"/>
      <c r="I99" s="242"/>
      <c r="J99" s="242"/>
      <c r="K99" s="242"/>
      <c r="L99" s="242"/>
      <c r="M99" s="242"/>
      <c r="N99" s="242"/>
      <c r="O99" s="242"/>
      <c r="P99" s="242"/>
      <c r="Q99" s="242"/>
      <c r="R99" s="242"/>
      <c r="S99" s="242"/>
      <c r="T99" s="242"/>
      <c r="U99" s="242"/>
      <c r="V99" s="242"/>
      <c r="W99" s="242"/>
      <c r="X99" s="242"/>
      <c r="Y99" s="242"/>
      <c r="Z99" s="242"/>
      <c r="AA99" s="242"/>
      <c r="AB99" s="242"/>
      <c r="AC99" s="242"/>
      <c r="AD99" s="242"/>
      <c r="AE99" s="242"/>
      <c r="AF99" s="242"/>
      <c r="AG99" s="242"/>
      <c r="AH99" s="242"/>
      <c r="AI99" s="242"/>
      <c r="AJ99" s="242"/>
      <c r="AK99" s="242"/>
      <c r="AL99" s="242"/>
      <c r="AM99" s="242"/>
      <c r="AN99" s="242"/>
      <c r="AO99" s="242"/>
      <c r="AP99" s="242"/>
      <c r="AQ99" s="242"/>
      <c r="BB99" s="49" t="s">
        <v>575</v>
      </c>
      <c r="BC99" s="87"/>
      <c r="BD99" s="131">
        <f t="shared" si="11"/>
        <v>260766.71920890728</v>
      </c>
      <c r="BE99" s="130">
        <f t="shared" si="12"/>
        <v>1</v>
      </c>
    </row>
    <row r="100" spans="1:57" x14ac:dyDescent="0.15">
      <c r="A100" s="242" t="s">
        <v>578</v>
      </c>
      <c r="B100" s="242"/>
      <c r="C100" s="412">
        <f>Calculations!AC61</f>
        <v>0</v>
      </c>
      <c r="D100" s="462">
        <f>Calculations!AD61</f>
        <v>1</v>
      </c>
      <c r="E100" s="462"/>
      <c r="F100" s="242"/>
      <c r="G100" s="242"/>
      <c r="H100" s="242"/>
      <c r="I100" s="242"/>
      <c r="J100" s="242"/>
      <c r="K100" s="242"/>
      <c r="L100" s="242"/>
      <c r="M100" s="242"/>
      <c r="N100" s="242"/>
      <c r="O100" s="242"/>
      <c r="P100" s="242"/>
      <c r="Q100" s="242"/>
      <c r="R100" s="242"/>
      <c r="S100" s="242"/>
      <c r="T100" s="242"/>
      <c r="U100" s="242"/>
      <c r="V100" s="242"/>
      <c r="W100" s="242"/>
      <c r="X100" s="242"/>
      <c r="Y100" s="242"/>
      <c r="Z100" s="242"/>
      <c r="AA100" s="242"/>
      <c r="AB100" s="242"/>
      <c r="AC100" s="242"/>
      <c r="AD100" s="242"/>
      <c r="AE100" s="242"/>
      <c r="AF100" s="242"/>
      <c r="AG100" s="242"/>
      <c r="AH100" s="242"/>
      <c r="AI100" s="242"/>
      <c r="AJ100" s="242"/>
      <c r="AK100" s="242"/>
      <c r="AL100" s="242"/>
      <c r="AM100" s="242"/>
      <c r="AN100" s="242"/>
      <c r="AO100" s="242"/>
      <c r="AP100" s="242"/>
      <c r="AQ100" s="242"/>
      <c r="BB100" s="49" t="s">
        <v>578</v>
      </c>
      <c r="BC100" s="87"/>
      <c r="BD100" s="131">
        <f t="shared" si="11"/>
        <v>0</v>
      </c>
      <c r="BE100" s="130">
        <f t="shared" si="12"/>
        <v>1</v>
      </c>
    </row>
    <row r="101" spans="1:57" x14ac:dyDescent="0.15">
      <c r="A101" s="242" t="s">
        <v>583</v>
      </c>
      <c r="B101" s="242"/>
      <c r="C101" s="412">
        <f>Calculations!AC62</f>
        <v>13460766.719208907</v>
      </c>
      <c r="D101" s="462"/>
      <c r="E101" s="462"/>
      <c r="F101" s="242"/>
      <c r="G101" s="242"/>
      <c r="H101" s="242"/>
      <c r="I101" s="242"/>
      <c r="J101" s="242"/>
      <c r="K101" s="242"/>
      <c r="L101" s="242"/>
      <c r="M101" s="242"/>
      <c r="N101" s="242"/>
      <c r="O101" s="242"/>
      <c r="P101" s="242"/>
      <c r="Q101" s="242"/>
      <c r="R101" s="242"/>
      <c r="S101" s="242"/>
      <c r="T101" s="242"/>
      <c r="U101" s="242"/>
      <c r="V101" s="242"/>
      <c r="W101" s="242"/>
      <c r="X101" s="242"/>
      <c r="Y101" s="242"/>
      <c r="Z101" s="242"/>
      <c r="AA101" s="242"/>
      <c r="AB101" s="242"/>
      <c r="AC101" s="242"/>
      <c r="AD101" s="242"/>
      <c r="AE101" s="242"/>
      <c r="AF101" s="242"/>
      <c r="AG101" s="242"/>
      <c r="AH101" s="242"/>
      <c r="AI101" s="242"/>
      <c r="AJ101" s="242"/>
      <c r="AK101" s="242"/>
      <c r="AL101" s="242"/>
      <c r="AM101" s="242"/>
      <c r="AN101" s="242"/>
      <c r="AO101" s="242"/>
      <c r="AP101" s="242"/>
      <c r="AQ101" s="242"/>
      <c r="BB101" s="49" t="s">
        <v>583</v>
      </c>
      <c r="BC101" s="87"/>
      <c r="BD101" s="131">
        <f t="shared" si="11"/>
        <v>13460766.719208907</v>
      </c>
      <c r="BE101" s="130"/>
    </row>
    <row r="102" spans="1:57" x14ac:dyDescent="0.15">
      <c r="A102" s="461" t="s">
        <v>278</v>
      </c>
      <c r="B102" s="242"/>
      <c r="C102" s="412">
        <f>Calculations!AC63</f>
        <v>43736139.918417171</v>
      </c>
      <c r="D102" s="462">
        <f>Calculations!AD63</f>
        <v>0</v>
      </c>
      <c r="E102" s="462"/>
      <c r="F102" s="242"/>
      <c r="G102" s="242"/>
      <c r="H102" s="242"/>
      <c r="I102" s="242"/>
      <c r="J102" s="242"/>
      <c r="K102" s="242"/>
      <c r="L102" s="242"/>
      <c r="M102" s="242"/>
      <c r="N102" s="242"/>
      <c r="O102" s="242"/>
      <c r="P102" s="242"/>
      <c r="Q102" s="242"/>
      <c r="R102" s="242"/>
      <c r="S102" s="242"/>
      <c r="T102" s="242"/>
      <c r="U102" s="242"/>
      <c r="V102" s="242"/>
      <c r="W102" s="242"/>
      <c r="X102" s="242"/>
      <c r="Y102" s="242"/>
      <c r="Z102" s="242"/>
      <c r="AA102" s="242"/>
      <c r="AB102" s="242"/>
      <c r="AC102" s="242"/>
      <c r="AD102" s="242"/>
      <c r="AE102" s="242"/>
      <c r="AF102" s="242"/>
      <c r="AG102" s="242"/>
      <c r="AH102" s="242"/>
      <c r="AI102" s="242"/>
      <c r="AJ102" s="242"/>
      <c r="AK102" s="242"/>
      <c r="AL102" s="242"/>
      <c r="AM102" s="242"/>
      <c r="AN102" s="242"/>
      <c r="AO102" s="242"/>
      <c r="AP102" s="242"/>
      <c r="AQ102" s="242"/>
      <c r="BB102" s="49" t="s">
        <v>278</v>
      </c>
      <c r="BC102" s="87"/>
      <c r="BD102" s="131">
        <f t="shared" si="11"/>
        <v>43736139.918417171</v>
      </c>
      <c r="BE102" s="130">
        <f t="shared" si="12"/>
        <v>0</v>
      </c>
    </row>
    <row r="103" spans="1:57" x14ac:dyDescent="0.15">
      <c r="A103" s="418" t="s">
        <v>266</v>
      </c>
      <c r="B103" s="242"/>
      <c r="C103" s="412">
        <f>Calculations!AC64</f>
        <v>0</v>
      </c>
      <c r="D103" s="462">
        <f>Calculations!AD64</f>
        <v>1</v>
      </c>
      <c r="E103" s="462"/>
      <c r="F103" s="242"/>
      <c r="G103" s="242"/>
      <c r="H103" s="242"/>
      <c r="I103" s="242"/>
      <c r="J103" s="242"/>
      <c r="K103" s="242"/>
      <c r="L103" s="242"/>
      <c r="M103" s="242"/>
      <c r="N103" s="242"/>
      <c r="O103" s="242"/>
      <c r="P103" s="242"/>
      <c r="Q103" s="242"/>
      <c r="R103" s="242"/>
      <c r="S103" s="242"/>
      <c r="T103" s="242"/>
      <c r="U103" s="242"/>
      <c r="V103" s="242"/>
      <c r="W103" s="242"/>
      <c r="X103" s="242"/>
      <c r="Y103" s="242"/>
      <c r="Z103" s="242"/>
      <c r="AA103" s="242"/>
      <c r="AB103" s="242"/>
      <c r="AC103" s="242"/>
      <c r="AD103" s="242"/>
      <c r="AE103" s="242"/>
      <c r="AF103" s="242"/>
      <c r="AG103" s="242"/>
      <c r="AH103" s="242"/>
      <c r="AI103" s="242"/>
      <c r="AJ103" s="242"/>
      <c r="AK103" s="242"/>
      <c r="AL103" s="242"/>
      <c r="AM103" s="242"/>
      <c r="AN103" s="242"/>
      <c r="AO103" s="242"/>
      <c r="AP103" s="242"/>
      <c r="AQ103" s="242"/>
      <c r="BB103" s="90" t="s">
        <v>266</v>
      </c>
      <c r="BC103" s="87"/>
      <c r="BD103" s="131">
        <f t="shared" si="11"/>
        <v>0</v>
      </c>
      <c r="BE103" s="130">
        <f t="shared" si="12"/>
        <v>1</v>
      </c>
    </row>
    <row r="104" spans="1:57" x14ac:dyDescent="0.15">
      <c r="A104" s="418" t="s">
        <v>267</v>
      </c>
      <c r="B104" s="242"/>
      <c r="C104" s="412">
        <f>Calculations!AC65</f>
        <v>14042611.167424642</v>
      </c>
      <c r="D104" s="462">
        <f>Calculations!AD65</f>
        <v>0</v>
      </c>
      <c r="E104" s="462"/>
      <c r="F104" s="242"/>
      <c r="G104" s="242"/>
      <c r="H104" s="242"/>
      <c r="I104" s="242"/>
      <c r="J104" s="242"/>
      <c r="K104" s="242"/>
      <c r="L104" s="242"/>
      <c r="M104" s="242"/>
      <c r="N104" s="242"/>
      <c r="O104" s="242"/>
      <c r="P104" s="242"/>
      <c r="Q104" s="242"/>
      <c r="R104" s="242"/>
      <c r="S104" s="242"/>
      <c r="T104" s="242"/>
      <c r="U104" s="242"/>
      <c r="V104" s="242"/>
      <c r="W104" s="242"/>
      <c r="X104" s="242"/>
      <c r="Y104" s="242"/>
      <c r="Z104" s="242"/>
      <c r="AA104" s="242"/>
      <c r="AB104" s="242"/>
      <c r="AC104" s="242"/>
      <c r="AD104" s="242"/>
      <c r="AE104" s="242"/>
      <c r="AF104" s="242"/>
      <c r="AG104" s="242"/>
      <c r="AH104" s="242"/>
      <c r="AI104" s="242"/>
      <c r="AJ104" s="242"/>
      <c r="AK104" s="242"/>
      <c r="AL104" s="242"/>
      <c r="AM104" s="242"/>
      <c r="AN104" s="242"/>
      <c r="AO104" s="242"/>
      <c r="AP104" s="242"/>
      <c r="AQ104" s="242"/>
      <c r="BB104" s="90" t="s">
        <v>267</v>
      </c>
      <c r="BC104" s="87"/>
      <c r="BD104" s="131">
        <f t="shared" si="11"/>
        <v>14042611.167424642</v>
      </c>
      <c r="BE104" s="130">
        <f t="shared" si="12"/>
        <v>0</v>
      </c>
    </row>
    <row r="105" spans="1:57" x14ac:dyDescent="0.15">
      <c r="A105" s="461" t="s">
        <v>193</v>
      </c>
      <c r="B105" s="242"/>
      <c r="C105" s="412">
        <f>Calculations!AC66</f>
        <v>891300</v>
      </c>
      <c r="D105" s="462">
        <f>Calculations!AD66</f>
        <v>1</v>
      </c>
      <c r="E105" s="462"/>
      <c r="F105" s="242"/>
      <c r="G105" s="242"/>
      <c r="H105" s="242"/>
      <c r="I105" s="242"/>
      <c r="J105" s="242"/>
      <c r="K105" s="242"/>
      <c r="L105" s="242"/>
      <c r="M105" s="242"/>
      <c r="N105" s="242"/>
      <c r="O105" s="242"/>
      <c r="P105" s="242"/>
      <c r="Q105" s="242"/>
      <c r="R105" s="242"/>
      <c r="S105" s="242"/>
      <c r="T105" s="242"/>
      <c r="U105" s="242"/>
      <c r="V105" s="242"/>
      <c r="W105" s="242"/>
      <c r="X105" s="242"/>
      <c r="Y105" s="242"/>
      <c r="Z105" s="242"/>
      <c r="AA105" s="242"/>
      <c r="AB105" s="242"/>
      <c r="AC105" s="242"/>
      <c r="AD105" s="242"/>
      <c r="AE105" s="242"/>
      <c r="AF105" s="242"/>
      <c r="AG105" s="242"/>
      <c r="AH105" s="242"/>
      <c r="AI105" s="242"/>
      <c r="AJ105" s="242"/>
      <c r="AK105" s="242"/>
      <c r="AL105" s="242"/>
      <c r="AM105" s="242"/>
      <c r="AN105" s="242"/>
      <c r="AO105" s="242"/>
      <c r="AP105" s="242"/>
      <c r="AQ105" s="242"/>
      <c r="BB105" s="49" t="s">
        <v>193</v>
      </c>
      <c r="BC105" s="87"/>
      <c r="BD105" s="131">
        <f t="shared" si="11"/>
        <v>891300</v>
      </c>
      <c r="BE105" s="130">
        <f t="shared" si="12"/>
        <v>1</v>
      </c>
    </row>
    <row r="106" spans="1:57" x14ac:dyDescent="0.15">
      <c r="A106" s="461" t="s">
        <v>176</v>
      </c>
      <c r="B106" s="242"/>
      <c r="C106" s="412">
        <f>Calculations!AC67</f>
        <v>1563900</v>
      </c>
      <c r="D106" s="462">
        <f>Calculations!AD67</f>
        <v>1</v>
      </c>
      <c r="E106" s="462"/>
      <c r="F106" s="242"/>
      <c r="G106" s="242"/>
      <c r="H106" s="242"/>
      <c r="I106" s="242"/>
      <c r="J106" s="242"/>
      <c r="K106" s="242"/>
      <c r="L106" s="242"/>
      <c r="M106" s="242"/>
      <c r="N106" s="242"/>
      <c r="O106" s="242"/>
      <c r="P106" s="242"/>
      <c r="Q106" s="242"/>
      <c r="R106" s="242"/>
      <c r="S106" s="242"/>
      <c r="T106" s="242"/>
      <c r="U106" s="242"/>
      <c r="V106" s="242"/>
      <c r="W106" s="242"/>
      <c r="X106" s="242"/>
      <c r="Y106" s="242"/>
      <c r="Z106" s="242"/>
      <c r="AA106" s="242"/>
      <c r="AB106" s="242"/>
      <c r="AC106" s="242"/>
      <c r="AD106" s="242"/>
      <c r="AE106" s="242"/>
      <c r="AF106" s="242"/>
      <c r="AG106" s="242"/>
      <c r="AH106" s="242"/>
      <c r="AI106" s="242"/>
      <c r="AJ106" s="242"/>
      <c r="AK106" s="242"/>
      <c r="AL106" s="242"/>
      <c r="AM106" s="242"/>
      <c r="AN106" s="242"/>
      <c r="AO106" s="242"/>
      <c r="AP106" s="242"/>
      <c r="AQ106" s="242"/>
      <c r="BB106" s="49" t="s">
        <v>176</v>
      </c>
      <c r="BC106" s="87"/>
      <c r="BD106" s="131">
        <f t="shared" si="11"/>
        <v>1563900</v>
      </c>
      <c r="BE106" s="130">
        <f t="shared" si="12"/>
        <v>1</v>
      </c>
    </row>
    <row r="107" spans="1:57" x14ac:dyDescent="0.15">
      <c r="A107" s="461" t="s">
        <v>277</v>
      </c>
      <c r="B107" s="242"/>
      <c r="C107" s="464">
        <f>Calculations!AC68</f>
        <v>73694717.805050731</v>
      </c>
      <c r="D107" s="462"/>
      <c r="E107" s="462"/>
      <c r="F107" s="242"/>
      <c r="G107" s="242"/>
      <c r="H107" s="242"/>
      <c r="I107" s="242"/>
      <c r="J107" s="242"/>
      <c r="K107" s="242"/>
      <c r="L107" s="242"/>
      <c r="M107" s="242"/>
      <c r="N107" s="242"/>
      <c r="O107" s="242"/>
      <c r="P107" s="242"/>
      <c r="Q107" s="242"/>
      <c r="R107" s="242"/>
      <c r="S107" s="242"/>
      <c r="T107" s="242"/>
      <c r="U107" s="242"/>
      <c r="V107" s="242"/>
      <c r="W107" s="242"/>
      <c r="X107" s="242"/>
      <c r="Y107" s="242"/>
      <c r="Z107" s="242"/>
      <c r="AA107" s="242"/>
      <c r="AB107" s="242"/>
      <c r="AC107" s="242"/>
      <c r="AD107" s="242"/>
      <c r="AE107" s="242"/>
      <c r="AF107" s="242"/>
      <c r="AG107" s="242"/>
      <c r="AH107" s="242"/>
      <c r="AI107" s="242"/>
      <c r="AJ107" s="242"/>
      <c r="AK107" s="242"/>
      <c r="AL107" s="242"/>
      <c r="AM107" s="242"/>
      <c r="AN107" s="242"/>
      <c r="AO107" s="242"/>
      <c r="AP107" s="242"/>
      <c r="AQ107" s="242"/>
      <c r="BB107" s="49" t="s">
        <v>277</v>
      </c>
      <c r="BC107" s="87"/>
      <c r="BD107" s="131">
        <f t="shared" si="11"/>
        <v>73694717.805050731</v>
      </c>
      <c r="BE107" s="130"/>
    </row>
    <row r="108" spans="1:57" x14ac:dyDescent="0.15">
      <c r="A108" s="242"/>
      <c r="B108" s="242"/>
      <c r="C108" s="242"/>
      <c r="D108" s="462"/>
      <c r="E108" s="462"/>
      <c r="F108" s="242"/>
      <c r="G108" s="242"/>
      <c r="H108" s="242"/>
      <c r="I108" s="242"/>
      <c r="J108" s="242"/>
      <c r="K108" s="242"/>
      <c r="L108" s="242"/>
      <c r="M108" s="242"/>
      <c r="N108" s="242"/>
      <c r="O108" s="242"/>
      <c r="P108" s="242"/>
      <c r="Q108" s="242"/>
      <c r="R108" s="242"/>
      <c r="S108" s="242"/>
      <c r="T108" s="242"/>
      <c r="U108" s="242"/>
      <c r="V108" s="242"/>
      <c r="W108" s="242"/>
      <c r="X108" s="242"/>
      <c r="Y108" s="242"/>
      <c r="Z108" s="242"/>
      <c r="AA108" s="242"/>
      <c r="AB108" s="242"/>
      <c r="AC108" s="242"/>
      <c r="AD108" s="242"/>
      <c r="AE108" s="242"/>
      <c r="AF108" s="242"/>
      <c r="AG108" s="242"/>
      <c r="AH108" s="242"/>
      <c r="AI108" s="242"/>
      <c r="AJ108" s="242"/>
      <c r="AK108" s="242"/>
      <c r="AL108" s="242"/>
      <c r="AM108" s="242"/>
      <c r="AN108" s="242"/>
      <c r="AO108" s="242"/>
      <c r="AP108" s="242"/>
      <c r="AQ108" s="242"/>
      <c r="BB108" s="87"/>
      <c r="BC108" s="87"/>
      <c r="BD108" s="87"/>
      <c r="BE108" s="130"/>
    </row>
    <row r="109" spans="1:57" ht="14" x14ac:dyDescent="0.15">
      <c r="A109" s="413" t="s">
        <v>161</v>
      </c>
      <c r="B109" s="242"/>
      <c r="C109" s="242"/>
      <c r="D109" s="462"/>
      <c r="E109" s="462"/>
      <c r="F109" s="242"/>
      <c r="G109" s="242"/>
      <c r="H109" s="242"/>
      <c r="I109" s="242"/>
      <c r="J109" s="242"/>
      <c r="K109" s="242"/>
      <c r="L109" s="242"/>
      <c r="M109" s="242"/>
      <c r="N109" s="242"/>
      <c r="O109" s="242"/>
      <c r="P109" s="242"/>
      <c r="Q109" s="242"/>
      <c r="R109" s="242"/>
      <c r="S109" s="242"/>
      <c r="T109" s="242"/>
      <c r="U109" s="242"/>
      <c r="V109" s="242"/>
      <c r="W109" s="242"/>
      <c r="X109" s="242"/>
      <c r="Y109" s="242"/>
      <c r="Z109" s="242"/>
      <c r="AA109" s="242"/>
      <c r="AB109" s="242"/>
      <c r="AC109" s="242"/>
      <c r="AD109" s="242"/>
      <c r="AE109" s="242"/>
      <c r="AF109" s="242"/>
      <c r="AG109" s="242"/>
      <c r="AH109" s="242"/>
      <c r="AI109" s="242"/>
      <c r="AJ109" s="242"/>
      <c r="AK109" s="242"/>
      <c r="AL109" s="242"/>
      <c r="AM109" s="242"/>
      <c r="AN109" s="242"/>
      <c r="AO109" s="242"/>
      <c r="AP109" s="242"/>
      <c r="AQ109" s="242"/>
      <c r="BB109" s="65" t="s">
        <v>161</v>
      </c>
      <c r="BC109" s="87"/>
      <c r="BD109" s="87"/>
      <c r="BE109" s="130"/>
    </row>
    <row r="110" spans="1:57" x14ac:dyDescent="0.15">
      <c r="A110" s="242"/>
      <c r="B110" s="242"/>
      <c r="C110" s="242"/>
      <c r="D110" s="242"/>
      <c r="E110" s="466"/>
      <c r="F110" s="242"/>
      <c r="G110" s="242"/>
      <c r="H110" s="242"/>
      <c r="I110" s="242"/>
      <c r="J110" s="242"/>
      <c r="K110" s="242"/>
      <c r="L110" s="242"/>
      <c r="M110" s="242"/>
      <c r="N110" s="242"/>
      <c r="O110" s="242"/>
      <c r="P110" s="242"/>
      <c r="Q110" s="242"/>
      <c r="R110" s="242"/>
      <c r="S110" s="242"/>
      <c r="T110" s="242"/>
      <c r="U110" s="242"/>
      <c r="V110" s="242"/>
      <c r="W110" s="242"/>
      <c r="X110" s="242"/>
      <c r="Y110" s="242"/>
      <c r="Z110" s="242"/>
      <c r="AA110" s="242"/>
      <c r="AB110" s="242"/>
      <c r="AC110" s="242"/>
      <c r="AD110" s="242"/>
      <c r="AE110" s="242"/>
      <c r="AF110" s="242"/>
      <c r="AG110" s="242"/>
      <c r="AH110" s="242"/>
      <c r="AI110" s="242"/>
      <c r="AJ110" s="242"/>
      <c r="AK110" s="242"/>
      <c r="AL110" s="242"/>
      <c r="AM110" s="242"/>
      <c r="AN110" s="242"/>
      <c r="AO110" s="242"/>
      <c r="AP110" s="242"/>
      <c r="AQ110" s="242"/>
      <c r="BB110" s="87"/>
      <c r="BC110" s="87"/>
      <c r="BD110" s="87"/>
      <c r="BE110" s="129"/>
    </row>
    <row r="111" spans="1:57" x14ac:dyDescent="0.15">
      <c r="A111" s="330" t="s">
        <v>134</v>
      </c>
      <c r="B111" s="331"/>
      <c r="C111" s="331"/>
      <c r="D111" s="333" t="str">
        <f>Calculations!AD71</f>
        <v>Local Share</v>
      </c>
      <c r="E111" s="332"/>
      <c r="F111" s="242"/>
      <c r="G111" s="242"/>
      <c r="H111" s="242"/>
      <c r="I111" s="242"/>
      <c r="J111" s="242"/>
      <c r="K111" s="242"/>
      <c r="L111" s="242"/>
      <c r="M111" s="242"/>
      <c r="N111" s="242"/>
      <c r="O111" s="242"/>
      <c r="P111" s="242"/>
      <c r="Q111" s="242"/>
      <c r="R111" s="242"/>
      <c r="S111" s="242"/>
      <c r="T111" s="242"/>
      <c r="U111" s="242"/>
      <c r="V111" s="242"/>
      <c r="W111" s="242"/>
      <c r="X111" s="242"/>
      <c r="Y111" s="242"/>
      <c r="Z111" s="242"/>
      <c r="AA111" s="242"/>
      <c r="AB111" s="242"/>
      <c r="AC111" s="242"/>
      <c r="AD111" s="242"/>
      <c r="AE111" s="242"/>
      <c r="AF111" s="242"/>
      <c r="AG111" s="242"/>
      <c r="AH111" s="242"/>
      <c r="AI111" s="242"/>
      <c r="AJ111" s="242"/>
      <c r="AK111" s="242"/>
      <c r="AL111" s="242"/>
      <c r="AM111" s="242"/>
      <c r="AN111" s="242"/>
      <c r="AO111" s="242"/>
      <c r="AP111" s="242"/>
      <c r="AQ111" s="242"/>
      <c r="BB111" s="49" t="s">
        <v>134</v>
      </c>
      <c r="BC111" s="87"/>
      <c r="BD111" s="87"/>
      <c r="BE111" s="130"/>
    </row>
    <row r="112" spans="1:57" x14ac:dyDescent="0.15">
      <c r="A112" s="418" t="s">
        <v>230</v>
      </c>
      <c r="B112" s="242"/>
      <c r="C112" s="242"/>
      <c r="D112" s="462"/>
      <c r="E112" s="462"/>
      <c r="F112" s="242"/>
      <c r="G112" s="242"/>
      <c r="H112" s="242"/>
      <c r="I112" s="242"/>
      <c r="J112" s="242"/>
      <c r="K112" s="242"/>
      <c r="L112" s="242"/>
      <c r="M112" s="242"/>
      <c r="N112" s="242"/>
      <c r="O112" s="242"/>
      <c r="P112" s="242"/>
      <c r="Q112" s="242"/>
      <c r="R112" s="242"/>
      <c r="S112" s="242"/>
      <c r="T112" s="242"/>
      <c r="U112" s="242"/>
      <c r="V112" s="242"/>
      <c r="W112" s="242"/>
      <c r="X112" s="242"/>
      <c r="Y112" s="242"/>
      <c r="Z112" s="242"/>
      <c r="AA112" s="242"/>
      <c r="AB112" s="242"/>
      <c r="AC112" s="242"/>
      <c r="AD112" s="242"/>
      <c r="AE112" s="242"/>
      <c r="AF112" s="242"/>
      <c r="AG112" s="242"/>
      <c r="AH112" s="242"/>
      <c r="AI112" s="242"/>
      <c r="AJ112" s="242"/>
      <c r="AK112" s="242"/>
      <c r="AL112" s="242"/>
      <c r="AM112" s="242"/>
      <c r="AN112" s="242"/>
      <c r="AO112" s="242"/>
      <c r="AP112" s="242"/>
      <c r="AQ112" s="242"/>
      <c r="BB112" s="90" t="s">
        <v>230</v>
      </c>
      <c r="BC112" s="87"/>
      <c r="BD112" s="87"/>
      <c r="BE112" s="130"/>
    </row>
    <row r="113" spans="1:57" x14ac:dyDescent="0.15">
      <c r="A113" s="242" t="s">
        <v>135</v>
      </c>
      <c r="B113" s="242"/>
      <c r="C113" s="467">
        <f>Calculations!AC74</f>
        <v>0.8</v>
      </c>
      <c r="D113" s="462">
        <f>Calculations!AD74</f>
        <v>0</v>
      </c>
      <c r="E113" s="462"/>
      <c r="F113" s="242"/>
      <c r="G113" s="242"/>
      <c r="H113" s="242"/>
      <c r="I113" s="242"/>
      <c r="J113" s="242"/>
      <c r="K113" s="242"/>
      <c r="L113" s="242"/>
      <c r="M113" s="242"/>
      <c r="N113" s="242"/>
      <c r="O113" s="242"/>
      <c r="P113" s="242"/>
      <c r="Q113" s="242"/>
      <c r="R113" s="242"/>
      <c r="S113" s="242"/>
      <c r="T113" s="242"/>
      <c r="U113" s="242"/>
      <c r="V113" s="242"/>
      <c r="W113" s="242"/>
      <c r="X113" s="242"/>
      <c r="Y113" s="242"/>
      <c r="Z113" s="242"/>
      <c r="AA113" s="242"/>
      <c r="AB113" s="242"/>
      <c r="AC113" s="242"/>
      <c r="AD113" s="242"/>
      <c r="AE113" s="242"/>
      <c r="AF113" s="242"/>
      <c r="AG113" s="242"/>
      <c r="AH113" s="242"/>
      <c r="AI113" s="242"/>
      <c r="AJ113" s="242"/>
      <c r="AK113" s="242"/>
      <c r="AL113" s="242"/>
      <c r="AM113" s="242"/>
      <c r="AN113" s="242"/>
      <c r="AO113" s="242"/>
      <c r="AP113" s="242"/>
      <c r="AQ113" s="242"/>
      <c r="BB113" s="87" t="s">
        <v>135</v>
      </c>
      <c r="BC113" s="87"/>
      <c r="BD113" s="133">
        <f>C113</f>
        <v>0.8</v>
      </c>
      <c r="BE113" s="133">
        <f>D113</f>
        <v>0</v>
      </c>
    </row>
    <row r="114" spans="1:57" x14ac:dyDescent="0.15">
      <c r="A114" s="242" t="s">
        <v>136</v>
      </c>
      <c r="B114" s="242"/>
      <c r="C114" s="436">
        <f>Calculations!AC75</f>
        <v>10</v>
      </c>
      <c r="D114" s="462"/>
      <c r="E114" s="462"/>
      <c r="F114" s="242"/>
      <c r="G114" s="242"/>
      <c r="H114" s="242"/>
      <c r="I114" s="242"/>
      <c r="J114" s="242"/>
      <c r="K114" s="242"/>
      <c r="L114" s="242"/>
      <c r="M114" s="242"/>
      <c r="N114" s="242"/>
      <c r="O114" s="242"/>
      <c r="P114" s="242"/>
      <c r="Q114" s="242"/>
      <c r="R114" s="242"/>
      <c r="S114" s="242"/>
      <c r="T114" s="242"/>
      <c r="U114" s="242"/>
      <c r="V114" s="242"/>
      <c r="W114" s="242"/>
      <c r="X114" s="242"/>
      <c r="Y114" s="242"/>
      <c r="Z114" s="242"/>
      <c r="AA114" s="242"/>
      <c r="AB114" s="242"/>
      <c r="AC114" s="242"/>
      <c r="AD114" s="242"/>
      <c r="AE114" s="242"/>
      <c r="AF114" s="242"/>
      <c r="AG114" s="242"/>
      <c r="AH114" s="242"/>
      <c r="AI114" s="242"/>
      <c r="AJ114" s="242"/>
      <c r="AK114" s="242"/>
      <c r="AL114" s="242"/>
      <c r="AM114" s="242"/>
      <c r="AN114" s="242"/>
      <c r="AO114" s="242"/>
      <c r="AP114" s="242"/>
      <c r="AQ114" s="242"/>
      <c r="BB114" s="87" t="s">
        <v>136</v>
      </c>
      <c r="BC114" s="87"/>
      <c r="BD114" s="134">
        <f t="shared" ref="BD114:BD121" si="13">C114</f>
        <v>10</v>
      </c>
      <c r="BE114" s="130"/>
    </row>
    <row r="115" spans="1:57" x14ac:dyDescent="0.15">
      <c r="A115" s="242" t="s">
        <v>137</v>
      </c>
      <c r="B115" s="242"/>
      <c r="C115" s="467">
        <f>Calculations!AC76</f>
        <v>6.3E-2</v>
      </c>
      <c r="D115" s="462"/>
      <c r="E115" s="462"/>
      <c r="F115" s="242"/>
      <c r="G115" s="242"/>
      <c r="H115" s="242"/>
      <c r="I115" s="242"/>
      <c r="J115" s="242"/>
      <c r="K115" s="242"/>
      <c r="L115" s="242"/>
      <c r="M115" s="242"/>
      <c r="N115" s="242"/>
      <c r="O115" s="242"/>
      <c r="P115" s="242"/>
      <c r="Q115" s="242"/>
      <c r="R115" s="242"/>
      <c r="S115" s="242"/>
      <c r="T115" s="242"/>
      <c r="U115" s="242"/>
      <c r="V115" s="242"/>
      <c r="W115" s="242"/>
      <c r="X115" s="242"/>
      <c r="Y115" s="242"/>
      <c r="Z115" s="242"/>
      <c r="AA115" s="242"/>
      <c r="AB115" s="242"/>
      <c r="AC115" s="242"/>
      <c r="AD115" s="242"/>
      <c r="AE115" s="242"/>
      <c r="AF115" s="242"/>
      <c r="AG115" s="242"/>
      <c r="AH115" s="242"/>
      <c r="AI115" s="242"/>
      <c r="AJ115" s="242"/>
      <c r="AK115" s="242"/>
      <c r="AL115" s="242"/>
      <c r="AM115" s="242"/>
      <c r="AN115" s="242"/>
      <c r="AO115" s="242"/>
      <c r="AP115" s="242"/>
      <c r="AQ115" s="242"/>
      <c r="BB115" s="87" t="s">
        <v>137</v>
      </c>
      <c r="BC115" s="87"/>
      <c r="BD115" s="133">
        <f t="shared" si="13"/>
        <v>6.3E-2</v>
      </c>
      <c r="BE115" s="130"/>
    </row>
    <row r="116" spans="1:57" x14ac:dyDescent="0.15">
      <c r="A116" s="461" t="s">
        <v>231</v>
      </c>
      <c r="B116" s="242"/>
      <c r="C116" s="467"/>
      <c r="D116" s="462"/>
      <c r="E116" s="462"/>
      <c r="F116" s="242"/>
      <c r="G116" s="242"/>
      <c r="H116" s="242"/>
      <c r="I116" s="242"/>
      <c r="J116" s="242"/>
      <c r="K116" s="242"/>
      <c r="L116" s="242"/>
      <c r="M116" s="242"/>
      <c r="N116" s="242"/>
      <c r="O116" s="242"/>
      <c r="P116" s="242"/>
      <c r="Q116" s="242"/>
      <c r="R116" s="242"/>
      <c r="S116" s="242"/>
      <c r="T116" s="242"/>
      <c r="U116" s="242"/>
      <c r="V116" s="242"/>
      <c r="W116" s="242"/>
      <c r="X116" s="242"/>
      <c r="Y116" s="242"/>
      <c r="Z116" s="242"/>
      <c r="AA116" s="242"/>
      <c r="AB116" s="242"/>
      <c r="AC116" s="242"/>
      <c r="AD116" s="242"/>
      <c r="AE116" s="242"/>
      <c r="AF116" s="242"/>
      <c r="AG116" s="242"/>
      <c r="AH116" s="242"/>
      <c r="AI116" s="242"/>
      <c r="AJ116" s="242"/>
      <c r="AK116" s="242"/>
      <c r="AL116" s="242"/>
      <c r="AM116" s="242"/>
      <c r="AN116" s="242"/>
      <c r="AO116" s="242"/>
      <c r="AP116" s="242"/>
      <c r="AQ116" s="242"/>
      <c r="BB116" s="49" t="s">
        <v>231</v>
      </c>
      <c r="BC116" s="87"/>
      <c r="BD116" s="133"/>
      <c r="BE116" s="130"/>
    </row>
    <row r="117" spans="1:57" x14ac:dyDescent="0.15">
      <c r="A117" s="242" t="s">
        <v>228</v>
      </c>
      <c r="B117" s="242"/>
      <c r="C117" s="467">
        <f>Calculations!AC78</f>
        <v>0.19999999999999996</v>
      </c>
      <c r="D117" s="462"/>
      <c r="E117" s="462"/>
      <c r="F117" s="242"/>
      <c r="G117" s="242"/>
      <c r="H117" s="242"/>
      <c r="I117" s="242"/>
      <c r="J117" s="242"/>
      <c r="K117" s="242"/>
      <c r="L117" s="242"/>
      <c r="M117" s="242"/>
      <c r="N117" s="242"/>
      <c r="O117" s="242"/>
      <c r="P117" s="242"/>
      <c r="Q117" s="242"/>
      <c r="R117" s="242"/>
      <c r="S117" s="242"/>
      <c r="T117" s="242"/>
      <c r="U117" s="242"/>
      <c r="V117" s="242"/>
      <c r="W117" s="242"/>
      <c r="X117" s="242"/>
      <c r="Y117" s="242"/>
      <c r="Z117" s="242"/>
      <c r="AA117" s="242"/>
      <c r="AB117" s="242"/>
      <c r="AC117" s="242"/>
      <c r="AD117" s="242"/>
      <c r="AE117" s="242"/>
      <c r="AF117" s="242"/>
      <c r="AG117" s="242"/>
      <c r="AH117" s="242"/>
      <c r="AI117" s="242"/>
      <c r="AJ117" s="242"/>
      <c r="AK117" s="242"/>
      <c r="AL117" s="242"/>
      <c r="AM117" s="242"/>
      <c r="AN117" s="242"/>
      <c r="AO117" s="242"/>
      <c r="AP117" s="242"/>
      <c r="AQ117" s="242"/>
      <c r="BB117" s="87" t="s">
        <v>228</v>
      </c>
      <c r="BC117" s="87"/>
      <c r="BD117" s="133">
        <f t="shared" si="13"/>
        <v>0.19999999999999996</v>
      </c>
      <c r="BE117" s="130"/>
    </row>
    <row r="118" spans="1:57" x14ac:dyDescent="0.15">
      <c r="A118" s="242" t="s">
        <v>247</v>
      </c>
      <c r="B118" s="242"/>
      <c r="C118" s="467">
        <f>Calculations!AC79</f>
        <v>0</v>
      </c>
      <c r="D118" s="462">
        <f>Calculations!AD79</f>
        <v>1</v>
      </c>
      <c r="E118" s="462"/>
      <c r="F118" s="242"/>
      <c r="G118" s="242"/>
      <c r="H118" s="242"/>
      <c r="I118" s="242"/>
      <c r="J118" s="242"/>
      <c r="K118" s="242"/>
      <c r="L118" s="242"/>
      <c r="M118" s="242"/>
      <c r="N118" s="242"/>
      <c r="O118" s="242"/>
      <c r="P118" s="242"/>
      <c r="Q118" s="242"/>
      <c r="R118" s="242"/>
      <c r="S118" s="242"/>
      <c r="T118" s="242"/>
      <c r="U118" s="242"/>
      <c r="V118" s="242"/>
      <c r="W118" s="242"/>
      <c r="X118" s="242"/>
      <c r="Y118" s="242"/>
      <c r="Z118" s="242"/>
      <c r="AA118" s="242"/>
      <c r="AB118" s="242"/>
      <c r="AC118" s="242"/>
      <c r="AD118" s="242"/>
      <c r="AE118" s="242"/>
      <c r="AF118" s="242"/>
      <c r="AG118" s="242"/>
      <c r="AH118" s="242"/>
      <c r="AI118" s="242"/>
      <c r="AJ118" s="242"/>
      <c r="AK118" s="242"/>
      <c r="AL118" s="242"/>
      <c r="AM118" s="242"/>
      <c r="AN118" s="242"/>
      <c r="AO118" s="242"/>
      <c r="AP118" s="242"/>
      <c r="AQ118" s="242"/>
      <c r="BB118" s="87" t="s">
        <v>247</v>
      </c>
      <c r="BC118" s="87"/>
      <c r="BD118" s="133">
        <f t="shared" si="13"/>
        <v>0</v>
      </c>
      <c r="BE118" s="133">
        <f>D118</f>
        <v>1</v>
      </c>
    </row>
    <row r="119" spans="1:57" x14ac:dyDescent="0.15">
      <c r="A119" s="242" t="s">
        <v>248</v>
      </c>
      <c r="B119" s="242"/>
      <c r="C119" s="467">
        <f>Calculations!AC80</f>
        <v>1</v>
      </c>
      <c r="D119" s="462">
        <f>Calculations!AD80</f>
        <v>0</v>
      </c>
      <c r="E119" s="462"/>
      <c r="F119" s="242"/>
      <c r="G119" s="242"/>
      <c r="H119" s="242"/>
      <c r="I119" s="242"/>
      <c r="J119" s="242"/>
      <c r="K119" s="242"/>
      <c r="L119" s="242"/>
      <c r="M119" s="242"/>
      <c r="N119" s="242"/>
      <c r="O119" s="242"/>
      <c r="P119" s="242"/>
      <c r="Q119" s="242"/>
      <c r="R119" s="242"/>
      <c r="S119" s="242"/>
      <c r="T119" s="242"/>
      <c r="U119" s="242"/>
      <c r="V119" s="242"/>
      <c r="W119" s="242"/>
      <c r="X119" s="242"/>
      <c r="Y119" s="242"/>
      <c r="Z119" s="242"/>
      <c r="AA119" s="242"/>
      <c r="AB119" s="242"/>
      <c r="AC119" s="242"/>
      <c r="AD119" s="242"/>
      <c r="AE119" s="242"/>
      <c r="AF119" s="242"/>
      <c r="AG119" s="242"/>
      <c r="AH119" s="242"/>
      <c r="AI119" s="242"/>
      <c r="AJ119" s="242"/>
      <c r="AK119" s="242"/>
      <c r="AL119" s="242"/>
      <c r="AM119" s="242"/>
      <c r="AN119" s="242"/>
      <c r="AO119" s="242"/>
      <c r="AP119" s="242"/>
      <c r="AQ119" s="242"/>
      <c r="BB119" s="87" t="s">
        <v>248</v>
      </c>
      <c r="BC119" s="87"/>
      <c r="BD119" s="133">
        <f t="shared" si="13"/>
        <v>1</v>
      </c>
      <c r="BE119" s="133">
        <f>D119</f>
        <v>0</v>
      </c>
    </row>
    <row r="120" spans="1:57" x14ac:dyDescent="0.15">
      <c r="A120" s="242" t="s">
        <v>280</v>
      </c>
      <c r="B120" s="242"/>
      <c r="C120" s="467">
        <f>Calculations!AC81</f>
        <v>0.12</v>
      </c>
      <c r="D120" s="462"/>
      <c r="E120" s="462"/>
      <c r="F120" s="242"/>
      <c r="G120" s="242"/>
      <c r="H120" s="242"/>
      <c r="I120" s="242"/>
      <c r="J120" s="242"/>
      <c r="K120" s="242"/>
      <c r="L120" s="242"/>
      <c r="M120" s="242"/>
      <c r="N120" s="242"/>
      <c r="O120" s="242"/>
      <c r="P120" s="242"/>
      <c r="Q120" s="242"/>
      <c r="R120" s="242"/>
      <c r="S120" s="242"/>
      <c r="T120" s="242"/>
      <c r="U120" s="242"/>
      <c r="V120" s="242"/>
      <c r="W120" s="242"/>
      <c r="X120" s="242"/>
      <c r="Y120" s="242"/>
      <c r="Z120" s="242"/>
      <c r="AA120" s="242"/>
      <c r="AB120" s="242"/>
      <c r="AC120" s="242"/>
      <c r="AD120" s="242"/>
      <c r="AE120" s="242"/>
      <c r="AF120" s="242"/>
      <c r="AG120" s="242"/>
      <c r="AH120" s="242"/>
      <c r="AI120" s="242"/>
      <c r="AJ120" s="242"/>
      <c r="AK120" s="242"/>
      <c r="AL120" s="242"/>
      <c r="AM120" s="242"/>
      <c r="AN120" s="242"/>
      <c r="AO120" s="242"/>
      <c r="AP120" s="242"/>
      <c r="AQ120" s="242"/>
      <c r="BB120" s="87" t="s">
        <v>280</v>
      </c>
      <c r="BC120" s="87"/>
      <c r="BD120" s="133">
        <f t="shared" si="13"/>
        <v>0.12</v>
      </c>
      <c r="BE120" s="130"/>
    </row>
    <row r="121" spans="1:57" x14ac:dyDescent="0.15">
      <c r="A121" s="242" t="s">
        <v>235</v>
      </c>
      <c r="B121" s="242"/>
      <c r="C121" s="436">
        <f>Calculations!AC82</f>
        <v>10</v>
      </c>
      <c r="D121" s="462"/>
      <c r="E121" s="462"/>
      <c r="F121" s="242"/>
      <c r="G121" s="242"/>
      <c r="H121" s="242"/>
      <c r="I121" s="242"/>
      <c r="J121" s="242"/>
      <c r="K121" s="242"/>
      <c r="L121" s="242"/>
      <c r="M121" s="242"/>
      <c r="N121" s="242"/>
      <c r="O121" s="242"/>
      <c r="P121" s="242"/>
      <c r="Q121" s="242"/>
      <c r="R121" s="242"/>
      <c r="S121" s="242"/>
      <c r="T121" s="242"/>
      <c r="U121" s="242"/>
      <c r="V121" s="242"/>
      <c r="W121" s="242"/>
      <c r="X121" s="242"/>
      <c r="Y121" s="242"/>
      <c r="Z121" s="242"/>
      <c r="AA121" s="242"/>
      <c r="AB121" s="242"/>
      <c r="AC121" s="242"/>
      <c r="AD121" s="242"/>
      <c r="AE121" s="242"/>
      <c r="AF121" s="242"/>
      <c r="AG121" s="242"/>
      <c r="AH121" s="242"/>
      <c r="AI121" s="242"/>
      <c r="AJ121" s="242"/>
      <c r="AK121" s="242"/>
      <c r="AL121" s="242"/>
      <c r="AM121" s="242"/>
      <c r="AN121" s="242"/>
      <c r="AO121" s="242"/>
      <c r="AP121" s="242"/>
      <c r="AQ121" s="242"/>
      <c r="BB121" s="87" t="s">
        <v>235</v>
      </c>
      <c r="BC121" s="87"/>
      <c r="BD121" s="134">
        <f t="shared" si="13"/>
        <v>10</v>
      </c>
      <c r="BE121" s="130"/>
    </row>
    <row r="122" spans="1:57" x14ac:dyDescent="0.15">
      <c r="A122" s="461" t="s">
        <v>203</v>
      </c>
      <c r="B122" s="242"/>
      <c r="C122" s="436"/>
      <c r="D122" s="462"/>
      <c r="E122" s="462"/>
      <c r="F122" s="242"/>
      <c r="G122" s="242"/>
      <c r="H122" s="242"/>
      <c r="I122" s="242"/>
      <c r="J122" s="242"/>
      <c r="K122" s="242"/>
      <c r="L122" s="242"/>
      <c r="M122" s="242"/>
      <c r="N122" s="242"/>
      <c r="O122" s="242"/>
      <c r="P122" s="242"/>
      <c r="Q122" s="242"/>
      <c r="R122" s="242"/>
      <c r="S122" s="242"/>
      <c r="T122" s="242"/>
      <c r="U122" s="242"/>
      <c r="V122" s="242"/>
      <c r="W122" s="242"/>
      <c r="X122" s="242"/>
      <c r="Y122" s="242"/>
      <c r="Z122" s="242"/>
      <c r="AA122" s="242"/>
      <c r="AB122" s="242"/>
      <c r="AC122" s="242"/>
      <c r="AD122" s="242"/>
      <c r="AE122" s="242"/>
      <c r="AF122" s="242"/>
      <c r="AG122" s="242"/>
      <c r="AH122" s="242"/>
      <c r="AI122" s="242"/>
      <c r="AJ122" s="242"/>
      <c r="AK122" s="242"/>
      <c r="AL122" s="242"/>
      <c r="AM122" s="242"/>
      <c r="AN122" s="242"/>
      <c r="AO122" s="242"/>
      <c r="AP122" s="242"/>
      <c r="AQ122" s="242"/>
      <c r="BB122" s="49" t="s">
        <v>203</v>
      </c>
      <c r="BC122" s="87"/>
      <c r="BD122" s="135"/>
      <c r="BE122" s="130"/>
    </row>
    <row r="123" spans="1:57" x14ac:dyDescent="0.15">
      <c r="A123" s="441" t="s">
        <v>653</v>
      </c>
      <c r="B123" s="242"/>
      <c r="C123" s="485" t="str">
        <f>Calculations!AC84</f>
        <v>NA</v>
      </c>
      <c r="D123" s="462"/>
      <c r="E123" s="462"/>
      <c r="F123" s="242"/>
      <c r="G123" s="242"/>
      <c r="H123" s="242"/>
      <c r="I123" s="242"/>
      <c r="J123" s="242"/>
      <c r="K123" s="242"/>
      <c r="L123" s="242"/>
      <c r="M123" s="242"/>
      <c r="N123" s="242"/>
      <c r="O123" s="242"/>
      <c r="P123" s="242"/>
      <c r="Q123" s="242"/>
      <c r="R123" s="242"/>
      <c r="S123" s="242"/>
      <c r="T123" s="242"/>
      <c r="U123" s="242"/>
      <c r="V123" s="242"/>
      <c r="W123" s="242"/>
      <c r="X123" s="242"/>
      <c r="Y123" s="242"/>
      <c r="Z123" s="242"/>
      <c r="AA123" s="242"/>
      <c r="AB123" s="242"/>
      <c r="AC123" s="242"/>
      <c r="AD123" s="242"/>
      <c r="AE123" s="242"/>
      <c r="AF123" s="242"/>
      <c r="AG123" s="242"/>
      <c r="AH123" s="242"/>
      <c r="AI123" s="242"/>
      <c r="AJ123" s="242"/>
      <c r="AK123" s="242"/>
      <c r="AL123" s="242"/>
      <c r="AM123" s="242"/>
      <c r="AN123" s="242"/>
      <c r="AO123" s="242"/>
      <c r="AP123" s="242"/>
      <c r="AQ123" s="242"/>
      <c r="BB123" s="258" t="s">
        <v>653</v>
      </c>
      <c r="BC123" s="87"/>
      <c r="BD123" s="136" t="str">
        <f>C123</f>
        <v>NA</v>
      </c>
      <c r="BE123" s="130"/>
    </row>
    <row r="124" spans="1:57" x14ac:dyDescent="0.15">
      <c r="A124" s="242" t="s">
        <v>208</v>
      </c>
      <c r="B124" s="242"/>
      <c r="C124" s="467" t="str">
        <f>Calculations!AC85</f>
        <v>NA</v>
      </c>
      <c r="D124" s="462"/>
      <c r="E124" s="462"/>
      <c r="F124" s="242"/>
      <c r="G124" s="242"/>
      <c r="H124" s="242"/>
      <c r="I124" s="242"/>
      <c r="J124" s="242"/>
      <c r="K124" s="242"/>
      <c r="L124" s="242"/>
      <c r="M124" s="242"/>
      <c r="N124" s="242"/>
      <c r="O124" s="242"/>
      <c r="P124" s="242"/>
      <c r="Q124" s="242"/>
      <c r="R124" s="242"/>
      <c r="S124" s="242"/>
      <c r="T124" s="242"/>
      <c r="U124" s="242"/>
      <c r="V124" s="242"/>
      <c r="W124" s="242"/>
      <c r="X124" s="242"/>
      <c r="Y124" s="242"/>
      <c r="Z124" s="242"/>
      <c r="AA124" s="242"/>
      <c r="AB124" s="242"/>
      <c r="AC124" s="242"/>
      <c r="AD124" s="242"/>
      <c r="AE124" s="242"/>
      <c r="AF124" s="242"/>
      <c r="AG124" s="242"/>
      <c r="AH124" s="242"/>
      <c r="AI124" s="242"/>
      <c r="AJ124" s="242"/>
      <c r="AK124" s="242"/>
      <c r="AL124" s="242"/>
      <c r="AM124" s="242"/>
      <c r="AN124" s="242"/>
      <c r="AO124" s="242"/>
      <c r="AP124" s="242"/>
      <c r="AQ124" s="242"/>
      <c r="BB124" s="87" t="s">
        <v>208</v>
      </c>
      <c r="BC124" s="87"/>
      <c r="BD124" s="136" t="str">
        <f t="shared" ref="BD124:BD132" si="14">C124</f>
        <v>NA</v>
      </c>
      <c r="BE124" s="130"/>
    </row>
    <row r="125" spans="1:57" x14ac:dyDescent="0.15">
      <c r="A125" s="242"/>
      <c r="B125" s="242"/>
      <c r="C125" s="467"/>
      <c r="D125" s="462"/>
      <c r="E125" s="462"/>
      <c r="F125" s="242"/>
      <c r="G125" s="242"/>
      <c r="H125" s="242"/>
      <c r="I125" s="242"/>
      <c r="J125" s="242"/>
      <c r="K125" s="242"/>
      <c r="L125" s="242"/>
      <c r="M125" s="242"/>
      <c r="N125" s="242"/>
      <c r="O125" s="242"/>
      <c r="P125" s="242"/>
      <c r="Q125" s="242"/>
      <c r="R125" s="242"/>
      <c r="S125" s="242"/>
      <c r="T125" s="242"/>
      <c r="U125" s="242"/>
      <c r="V125" s="242"/>
      <c r="W125" s="242"/>
      <c r="X125" s="242"/>
      <c r="Y125" s="242"/>
      <c r="Z125" s="242"/>
      <c r="AA125" s="242"/>
      <c r="AB125" s="242"/>
      <c r="AC125" s="242"/>
      <c r="AD125" s="242"/>
      <c r="AE125" s="242"/>
      <c r="AF125" s="242"/>
      <c r="AG125" s="242"/>
      <c r="AH125" s="242"/>
      <c r="AI125" s="242"/>
      <c r="AJ125" s="242"/>
      <c r="AK125" s="242"/>
      <c r="AL125" s="242"/>
      <c r="AM125" s="242"/>
      <c r="AN125" s="242"/>
      <c r="AO125" s="242"/>
      <c r="AP125" s="242"/>
      <c r="AQ125" s="242"/>
      <c r="BB125" s="87"/>
      <c r="BC125" s="87"/>
      <c r="BD125" s="136"/>
      <c r="BE125" s="130"/>
    </row>
    <row r="126" spans="1:57" x14ac:dyDescent="0.15">
      <c r="A126" s="242" t="s">
        <v>298</v>
      </c>
      <c r="B126" s="242"/>
      <c r="C126" s="444" t="str">
        <f>Calculations!AC87</f>
        <v>NA</v>
      </c>
      <c r="D126" s="462"/>
      <c r="E126" s="462"/>
      <c r="F126" s="242"/>
      <c r="G126" s="242"/>
      <c r="H126" s="242"/>
      <c r="I126" s="242"/>
      <c r="J126" s="242"/>
      <c r="K126" s="242"/>
      <c r="L126" s="242"/>
      <c r="M126" s="242"/>
      <c r="N126" s="242"/>
      <c r="O126" s="242"/>
      <c r="P126" s="242"/>
      <c r="Q126" s="242"/>
      <c r="R126" s="242"/>
      <c r="S126" s="242"/>
      <c r="T126" s="242"/>
      <c r="U126" s="242"/>
      <c r="V126" s="242"/>
      <c r="W126" s="242"/>
      <c r="X126" s="242"/>
      <c r="Y126" s="242"/>
      <c r="Z126" s="242"/>
      <c r="AA126" s="242"/>
      <c r="AB126" s="242"/>
      <c r="AC126" s="242"/>
      <c r="AD126" s="242"/>
      <c r="AE126" s="242"/>
      <c r="AF126" s="242"/>
      <c r="AG126" s="242"/>
      <c r="AH126" s="242"/>
      <c r="AI126" s="242"/>
      <c r="AJ126" s="242"/>
      <c r="AK126" s="242"/>
      <c r="AL126" s="242"/>
      <c r="AM126" s="242"/>
      <c r="AN126" s="242"/>
      <c r="AO126" s="242"/>
      <c r="AP126" s="242"/>
      <c r="AQ126" s="242"/>
      <c r="BB126" s="87" t="s">
        <v>298</v>
      </c>
      <c r="BC126" s="87"/>
      <c r="BD126" s="137" t="str">
        <f t="shared" si="14"/>
        <v>NA</v>
      </c>
      <c r="BE126" s="130"/>
    </row>
    <row r="127" spans="1:57" x14ac:dyDescent="0.15">
      <c r="A127" s="469" t="s">
        <v>440</v>
      </c>
      <c r="B127" s="242"/>
      <c r="C127" s="444">
        <f>Calculations!AC88</f>
        <v>2971</v>
      </c>
      <c r="D127" s="462"/>
      <c r="E127" s="462"/>
      <c r="F127" s="242"/>
      <c r="G127" s="242"/>
      <c r="H127" s="242"/>
      <c r="I127" s="242"/>
      <c r="J127" s="242"/>
      <c r="K127" s="242"/>
      <c r="L127" s="242"/>
      <c r="M127" s="242"/>
      <c r="N127" s="242"/>
      <c r="O127" s="242"/>
      <c r="P127" s="242"/>
      <c r="Q127" s="242"/>
      <c r="R127" s="242"/>
      <c r="S127" s="242"/>
      <c r="T127" s="242"/>
      <c r="U127" s="242"/>
      <c r="V127" s="242"/>
      <c r="W127" s="242"/>
      <c r="X127" s="242"/>
      <c r="Y127" s="242"/>
      <c r="Z127" s="242"/>
      <c r="AA127" s="242"/>
      <c r="AB127" s="242"/>
      <c r="AC127" s="242"/>
      <c r="AD127" s="242"/>
      <c r="AE127" s="242"/>
      <c r="AF127" s="242"/>
      <c r="AG127" s="242"/>
      <c r="AH127" s="242"/>
      <c r="AI127" s="242"/>
      <c r="AJ127" s="242"/>
      <c r="AK127" s="242"/>
      <c r="AL127" s="242"/>
      <c r="AM127" s="242"/>
      <c r="AN127" s="242"/>
      <c r="AO127" s="242"/>
      <c r="AP127" s="242"/>
      <c r="AQ127" s="242"/>
      <c r="BB127" s="87" t="s">
        <v>443</v>
      </c>
      <c r="BC127" s="87"/>
      <c r="BD127" s="137">
        <f t="shared" si="14"/>
        <v>2971</v>
      </c>
      <c r="BE127" s="130"/>
    </row>
    <row r="128" spans="1:57" x14ac:dyDescent="0.15">
      <c r="A128" s="242" t="s">
        <v>209</v>
      </c>
      <c r="B128" s="242"/>
      <c r="C128" s="444">
        <f>Calculations!AC89</f>
        <v>891300</v>
      </c>
      <c r="D128" s="462">
        <f>Calculations!AD89</f>
        <v>1</v>
      </c>
      <c r="E128" s="462"/>
      <c r="F128" s="242"/>
      <c r="G128" s="242"/>
      <c r="H128" s="242"/>
      <c r="I128" s="242"/>
      <c r="J128" s="242"/>
      <c r="K128" s="242"/>
      <c r="L128" s="242"/>
      <c r="M128" s="242"/>
      <c r="N128" s="242"/>
      <c r="O128" s="242"/>
      <c r="P128" s="242"/>
      <c r="Q128" s="242"/>
      <c r="R128" s="242"/>
      <c r="S128" s="242"/>
      <c r="T128" s="242"/>
      <c r="U128" s="242"/>
      <c r="V128" s="242"/>
      <c r="W128" s="242"/>
      <c r="X128" s="242"/>
      <c r="Y128" s="242"/>
      <c r="Z128" s="242"/>
      <c r="AA128" s="242"/>
      <c r="AB128" s="242"/>
      <c r="AC128" s="242"/>
      <c r="AD128" s="242"/>
      <c r="AE128" s="242"/>
      <c r="AF128" s="242"/>
      <c r="AG128" s="242"/>
      <c r="AH128" s="242"/>
      <c r="AI128" s="242"/>
      <c r="AJ128" s="242"/>
      <c r="AK128" s="242"/>
      <c r="AL128" s="242"/>
      <c r="AM128" s="242"/>
      <c r="AN128" s="242"/>
      <c r="AO128" s="242"/>
      <c r="AP128" s="242"/>
      <c r="AQ128" s="242"/>
      <c r="BB128" s="87" t="s">
        <v>209</v>
      </c>
      <c r="BC128" s="87"/>
      <c r="BD128" s="137">
        <f t="shared" si="14"/>
        <v>891300</v>
      </c>
      <c r="BE128" s="133">
        <f>D128</f>
        <v>1</v>
      </c>
    </row>
    <row r="129" spans="1:57" x14ac:dyDescent="0.15">
      <c r="A129" s="470" t="s">
        <v>577</v>
      </c>
      <c r="B129" s="242"/>
      <c r="C129" s="468">
        <f>Calculations!AC90</f>
        <v>2.9000000000000001E-2</v>
      </c>
      <c r="D129" s="462">
        <f>Calculations!AD90</f>
        <v>1</v>
      </c>
      <c r="E129" s="462"/>
      <c r="F129" s="242"/>
      <c r="G129" s="242"/>
      <c r="H129" s="242"/>
      <c r="I129" s="242"/>
      <c r="J129" s="242"/>
      <c r="K129" s="242"/>
      <c r="L129" s="242"/>
      <c r="M129" s="242"/>
      <c r="N129" s="242"/>
      <c r="O129" s="242"/>
      <c r="P129" s="242"/>
      <c r="Q129" s="242"/>
      <c r="R129" s="242"/>
      <c r="S129" s="242"/>
      <c r="T129" s="242"/>
      <c r="U129" s="242"/>
      <c r="V129" s="242"/>
      <c r="W129" s="242"/>
      <c r="X129" s="242"/>
      <c r="Y129" s="242"/>
      <c r="Z129" s="242"/>
      <c r="AA129" s="242"/>
      <c r="AB129" s="242"/>
      <c r="AC129" s="242"/>
      <c r="AD129" s="242"/>
      <c r="AE129" s="242"/>
      <c r="AF129" s="242"/>
      <c r="AG129" s="242"/>
      <c r="AH129" s="242"/>
      <c r="AI129" s="242"/>
      <c r="AJ129" s="242"/>
      <c r="AK129" s="242"/>
      <c r="AL129" s="242"/>
      <c r="AM129" s="242"/>
      <c r="AN129" s="242"/>
      <c r="AO129" s="242"/>
      <c r="AP129" s="242"/>
      <c r="AQ129" s="242"/>
      <c r="BB129" s="276" t="s">
        <v>577</v>
      </c>
      <c r="BC129" s="87"/>
      <c r="BD129" s="136">
        <f t="shared" ref="BD129" si="15">C129</f>
        <v>2.9000000000000001E-2</v>
      </c>
      <c r="BE129" s="133">
        <f>D129</f>
        <v>1</v>
      </c>
    </row>
    <row r="130" spans="1:57" x14ac:dyDescent="0.15">
      <c r="A130" s="461" t="s">
        <v>204</v>
      </c>
      <c r="B130" s="242"/>
      <c r="C130" s="436"/>
      <c r="D130" s="462"/>
      <c r="E130" s="462"/>
      <c r="F130" s="242"/>
      <c r="G130" s="242"/>
      <c r="H130" s="242"/>
      <c r="I130" s="242"/>
      <c r="J130" s="242"/>
      <c r="K130" s="242"/>
      <c r="L130" s="242"/>
      <c r="M130" s="242"/>
      <c r="N130" s="242"/>
      <c r="O130" s="242"/>
      <c r="P130" s="242"/>
      <c r="Q130" s="242"/>
      <c r="R130" s="242"/>
      <c r="S130" s="242"/>
      <c r="T130" s="242"/>
      <c r="U130" s="242"/>
      <c r="V130" s="242"/>
      <c r="W130" s="242"/>
      <c r="X130" s="242"/>
      <c r="Y130" s="242"/>
      <c r="Z130" s="242"/>
      <c r="AA130" s="242"/>
      <c r="AB130" s="242"/>
      <c r="AC130" s="242"/>
      <c r="AD130" s="242"/>
      <c r="AE130" s="242"/>
      <c r="AF130" s="242"/>
      <c r="AG130" s="242"/>
      <c r="AH130" s="242"/>
      <c r="AI130" s="242"/>
      <c r="AJ130" s="242"/>
      <c r="AK130" s="242"/>
      <c r="AL130" s="242"/>
      <c r="AM130" s="242"/>
      <c r="AN130" s="242"/>
      <c r="AO130" s="242"/>
      <c r="AP130" s="242"/>
      <c r="AQ130" s="242"/>
      <c r="BB130" s="49" t="s">
        <v>204</v>
      </c>
      <c r="BC130" s="87"/>
      <c r="BD130" s="137"/>
      <c r="BE130" s="130"/>
    </row>
    <row r="131" spans="1:57" x14ac:dyDescent="0.15">
      <c r="A131" s="242" t="s">
        <v>252</v>
      </c>
      <c r="B131" s="242"/>
      <c r="C131" s="444">
        <f>Calculations!AC92</f>
        <v>13032.5</v>
      </c>
      <c r="D131" s="462"/>
      <c r="E131" s="462"/>
      <c r="F131" s="242"/>
      <c r="G131" s="242"/>
      <c r="H131" s="242"/>
      <c r="I131" s="242"/>
      <c r="J131" s="242"/>
      <c r="K131" s="242"/>
      <c r="L131" s="242"/>
      <c r="M131" s="242"/>
      <c r="N131" s="242"/>
      <c r="O131" s="242"/>
      <c r="P131" s="242"/>
      <c r="Q131" s="242"/>
      <c r="R131" s="242"/>
      <c r="S131" s="242"/>
      <c r="T131" s="242"/>
      <c r="U131" s="242"/>
      <c r="V131" s="242"/>
      <c r="W131" s="242"/>
      <c r="X131" s="242"/>
      <c r="Y131" s="242"/>
      <c r="Z131" s="242"/>
      <c r="AA131" s="242"/>
      <c r="AB131" s="242"/>
      <c r="AC131" s="242"/>
      <c r="AD131" s="242"/>
      <c r="AE131" s="242"/>
      <c r="AF131" s="242"/>
      <c r="AG131" s="242"/>
      <c r="AH131" s="242"/>
      <c r="AI131" s="242"/>
      <c r="AJ131" s="242"/>
      <c r="AK131" s="242"/>
      <c r="AL131" s="242"/>
      <c r="AM131" s="242"/>
      <c r="AN131" s="242"/>
      <c r="AO131" s="242"/>
      <c r="AP131" s="242"/>
      <c r="AQ131" s="242"/>
      <c r="BB131" s="87" t="s">
        <v>252</v>
      </c>
      <c r="BC131" s="87"/>
      <c r="BD131" s="137">
        <f t="shared" si="14"/>
        <v>13032.5</v>
      </c>
      <c r="BE131" s="130"/>
    </row>
    <row r="132" spans="1:57" x14ac:dyDescent="0.15">
      <c r="A132" s="242" t="s">
        <v>205</v>
      </c>
      <c r="B132" s="242"/>
      <c r="C132" s="444">
        <f>Calculations!AC93</f>
        <v>1563900</v>
      </c>
      <c r="D132" s="462"/>
      <c r="E132" s="462"/>
      <c r="F132" s="242"/>
      <c r="G132" s="242"/>
      <c r="H132" s="242"/>
      <c r="I132" s="242"/>
      <c r="J132" s="242"/>
      <c r="K132" s="242"/>
      <c r="L132" s="242"/>
      <c r="M132" s="242"/>
      <c r="N132" s="242"/>
      <c r="O132" s="242"/>
      <c r="P132" s="242"/>
      <c r="Q132" s="242"/>
      <c r="R132" s="242"/>
      <c r="S132" s="242"/>
      <c r="T132" s="242"/>
      <c r="U132" s="242"/>
      <c r="V132" s="242"/>
      <c r="W132" s="242"/>
      <c r="X132" s="242"/>
      <c r="Y132" s="242"/>
      <c r="Z132" s="242"/>
      <c r="AA132" s="242"/>
      <c r="AB132" s="242"/>
      <c r="AC132" s="242"/>
      <c r="AD132" s="242"/>
      <c r="AE132" s="242"/>
      <c r="AF132" s="242"/>
      <c r="AG132" s="242"/>
      <c r="AH132" s="242"/>
      <c r="AI132" s="242"/>
      <c r="AJ132" s="242"/>
      <c r="AK132" s="242"/>
      <c r="AL132" s="242"/>
      <c r="AM132" s="242"/>
      <c r="AN132" s="242"/>
      <c r="AO132" s="242"/>
      <c r="AP132" s="242"/>
      <c r="AQ132" s="242"/>
      <c r="BB132" s="87" t="s">
        <v>205</v>
      </c>
      <c r="BC132" s="87"/>
      <c r="BD132" s="137">
        <f t="shared" si="14"/>
        <v>1563900</v>
      </c>
      <c r="BE132" s="130"/>
    </row>
    <row r="133" spans="1:57" x14ac:dyDescent="0.15">
      <c r="A133" s="242" t="s">
        <v>273</v>
      </c>
      <c r="B133" s="242"/>
      <c r="C133" s="436" t="str">
        <f>Calculations!AC94</f>
        <v>F</v>
      </c>
      <c r="D133" s="462">
        <f>Calculations!AD94</f>
        <v>1</v>
      </c>
      <c r="E133" s="462"/>
      <c r="F133" s="242"/>
      <c r="G133" s="242"/>
      <c r="H133" s="242"/>
      <c r="I133" s="242"/>
      <c r="J133" s="242"/>
      <c r="K133" s="242"/>
      <c r="L133" s="242"/>
      <c r="M133" s="242"/>
      <c r="N133" s="242"/>
      <c r="O133" s="242"/>
      <c r="P133" s="242"/>
      <c r="Q133" s="242"/>
      <c r="R133" s="242"/>
      <c r="S133" s="242"/>
      <c r="T133" s="242"/>
      <c r="U133" s="242"/>
      <c r="V133" s="242"/>
      <c r="W133" s="242"/>
      <c r="X133" s="242"/>
      <c r="Y133" s="242"/>
      <c r="Z133" s="242"/>
      <c r="AA133" s="242"/>
      <c r="AB133" s="242"/>
      <c r="AC133" s="242"/>
      <c r="AD133" s="242"/>
      <c r="AE133" s="242"/>
      <c r="AF133" s="242"/>
      <c r="AG133" s="242"/>
      <c r="AH133" s="242"/>
      <c r="AI133" s="242"/>
      <c r="AJ133" s="242"/>
      <c r="AK133" s="242"/>
      <c r="AL133" s="242"/>
      <c r="AM133" s="242"/>
      <c r="AN133" s="242"/>
      <c r="AO133" s="242"/>
      <c r="AP133" s="242"/>
      <c r="AQ133" s="242"/>
      <c r="BB133" s="87" t="s">
        <v>273</v>
      </c>
      <c r="BC133" s="87"/>
      <c r="BD133" s="135" t="str">
        <f>C133</f>
        <v>F</v>
      </c>
      <c r="BE133" s="133">
        <f>D133</f>
        <v>1</v>
      </c>
    </row>
    <row r="134" spans="1:57" x14ac:dyDescent="0.15">
      <c r="A134" s="471" t="s">
        <v>327</v>
      </c>
      <c r="B134" s="242"/>
      <c r="C134" s="472"/>
      <c r="D134" s="462"/>
      <c r="E134" s="462"/>
      <c r="F134" s="242"/>
      <c r="G134" s="242"/>
      <c r="H134" s="242"/>
      <c r="I134" s="242"/>
      <c r="J134" s="242"/>
      <c r="K134" s="242"/>
      <c r="L134" s="242"/>
      <c r="M134" s="242"/>
      <c r="N134" s="242"/>
      <c r="O134" s="242"/>
      <c r="P134" s="242"/>
      <c r="Q134" s="242"/>
      <c r="R134" s="242"/>
      <c r="S134" s="242"/>
      <c r="T134" s="242"/>
      <c r="U134" s="242"/>
      <c r="V134" s="242"/>
      <c r="W134" s="242"/>
      <c r="X134" s="242"/>
      <c r="Y134" s="242"/>
      <c r="Z134" s="242"/>
      <c r="AA134" s="242"/>
      <c r="AB134" s="242"/>
      <c r="AC134" s="242"/>
      <c r="AD134" s="242"/>
      <c r="AE134" s="242"/>
      <c r="AF134" s="242"/>
      <c r="AG134" s="242"/>
      <c r="AH134" s="242"/>
      <c r="AI134" s="242"/>
      <c r="AJ134" s="242"/>
      <c r="AK134" s="242"/>
      <c r="AL134" s="242"/>
      <c r="AM134" s="242"/>
      <c r="AN134" s="242"/>
      <c r="AO134" s="242"/>
      <c r="AP134" s="242"/>
      <c r="AQ134" s="242"/>
      <c r="BB134" s="74" t="s">
        <v>327</v>
      </c>
      <c r="BC134" s="87"/>
      <c r="BD134" s="135"/>
      <c r="BE134" s="133"/>
    </row>
    <row r="135" spans="1:57" x14ac:dyDescent="0.15">
      <c r="A135" s="471" t="s">
        <v>498</v>
      </c>
      <c r="B135" s="242"/>
      <c r="C135" s="473" t="s">
        <v>518</v>
      </c>
      <c r="D135" s="471" t="s">
        <v>540</v>
      </c>
      <c r="E135" s="471"/>
      <c r="F135" s="242"/>
      <c r="G135" s="242"/>
      <c r="H135" s="242"/>
      <c r="I135" s="242"/>
      <c r="J135" s="242"/>
      <c r="K135" s="242"/>
      <c r="L135" s="242"/>
      <c r="M135" s="242"/>
      <c r="N135" s="242"/>
      <c r="O135" s="242"/>
      <c r="P135" s="242"/>
      <c r="Q135" s="242"/>
      <c r="R135" s="242"/>
      <c r="S135" s="242"/>
      <c r="T135" s="242"/>
      <c r="U135" s="242"/>
      <c r="V135" s="242"/>
      <c r="W135" s="242"/>
      <c r="X135" s="242"/>
      <c r="Y135" s="242"/>
      <c r="Z135" s="242"/>
      <c r="AA135" s="242"/>
      <c r="AB135" s="242"/>
      <c r="AC135" s="242"/>
      <c r="AD135" s="242"/>
      <c r="AE135" s="242"/>
      <c r="AF135" s="242"/>
      <c r="AG135" s="242"/>
      <c r="AH135" s="242"/>
      <c r="AI135" s="242"/>
      <c r="AJ135" s="242"/>
      <c r="AK135" s="242"/>
      <c r="AL135" s="242"/>
      <c r="AM135" s="242"/>
      <c r="AN135" s="242"/>
      <c r="AO135" s="242"/>
      <c r="AP135" s="242"/>
      <c r="AQ135" s="242"/>
      <c r="BB135" s="74" t="s">
        <v>498</v>
      </c>
      <c r="BC135" s="87"/>
      <c r="BD135" s="216" t="s">
        <v>518</v>
      </c>
      <c r="BE135" s="74" t="s">
        <v>540</v>
      </c>
    </row>
    <row r="136" spans="1:57" x14ac:dyDescent="0.15">
      <c r="A136" s="420" t="s">
        <v>500</v>
      </c>
      <c r="B136" s="242"/>
      <c r="C136" s="419">
        <f>Calculations!AC97</f>
        <v>50.29</v>
      </c>
      <c r="D136" s="468">
        <f>Calculations!AE97</f>
        <v>0.37606110248282032</v>
      </c>
      <c r="E136" s="468"/>
      <c r="F136" s="242"/>
      <c r="G136" s="242"/>
      <c r="H136" s="242"/>
      <c r="I136" s="242"/>
      <c r="J136" s="242"/>
      <c r="K136" s="242"/>
      <c r="L136" s="242"/>
      <c r="M136" s="242"/>
      <c r="N136" s="242"/>
      <c r="O136" s="242"/>
      <c r="P136" s="242"/>
      <c r="Q136" s="242"/>
      <c r="R136" s="242"/>
      <c r="S136" s="242"/>
      <c r="T136" s="242"/>
      <c r="U136" s="242"/>
      <c r="V136" s="242"/>
      <c r="W136" s="242"/>
      <c r="X136" s="242"/>
      <c r="Y136" s="242"/>
      <c r="Z136" s="242"/>
      <c r="AA136" s="242"/>
      <c r="AB136" s="242"/>
      <c r="AC136" s="242"/>
      <c r="AD136" s="242"/>
      <c r="AE136" s="242"/>
      <c r="AF136" s="242"/>
      <c r="AG136" s="242"/>
      <c r="AH136" s="242"/>
      <c r="AI136" s="242"/>
      <c r="AJ136" s="242"/>
      <c r="AK136" s="242"/>
      <c r="AL136" s="242"/>
      <c r="AM136" s="242"/>
      <c r="AN136" s="242"/>
      <c r="AO136" s="242"/>
      <c r="AP136" s="242"/>
      <c r="AQ136" s="242"/>
      <c r="BB136" s="95" t="s">
        <v>500</v>
      </c>
      <c r="BC136" s="87"/>
      <c r="BD136" s="123">
        <f t="shared" ref="BD136:BE139" si="16">C136</f>
        <v>50.29</v>
      </c>
      <c r="BE136" s="136">
        <f t="shared" si="16"/>
        <v>0.37606110248282032</v>
      </c>
    </row>
    <row r="137" spans="1:57" x14ac:dyDescent="0.15">
      <c r="A137" s="420" t="s">
        <v>501</v>
      </c>
      <c r="B137" s="242"/>
      <c r="C137" s="419">
        <f>Calculations!AC98</f>
        <v>52.14</v>
      </c>
      <c r="D137" s="468">
        <f>Calculations!AE98</f>
        <v>0.37606110248282032</v>
      </c>
      <c r="E137" s="468"/>
      <c r="F137" s="242"/>
      <c r="G137" s="242"/>
      <c r="H137" s="242"/>
      <c r="I137" s="242"/>
      <c r="J137" s="242"/>
      <c r="K137" s="242"/>
      <c r="L137" s="242"/>
      <c r="M137" s="242"/>
      <c r="N137" s="242"/>
      <c r="O137" s="242"/>
      <c r="P137" s="242"/>
      <c r="Q137" s="242"/>
      <c r="R137" s="242"/>
      <c r="S137" s="242"/>
      <c r="T137" s="242"/>
      <c r="U137" s="242"/>
      <c r="V137" s="242"/>
      <c r="W137" s="242"/>
      <c r="X137" s="242"/>
      <c r="Y137" s="242"/>
      <c r="Z137" s="242"/>
      <c r="AA137" s="242"/>
      <c r="AB137" s="242"/>
      <c r="AC137" s="242"/>
      <c r="AD137" s="242"/>
      <c r="AE137" s="242"/>
      <c r="AF137" s="242"/>
      <c r="AG137" s="242"/>
      <c r="AH137" s="242"/>
      <c r="AI137" s="242"/>
      <c r="AJ137" s="242"/>
      <c r="AK137" s="242"/>
      <c r="AL137" s="242"/>
      <c r="AM137" s="242"/>
      <c r="AN137" s="242"/>
      <c r="AO137" s="242"/>
      <c r="AP137" s="242"/>
      <c r="AQ137" s="242"/>
      <c r="BB137" s="95" t="s">
        <v>501</v>
      </c>
      <c r="BC137" s="87"/>
      <c r="BD137" s="123">
        <f t="shared" si="16"/>
        <v>52.14</v>
      </c>
      <c r="BE137" s="136">
        <f t="shared" si="16"/>
        <v>0.37606110248282032</v>
      </c>
    </row>
    <row r="138" spans="1:57" x14ac:dyDescent="0.15">
      <c r="A138" s="420" t="s">
        <v>502</v>
      </c>
      <c r="B138" s="242"/>
      <c r="C138" s="419">
        <f>Calculations!AC99</f>
        <v>55.8</v>
      </c>
      <c r="D138" s="468">
        <f>Calculations!AE99</f>
        <v>0.37606110248282032</v>
      </c>
      <c r="E138" s="468"/>
      <c r="F138" s="242"/>
      <c r="G138" s="242"/>
      <c r="H138" s="242"/>
      <c r="I138" s="242"/>
      <c r="J138" s="242"/>
      <c r="K138" s="242"/>
      <c r="L138" s="242"/>
      <c r="M138" s="242"/>
      <c r="N138" s="242"/>
      <c r="O138" s="242"/>
      <c r="P138" s="242"/>
      <c r="Q138" s="242"/>
      <c r="R138" s="242"/>
      <c r="S138" s="242"/>
      <c r="T138" s="242"/>
      <c r="U138" s="242"/>
      <c r="V138" s="242"/>
      <c r="W138" s="242"/>
      <c r="X138" s="242"/>
      <c r="Y138" s="242"/>
      <c r="Z138" s="242"/>
      <c r="AA138" s="242"/>
      <c r="AB138" s="242"/>
      <c r="AC138" s="242"/>
      <c r="AD138" s="242"/>
      <c r="AE138" s="242"/>
      <c r="AF138" s="242"/>
      <c r="AG138" s="242"/>
      <c r="AH138" s="242"/>
      <c r="AI138" s="242"/>
      <c r="AJ138" s="242"/>
      <c r="AK138" s="242"/>
      <c r="AL138" s="242"/>
      <c r="AM138" s="242"/>
      <c r="AN138" s="242"/>
      <c r="AO138" s="242"/>
      <c r="AP138" s="242"/>
      <c r="AQ138" s="242"/>
      <c r="BB138" s="95" t="s">
        <v>502</v>
      </c>
      <c r="BC138" s="87"/>
      <c r="BD138" s="123">
        <f t="shared" si="16"/>
        <v>55.8</v>
      </c>
      <c r="BE138" s="136">
        <f t="shared" si="16"/>
        <v>0.37606110248282032</v>
      </c>
    </row>
    <row r="139" spans="1:57" x14ac:dyDescent="0.15">
      <c r="A139" s="420" t="s">
        <v>503</v>
      </c>
      <c r="B139" s="242"/>
      <c r="C139" s="419">
        <f>Calculations!AC100</f>
        <v>47.03</v>
      </c>
      <c r="D139" s="468">
        <f>Calculations!AE100</f>
        <v>0.37606110248282032</v>
      </c>
      <c r="E139" s="468"/>
      <c r="F139" s="242"/>
      <c r="G139" s="242"/>
      <c r="H139" s="242"/>
      <c r="I139" s="242"/>
      <c r="J139" s="242"/>
      <c r="K139" s="242"/>
      <c r="L139" s="242"/>
      <c r="M139" s="242"/>
      <c r="N139" s="242"/>
      <c r="O139" s="242"/>
      <c r="P139" s="242"/>
      <c r="Q139" s="242"/>
      <c r="R139" s="242"/>
      <c r="S139" s="242"/>
      <c r="T139" s="242"/>
      <c r="U139" s="242"/>
      <c r="V139" s="242"/>
      <c r="W139" s="242"/>
      <c r="X139" s="242"/>
      <c r="Y139" s="242"/>
      <c r="Z139" s="242"/>
      <c r="AA139" s="242"/>
      <c r="AB139" s="242"/>
      <c r="AC139" s="242"/>
      <c r="AD139" s="242"/>
      <c r="AE139" s="242"/>
      <c r="AF139" s="242"/>
      <c r="AG139" s="242"/>
      <c r="AH139" s="242"/>
      <c r="AI139" s="242"/>
      <c r="AJ139" s="242"/>
      <c r="AK139" s="242"/>
      <c r="AL139" s="242"/>
      <c r="AM139" s="242"/>
      <c r="AN139" s="242"/>
      <c r="AO139" s="242"/>
      <c r="AP139" s="242"/>
      <c r="AQ139" s="242"/>
      <c r="BB139" s="95" t="s">
        <v>503</v>
      </c>
      <c r="BC139" s="87"/>
      <c r="BD139" s="123">
        <f t="shared" si="16"/>
        <v>47.03</v>
      </c>
      <c r="BE139" s="136">
        <f t="shared" si="16"/>
        <v>0.37606110248282032</v>
      </c>
    </row>
    <row r="140" spans="1:57" x14ac:dyDescent="0.15">
      <c r="A140" s="471" t="s">
        <v>499</v>
      </c>
      <c r="B140" s="242"/>
      <c r="C140" s="473" t="s">
        <v>518</v>
      </c>
      <c r="D140" s="471" t="s">
        <v>540</v>
      </c>
      <c r="E140" s="471"/>
      <c r="F140" s="242"/>
      <c r="G140" s="242"/>
      <c r="H140" s="242"/>
      <c r="I140" s="242"/>
      <c r="J140" s="242"/>
      <c r="K140" s="242"/>
      <c r="L140" s="242"/>
      <c r="M140" s="242"/>
      <c r="N140" s="242"/>
      <c r="O140" s="242"/>
      <c r="P140" s="242"/>
      <c r="Q140" s="242"/>
      <c r="R140" s="242"/>
      <c r="S140" s="242"/>
      <c r="T140" s="242"/>
      <c r="U140" s="242"/>
      <c r="V140" s="242"/>
      <c r="W140" s="242"/>
      <c r="X140" s="242"/>
      <c r="Y140" s="242"/>
      <c r="Z140" s="242"/>
      <c r="AA140" s="242"/>
      <c r="AB140" s="242"/>
      <c r="AC140" s="242"/>
      <c r="AD140" s="242"/>
      <c r="AE140" s="242"/>
      <c r="AF140" s="242"/>
      <c r="AG140" s="242"/>
      <c r="AH140" s="242"/>
      <c r="AI140" s="242"/>
      <c r="AJ140" s="242"/>
      <c r="AK140" s="242"/>
      <c r="AL140" s="242"/>
      <c r="AM140" s="242"/>
      <c r="AN140" s="242"/>
      <c r="AO140" s="242"/>
      <c r="AP140" s="242"/>
      <c r="AQ140" s="242"/>
      <c r="BB140" s="74" t="s">
        <v>499</v>
      </c>
      <c r="BC140" s="87"/>
      <c r="BD140" s="216" t="s">
        <v>518</v>
      </c>
      <c r="BE140" s="74" t="s">
        <v>540</v>
      </c>
    </row>
    <row r="141" spans="1:57" x14ac:dyDescent="0.15">
      <c r="A141" s="474" t="s">
        <v>201</v>
      </c>
      <c r="B141" s="242"/>
      <c r="C141" s="419">
        <f>Calculations!AC102</f>
        <v>24.815033103797841</v>
      </c>
      <c r="D141" s="468">
        <f>Calculations!AE102</f>
        <v>0.37606110248282032</v>
      </c>
      <c r="E141" s="468"/>
      <c r="F141" s="242"/>
      <c r="G141" s="242"/>
      <c r="H141" s="242"/>
      <c r="I141" s="242"/>
      <c r="J141" s="242"/>
      <c r="K141" s="242"/>
      <c r="L141" s="242"/>
      <c r="M141" s="242"/>
      <c r="N141" s="242"/>
      <c r="O141" s="242"/>
      <c r="P141" s="242"/>
      <c r="Q141" s="242"/>
      <c r="R141" s="242"/>
      <c r="S141" s="242"/>
      <c r="T141" s="242"/>
      <c r="U141" s="242"/>
      <c r="V141" s="242"/>
      <c r="W141" s="242"/>
      <c r="X141" s="242"/>
      <c r="Y141" s="242"/>
      <c r="Z141" s="242"/>
      <c r="AA141" s="242"/>
      <c r="AB141" s="242"/>
      <c r="AC141" s="242"/>
      <c r="AD141" s="242"/>
      <c r="AE141" s="242"/>
      <c r="AF141" s="242"/>
      <c r="AG141" s="242"/>
      <c r="AH141" s="242"/>
      <c r="AI141" s="242"/>
      <c r="AJ141" s="242"/>
      <c r="AK141" s="242"/>
      <c r="AL141" s="242"/>
      <c r="AM141" s="242"/>
      <c r="AN141" s="242"/>
      <c r="AO141" s="242"/>
      <c r="AP141" s="242"/>
      <c r="AQ141" s="242"/>
      <c r="BB141" s="92" t="s">
        <v>201</v>
      </c>
      <c r="BC141" s="87"/>
      <c r="BD141" s="123">
        <f t="shared" ref="BD141:BE143" si="17">C141</f>
        <v>24.815033103797841</v>
      </c>
      <c r="BE141" s="136">
        <f t="shared" si="17"/>
        <v>0.37606110248282032</v>
      </c>
    </row>
    <row r="142" spans="1:57" x14ac:dyDescent="0.15">
      <c r="A142" s="420" t="s">
        <v>409</v>
      </c>
      <c r="B142" s="242"/>
      <c r="C142" s="419">
        <f>Calculations!AC103</f>
        <v>15.881621186430618</v>
      </c>
      <c r="D142" s="468">
        <f>Calculations!AE103</f>
        <v>0.37606110248282032</v>
      </c>
      <c r="E142" s="468"/>
      <c r="F142" s="242"/>
      <c r="G142" s="242"/>
      <c r="H142" s="242"/>
      <c r="I142" s="242"/>
      <c r="J142" s="242"/>
      <c r="K142" s="242"/>
      <c r="L142" s="242"/>
      <c r="M142" s="242"/>
      <c r="N142" s="242"/>
      <c r="O142" s="242"/>
      <c r="P142" s="242"/>
      <c r="Q142" s="242"/>
      <c r="R142" s="242"/>
      <c r="S142" s="242"/>
      <c r="T142" s="242"/>
      <c r="U142" s="242"/>
      <c r="V142" s="242"/>
      <c r="W142" s="242"/>
      <c r="X142" s="242"/>
      <c r="Y142" s="242"/>
      <c r="Z142" s="242"/>
      <c r="AA142" s="242"/>
      <c r="AB142" s="242"/>
      <c r="AC142" s="242"/>
      <c r="AD142" s="242"/>
      <c r="AE142" s="242"/>
      <c r="AF142" s="242"/>
      <c r="AG142" s="242"/>
      <c r="AH142" s="242"/>
      <c r="AI142" s="242"/>
      <c r="AJ142" s="242"/>
      <c r="AK142" s="242"/>
      <c r="AL142" s="242"/>
      <c r="AM142" s="242"/>
      <c r="AN142" s="242"/>
      <c r="AO142" s="242"/>
      <c r="AP142" s="242"/>
      <c r="AQ142" s="242"/>
      <c r="BB142" s="95" t="s">
        <v>409</v>
      </c>
      <c r="BC142" s="87"/>
      <c r="BD142" s="123">
        <f t="shared" si="17"/>
        <v>15.881621186430618</v>
      </c>
      <c r="BE142" s="136">
        <f t="shared" si="17"/>
        <v>0.37606110248282032</v>
      </c>
    </row>
    <row r="143" spans="1:57" x14ac:dyDescent="0.15">
      <c r="A143" s="420" t="s">
        <v>410</v>
      </c>
      <c r="B143" s="242"/>
      <c r="C143" s="419">
        <f>Calculations!AC104</f>
        <v>39.704052966076546</v>
      </c>
      <c r="D143" s="468">
        <f>Calculations!AE104</f>
        <v>0.37606110248282032</v>
      </c>
      <c r="E143" s="468"/>
      <c r="F143" s="242"/>
      <c r="G143" s="242"/>
      <c r="H143" s="242"/>
      <c r="I143" s="242"/>
      <c r="J143" s="242"/>
      <c r="K143" s="242"/>
      <c r="L143" s="242"/>
      <c r="M143" s="242"/>
      <c r="N143" s="242"/>
      <c r="O143" s="242"/>
      <c r="P143" s="242"/>
      <c r="Q143" s="242"/>
      <c r="R143" s="242"/>
      <c r="S143" s="242"/>
      <c r="T143" s="242"/>
      <c r="U143" s="242"/>
      <c r="V143" s="242"/>
      <c r="W143" s="242"/>
      <c r="X143" s="242"/>
      <c r="Y143" s="242"/>
      <c r="Z143" s="242"/>
      <c r="AA143" s="242"/>
      <c r="AB143" s="242"/>
      <c r="AC143" s="242"/>
      <c r="AD143" s="242"/>
      <c r="AE143" s="242"/>
      <c r="AF143" s="242"/>
      <c r="AG143" s="242"/>
      <c r="AH143" s="242"/>
      <c r="AI143" s="242"/>
      <c r="AJ143" s="242"/>
      <c r="AK143" s="242"/>
      <c r="AL143" s="242"/>
      <c r="AM143" s="242"/>
      <c r="AN143" s="242"/>
      <c r="AO143" s="242"/>
      <c r="AP143" s="242"/>
      <c r="AQ143" s="242"/>
      <c r="BB143" s="95" t="s">
        <v>410</v>
      </c>
      <c r="BC143" s="87"/>
      <c r="BD143" s="123">
        <f t="shared" si="17"/>
        <v>39.704052966076546</v>
      </c>
      <c r="BE143" s="136">
        <f t="shared" si="17"/>
        <v>0.37606110248282032</v>
      </c>
    </row>
    <row r="144" spans="1:57" x14ac:dyDescent="0.15">
      <c r="A144" s="242"/>
      <c r="B144" s="242"/>
      <c r="C144" s="242"/>
      <c r="D144" s="242"/>
      <c r="E144" s="242"/>
      <c r="F144" s="242"/>
      <c r="G144" s="242"/>
      <c r="H144" s="242"/>
      <c r="I144" s="242"/>
      <c r="J144" s="242"/>
      <c r="K144" s="242"/>
      <c r="L144" s="242"/>
      <c r="M144" s="242"/>
      <c r="N144" s="242"/>
      <c r="O144" s="242"/>
      <c r="P144" s="242"/>
      <c r="Q144" s="242"/>
      <c r="R144" s="242"/>
      <c r="S144" s="242"/>
      <c r="T144" s="242"/>
      <c r="U144" s="242"/>
      <c r="V144" s="242"/>
      <c r="W144" s="242"/>
      <c r="X144" s="242"/>
      <c r="Y144" s="242"/>
      <c r="Z144" s="242"/>
      <c r="AA144" s="242"/>
      <c r="AB144" s="242"/>
      <c r="AC144" s="242"/>
      <c r="AD144" s="242"/>
      <c r="AE144" s="242"/>
      <c r="AF144" s="242"/>
      <c r="AG144" s="242"/>
      <c r="AH144" s="242"/>
      <c r="AI144" s="242"/>
      <c r="AJ144" s="242"/>
      <c r="AK144" s="242"/>
      <c r="AL144" s="242"/>
      <c r="AM144" s="242"/>
      <c r="AN144" s="242"/>
      <c r="AO144" s="242"/>
      <c r="AP144" s="242"/>
      <c r="AQ144" s="242"/>
    </row>
    <row r="145" spans="1:57" x14ac:dyDescent="0.15">
      <c r="A145" s="242"/>
      <c r="B145" s="242"/>
      <c r="C145" s="242"/>
      <c r="D145" s="242"/>
      <c r="E145" s="242"/>
      <c r="F145" s="242"/>
      <c r="G145" s="242"/>
      <c r="H145" s="242"/>
      <c r="I145" s="242"/>
      <c r="J145" s="242"/>
      <c r="K145" s="242"/>
      <c r="L145" s="242"/>
      <c r="M145" s="242"/>
      <c r="N145" s="242"/>
      <c r="O145" s="242"/>
      <c r="P145" s="242"/>
      <c r="Q145" s="242"/>
      <c r="R145" s="242"/>
      <c r="S145" s="242"/>
      <c r="T145" s="242"/>
      <c r="U145" s="242"/>
      <c r="V145" s="242"/>
      <c r="W145" s="242"/>
      <c r="X145" s="242"/>
      <c r="Y145" s="242"/>
      <c r="Z145" s="242"/>
      <c r="AA145" s="242"/>
      <c r="AB145" s="242"/>
      <c r="AC145" s="242"/>
      <c r="AD145" s="242"/>
      <c r="AE145" s="242"/>
      <c r="AF145" s="242"/>
      <c r="AG145" s="242"/>
      <c r="AH145" s="242"/>
      <c r="AI145" s="242"/>
      <c r="AJ145" s="242"/>
      <c r="AK145" s="242"/>
      <c r="AL145" s="242"/>
      <c r="AM145" s="242"/>
      <c r="AN145" s="242"/>
      <c r="AO145" s="242"/>
      <c r="AP145" s="242"/>
      <c r="AQ145" s="242"/>
    </row>
    <row r="146" spans="1:57" x14ac:dyDescent="0.15">
      <c r="A146" s="242"/>
      <c r="B146" s="242"/>
      <c r="C146" s="242"/>
      <c r="D146" s="242"/>
      <c r="E146" s="242"/>
      <c r="F146" s="242"/>
      <c r="G146" s="242"/>
      <c r="H146" s="242"/>
      <c r="I146" s="242"/>
      <c r="J146" s="242"/>
      <c r="K146" s="242"/>
      <c r="L146" s="242"/>
      <c r="M146" s="242"/>
      <c r="N146" s="242"/>
      <c r="O146" s="242"/>
      <c r="P146" s="242"/>
      <c r="Q146" s="242"/>
      <c r="R146" s="242"/>
      <c r="S146" s="242"/>
      <c r="T146" s="242"/>
      <c r="U146" s="242"/>
      <c r="V146" s="242"/>
      <c r="W146" s="242"/>
      <c r="X146" s="242"/>
      <c r="Y146" s="242"/>
      <c r="Z146" s="242"/>
      <c r="AA146" s="242"/>
      <c r="AB146" s="242"/>
      <c r="AC146" s="242"/>
      <c r="AD146" s="242"/>
      <c r="AE146" s="242"/>
      <c r="AF146" s="242"/>
      <c r="AG146" s="242"/>
      <c r="AH146" s="242"/>
      <c r="AI146" s="242"/>
      <c r="AJ146" s="242"/>
      <c r="AK146" s="242"/>
      <c r="AL146" s="242"/>
      <c r="AM146" s="242"/>
      <c r="AN146" s="242"/>
      <c r="AO146" s="242"/>
      <c r="AP146" s="242"/>
      <c r="AQ146" s="242"/>
      <c r="BE146" s="25"/>
    </row>
    <row r="147" spans="1:57" x14ac:dyDescent="0.15">
      <c r="A147" s="242"/>
      <c r="B147" s="242"/>
      <c r="C147" s="242"/>
      <c r="D147" s="242"/>
      <c r="E147" s="242"/>
      <c r="F147" s="242"/>
      <c r="G147" s="242"/>
      <c r="H147" s="242"/>
      <c r="I147" s="242"/>
      <c r="J147" s="242"/>
      <c r="K147" s="242"/>
      <c r="L147" s="242"/>
      <c r="M147" s="242"/>
      <c r="N147" s="242"/>
      <c r="O147" s="242"/>
      <c r="P147" s="242"/>
      <c r="Q147" s="242"/>
      <c r="R147" s="242"/>
      <c r="S147" s="242"/>
      <c r="T147" s="242"/>
      <c r="U147" s="242"/>
      <c r="V147" s="242"/>
      <c r="W147" s="242"/>
      <c r="X147" s="242"/>
      <c r="Y147" s="242"/>
      <c r="Z147" s="242"/>
      <c r="AA147" s="242"/>
      <c r="AB147" s="242"/>
      <c r="AC147" s="242"/>
      <c r="AD147" s="242"/>
      <c r="AE147" s="242"/>
      <c r="AF147" s="242"/>
      <c r="AG147" s="242"/>
      <c r="AH147" s="242"/>
      <c r="AI147" s="242"/>
      <c r="AJ147" s="242"/>
      <c r="AK147" s="242"/>
      <c r="AL147" s="242"/>
      <c r="AM147" s="242"/>
      <c r="AN147" s="242"/>
      <c r="AO147" s="242"/>
      <c r="AP147" s="242"/>
      <c r="AQ147" s="242"/>
    </row>
    <row r="148" spans="1:57" x14ac:dyDescent="0.15">
      <c r="A148" s="242"/>
      <c r="B148" s="242"/>
      <c r="C148" s="242"/>
      <c r="D148" s="242"/>
      <c r="E148" s="242"/>
      <c r="F148" s="242"/>
      <c r="G148" s="242"/>
      <c r="H148" s="242"/>
      <c r="I148" s="242"/>
      <c r="J148" s="242"/>
      <c r="K148" s="242"/>
      <c r="L148" s="242"/>
      <c r="M148" s="242"/>
      <c r="N148" s="242"/>
      <c r="O148" s="242"/>
      <c r="P148" s="242"/>
      <c r="Q148" s="242"/>
      <c r="R148" s="242"/>
      <c r="S148" s="242"/>
      <c r="T148" s="242"/>
      <c r="U148" s="242"/>
      <c r="V148" s="242"/>
      <c r="W148" s="242"/>
      <c r="X148" s="242"/>
      <c r="Y148" s="242"/>
      <c r="Z148" s="242"/>
      <c r="AA148" s="242"/>
      <c r="AB148" s="242"/>
      <c r="AC148" s="242"/>
      <c r="AD148" s="242"/>
      <c r="AE148" s="242"/>
      <c r="AF148" s="242"/>
      <c r="AG148" s="242"/>
      <c r="AH148" s="242"/>
      <c r="AI148" s="242"/>
      <c r="AJ148" s="242"/>
      <c r="AK148" s="242"/>
      <c r="AL148" s="242"/>
      <c r="AM148" s="242"/>
      <c r="AN148" s="242"/>
      <c r="AO148" s="242"/>
      <c r="AP148" s="242"/>
      <c r="AQ148" s="242"/>
    </row>
    <row r="149" spans="1:57" x14ac:dyDescent="0.15">
      <c r="A149" s="242"/>
      <c r="B149" s="242"/>
      <c r="C149" s="242"/>
      <c r="D149" s="242"/>
      <c r="E149" s="242"/>
      <c r="F149" s="242"/>
      <c r="G149" s="242"/>
      <c r="H149" s="242"/>
      <c r="I149" s="242"/>
      <c r="J149" s="242"/>
      <c r="K149" s="242"/>
      <c r="L149" s="242"/>
      <c r="M149" s="242"/>
      <c r="N149" s="242"/>
      <c r="O149" s="242"/>
      <c r="P149" s="242"/>
      <c r="Q149" s="242"/>
      <c r="R149" s="242"/>
      <c r="S149" s="242"/>
      <c r="T149" s="242"/>
      <c r="U149" s="242"/>
      <c r="V149" s="242"/>
      <c r="W149" s="242"/>
      <c r="X149" s="242"/>
      <c r="Y149" s="242"/>
      <c r="Z149" s="242"/>
      <c r="AA149" s="242"/>
      <c r="AB149" s="242"/>
      <c r="AC149" s="242"/>
      <c r="AD149" s="242"/>
      <c r="AE149" s="242"/>
      <c r="AF149" s="242"/>
      <c r="AG149" s="242"/>
      <c r="AH149" s="242"/>
      <c r="AI149" s="242"/>
      <c r="AJ149" s="242"/>
      <c r="AK149" s="242"/>
      <c r="AL149" s="242"/>
      <c r="AM149" s="242"/>
      <c r="AN149" s="242"/>
      <c r="AO149" s="242"/>
      <c r="AP149" s="242"/>
      <c r="AQ149" s="242"/>
    </row>
    <row r="150" spans="1:57" x14ac:dyDescent="0.15">
      <c r="A150" s="242"/>
      <c r="B150" s="242"/>
      <c r="C150" s="242"/>
      <c r="D150" s="242"/>
      <c r="E150" s="242"/>
      <c r="F150" s="242"/>
      <c r="G150" s="242"/>
      <c r="H150" s="242"/>
      <c r="I150" s="242"/>
      <c r="J150" s="242"/>
      <c r="K150" s="242"/>
      <c r="L150" s="242"/>
      <c r="M150" s="242"/>
      <c r="N150" s="242"/>
      <c r="O150" s="242"/>
      <c r="P150" s="242"/>
      <c r="Q150" s="242"/>
      <c r="R150" s="242"/>
      <c r="S150" s="242"/>
      <c r="T150" s="242"/>
      <c r="U150" s="242"/>
      <c r="V150" s="242"/>
      <c r="W150" s="242"/>
      <c r="X150" s="242"/>
      <c r="Y150" s="242"/>
      <c r="Z150" s="242"/>
      <c r="AA150" s="242"/>
      <c r="AB150" s="242"/>
      <c r="AC150" s="242"/>
      <c r="AD150" s="242"/>
      <c r="AE150" s="242"/>
      <c r="AF150" s="242"/>
      <c r="AG150" s="242"/>
      <c r="AH150" s="242"/>
      <c r="AI150" s="242"/>
      <c r="AJ150" s="242"/>
      <c r="AK150" s="242"/>
      <c r="AL150" s="242"/>
      <c r="AM150" s="242"/>
      <c r="AN150" s="242"/>
      <c r="AO150" s="242"/>
      <c r="AP150" s="242"/>
      <c r="AQ150" s="242"/>
    </row>
    <row r="151" spans="1:57" x14ac:dyDescent="0.15">
      <c r="A151" s="242"/>
      <c r="B151" s="242"/>
      <c r="C151" s="242"/>
      <c r="D151" s="242"/>
      <c r="E151" s="242"/>
      <c r="F151" s="242"/>
      <c r="G151" s="242"/>
      <c r="H151" s="242"/>
      <c r="I151" s="242"/>
      <c r="J151" s="242"/>
      <c r="K151" s="242"/>
      <c r="L151" s="242"/>
      <c r="M151" s="242"/>
      <c r="N151" s="242"/>
      <c r="O151" s="242"/>
      <c r="P151" s="242"/>
      <c r="Q151" s="242"/>
      <c r="R151" s="242"/>
      <c r="S151" s="242"/>
      <c r="T151" s="242"/>
      <c r="U151" s="242"/>
      <c r="V151" s="242"/>
      <c r="W151" s="242"/>
      <c r="X151" s="242"/>
      <c r="Y151" s="242"/>
      <c r="Z151" s="242"/>
      <c r="AA151" s="242"/>
      <c r="AB151" s="242"/>
      <c r="AC151" s="242"/>
      <c r="AD151" s="242"/>
      <c r="AE151" s="242"/>
      <c r="AF151" s="242"/>
      <c r="AG151" s="242"/>
      <c r="AH151" s="242"/>
      <c r="AI151" s="242"/>
      <c r="AJ151" s="242"/>
      <c r="AK151" s="242"/>
      <c r="AL151" s="242"/>
      <c r="AM151" s="242"/>
      <c r="AN151" s="242"/>
      <c r="AO151" s="242"/>
      <c r="AP151" s="242"/>
      <c r="AQ151" s="242"/>
    </row>
    <row r="152" spans="1:57" x14ac:dyDescent="0.15">
      <c r="A152" s="242"/>
      <c r="B152" s="242"/>
      <c r="C152" s="242"/>
      <c r="D152" s="242"/>
      <c r="E152" s="242"/>
      <c r="F152" s="242"/>
      <c r="G152" s="242"/>
      <c r="H152" s="242"/>
      <c r="I152" s="242"/>
      <c r="J152" s="242"/>
      <c r="K152" s="242"/>
      <c r="L152" s="242"/>
      <c r="M152" s="242"/>
      <c r="N152" s="242"/>
      <c r="O152" s="242"/>
      <c r="P152" s="242"/>
      <c r="Q152" s="242"/>
      <c r="R152" s="242"/>
      <c r="S152" s="242"/>
      <c r="T152" s="242"/>
      <c r="U152" s="242"/>
      <c r="V152" s="242"/>
      <c r="W152" s="242"/>
      <c r="X152" s="242"/>
      <c r="Y152" s="242"/>
      <c r="Z152" s="242"/>
      <c r="AA152" s="242"/>
      <c r="AB152" s="242"/>
      <c r="AC152" s="242"/>
      <c r="AD152" s="242"/>
      <c r="AE152" s="242"/>
      <c r="AF152" s="242"/>
      <c r="AG152" s="242"/>
      <c r="AH152" s="242"/>
      <c r="AI152" s="242"/>
      <c r="AJ152" s="242"/>
      <c r="AK152" s="242"/>
      <c r="AL152" s="242"/>
      <c r="AM152" s="242"/>
      <c r="AN152" s="242"/>
      <c r="AO152" s="242"/>
      <c r="AP152" s="242"/>
      <c r="AQ152" s="242"/>
    </row>
    <row r="153" spans="1:57" x14ac:dyDescent="0.15">
      <c r="A153" s="242"/>
      <c r="B153" s="242"/>
      <c r="C153" s="242"/>
      <c r="D153" s="242"/>
      <c r="E153" s="242"/>
      <c r="F153" s="242"/>
      <c r="G153" s="242"/>
      <c r="H153" s="242"/>
      <c r="I153" s="242"/>
      <c r="J153" s="242"/>
      <c r="K153" s="242"/>
      <c r="L153" s="242"/>
      <c r="M153" s="242"/>
      <c r="N153" s="242"/>
      <c r="O153" s="242"/>
      <c r="P153" s="242"/>
      <c r="Q153" s="242"/>
      <c r="R153" s="242"/>
      <c r="S153" s="242"/>
      <c r="T153" s="242"/>
      <c r="U153" s="242"/>
      <c r="V153" s="242"/>
      <c r="W153" s="242"/>
      <c r="X153" s="242"/>
      <c r="Y153" s="242"/>
      <c r="Z153" s="242"/>
      <c r="AA153" s="242"/>
      <c r="AB153" s="242"/>
      <c r="AC153" s="242"/>
      <c r="AD153" s="242"/>
      <c r="AE153" s="242"/>
      <c r="AF153" s="242"/>
      <c r="AG153" s="242"/>
      <c r="AH153" s="242"/>
      <c r="AI153" s="242"/>
      <c r="AJ153" s="242"/>
      <c r="AK153" s="242"/>
      <c r="AL153" s="242"/>
      <c r="AM153" s="242"/>
      <c r="AN153" s="242"/>
      <c r="AO153" s="242"/>
      <c r="AP153" s="242"/>
      <c r="AQ153" s="242"/>
    </row>
    <row r="154" spans="1:57" x14ac:dyDescent="0.15">
      <c r="A154" s="242"/>
      <c r="B154" s="242"/>
      <c r="C154" s="242"/>
      <c r="D154" s="242"/>
      <c r="E154" s="242"/>
      <c r="F154" s="242"/>
      <c r="G154" s="242"/>
      <c r="H154" s="242"/>
      <c r="I154" s="242"/>
      <c r="J154" s="242"/>
      <c r="K154" s="242"/>
      <c r="L154" s="242"/>
      <c r="M154" s="242"/>
      <c r="N154" s="242"/>
      <c r="O154" s="242"/>
      <c r="P154" s="242"/>
      <c r="Q154" s="242"/>
      <c r="R154" s="242"/>
      <c r="S154" s="242"/>
      <c r="T154" s="242"/>
      <c r="U154" s="242"/>
      <c r="V154" s="242"/>
      <c r="W154" s="242"/>
      <c r="X154" s="242"/>
      <c r="Y154" s="242"/>
      <c r="Z154" s="242"/>
      <c r="AA154" s="242"/>
      <c r="AB154" s="242"/>
      <c r="AC154" s="242"/>
      <c r="AD154" s="242"/>
      <c r="AE154" s="242"/>
      <c r="AF154" s="242"/>
      <c r="AG154" s="242"/>
      <c r="AH154" s="242"/>
      <c r="AI154" s="242"/>
      <c r="AJ154" s="242"/>
      <c r="AK154" s="242"/>
      <c r="AL154" s="242"/>
      <c r="AM154" s="242"/>
      <c r="AN154" s="242"/>
      <c r="AO154" s="242"/>
      <c r="AP154" s="242"/>
      <c r="AQ154" s="242"/>
    </row>
    <row r="155" spans="1:57" x14ac:dyDescent="0.15">
      <c r="A155" s="242"/>
      <c r="B155" s="242"/>
      <c r="C155" s="242"/>
      <c r="D155" s="242"/>
      <c r="E155" s="242"/>
      <c r="F155" s="242"/>
      <c r="G155" s="242"/>
      <c r="H155" s="242"/>
      <c r="I155" s="242"/>
      <c r="J155" s="242"/>
      <c r="K155" s="242"/>
      <c r="L155" s="242"/>
      <c r="M155" s="242"/>
      <c r="N155" s="242"/>
      <c r="O155" s="242"/>
      <c r="P155" s="242"/>
      <c r="Q155" s="242"/>
      <c r="R155" s="242"/>
      <c r="S155" s="242"/>
      <c r="T155" s="242"/>
      <c r="U155" s="242"/>
      <c r="V155" s="242"/>
      <c r="W155" s="242"/>
      <c r="X155" s="242"/>
      <c r="Y155" s="242"/>
      <c r="Z155" s="242"/>
      <c r="AA155" s="242"/>
      <c r="AB155" s="242"/>
      <c r="AC155" s="242"/>
      <c r="AD155" s="242"/>
      <c r="AE155" s="242"/>
      <c r="AF155" s="242"/>
      <c r="AG155" s="242"/>
      <c r="AH155" s="242"/>
      <c r="AI155" s="242"/>
      <c r="AJ155" s="242"/>
      <c r="AK155" s="242"/>
      <c r="AL155" s="242"/>
      <c r="AM155" s="242"/>
      <c r="AN155" s="242"/>
      <c r="AO155" s="242"/>
      <c r="AP155" s="242"/>
      <c r="AQ155" s="242"/>
    </row>
    <row r="156" spans="1:57" x14ac:dyDescent="0.15">
      <c r="A156" s="242"/>
      <c r="B156" s="242"/>
      <c r="C156" s="242"/>
      <c r="D156" s="242"/>
      <c r="E156" s="242"/>
      <c r="F156" s="242"/>
      <c r="G156" s="242"/>
      <c r="H156" s="242"/>
      <c r="I156" s="242"/>
      <c r="J156" s="242"/>
      <c r="K156" s="242"/>
      <c r="L156" s="242"/>
      <c r="M156" s="242"/>
      <c r="N156" s="242"/>
      <c r="O156" s="242"/>
      <c r="P156" s="242"/>
      <c r="Q156" s="242"/>
      <c r="R156" s="242"/>
      <c r="S156" s="242"/>
      <c r="T156" s="242"/>
      <c r="U156" s="242"/>
      <c r="V156" s="242"/>
      <c r="W156" s="242"/>
      <c r="X156" s="242"/>
      <c r="Y156" s="242"/>
      <c r="Z156" s="242"/>
      <c r="AA156" s="242"/>
      <c r="AB156" s="242"/>
      <c r="AC156" s="242"/>
      <c r="AD156" s="242"/>
      <c r="AE156" s="242"/>
      <c r="AF156" s="242"/>
      <c r="AG156" s="242"/>
      <c r="AH156" s="242"/>
      <c r="AI156" s="242"/>
      <c r="AJ156" s="242"/>
      <c r="AK156" s="242"/>
      <c r="AL156" s="242"/>
      <c r="AM156" s="242"/>
      <c r="AN156" s="242"/>
      <c r="AO156" s="242"/>
      <c r="AP156" s="242"/>
      <c r="AQ156" s="242"/>
    </row>
    <row r="157" spans="1:57" x14ac:dyDescent="0.15">
      <c r="A157" s="242"/>
      <c r="B157" s="242"/>
      <c r="C157" s="242"/>
      <c r="D157" s="242"/>
      <c r="E157" s="242"/>
      <c r="F157" s="242"/>
      <c r="G157" s="242"/>
      <c r="H157" s="242"/>
      <c r="I157" s="242"/>
      <c r="J157" s="242"/>
      <c r="K157" s="242"/>
      <c r="L157" s="242"/>
      <c r="M157" s="242"/>
      <c r="N157" s="242"/>
      <c r="O157" s="242"/>
      <c r="P157" s="242"/>
      <c r="Q157" s="242"/>
      <c r="R157" s="242"/>
      <c r="S157" s="242"/>
      <c r="T157" s="242"/>
      <c r="U157" s="242"/>
      <c r="V157" s="242"/>
      <c r="W157" s="242"/>
      <c r="X157" s="242"/>
      <c r="Y157" s="242"/>
      <c r="Z157" s="242"/>
      <c r="AA157" s="242"/>
      <c r="AB157" s="242"/>
      <c r="AC157" s="242"/>
      <c r="AD157" s="242"/>
      <c r="AE157" s="242"/>
      <c r="AF157" s="242"/>
      <c r="AG157" s="242"/>
      <c r="AH157" s="242"/>
      <c r="AI157" s="242"/>
      <c r="AJ157" s="242"/>
      <c r="AK157" s="242"/>
      <c r="AL157" s="242"/>
      <c r="AM157" s="242"/>
      <c r="AN157" s="242"/>
      <c r="AO157" s="242"/>
      <c r="AP157" s="242"/>
      <c r="AQ157" s="242"/>
    </row>
    <row r="158" spans="1:57" x14ac:dyDescent="0.15">
      <c r="A158" s="242"/>
      <c r="B158" s="242"/>
      <c r="C158" s="242"/>
      <c r="D158" s="242"/>
      <c r="E158" s="242"/>
      <c r="F158" s="242"/>
      <c r="G158" s="242"/>
      <c r="H158" s="242"/>
      <c r="I158" s="242"/>
      <c r="J158" s="242"/>
      <c r="K158" s="242"/>
      <c r="L158" s="242"/>
      <c r="M158" s="242"/>
      <c r="N158" s="242"/>
      <c r="O158" s="242"/>
      <c r="P158" s="242"/>
      <c r="Q158" s="242"/>
      <c r="R158" s="242"/>
      <c r="S158" s="242"/>
      <c r="T158" s="242"/>
      <c r="U158" s="242"/>
      <c r="V158" s="242"/>
      <c r="W158" s="242"/>
      <c r="X158" s="242"/>
      <c r="Y158" s="242"/>
      <c r="Z158" s="242"/>
      <c r="AA158" s="242"/>
      <c r="AB158" s="242"/>
      <c r="AC158" s="242"/>
      <c r="AD158" s="242"/>
      <c r="AE158" s="242"/>
      <c r="AF158" s="242"/>
      <c r="AG158" s="242"/>
      <c r="AH158" s="242"/>
      <c r="AI158" s="242"/>
      <c r="AJ158" s="242"/>
      <c r="AK158" s="242"/>
      <c r="AL158" s="242"/>
      <c r="AM158" s="242"/>
      <c r="AN158" s="242"/>
      <c r="AO158" s="242"/>
      <c r="AP158" s="242"/>
      <c r="AQ158" s="242"/>
    </row>
    <row r="159" spans="1:57" x14ac:dyDescent="0.15">
      <c r="A159" s="242"/>
      <c r="B159" s="242"/>
      <c r="C159" s="242"/>
      <c r="D159" s="242"/>
      <c r="E159" s="242"/>
      <c r="F159" s="242"/>
      <c r="G159" s="242"/>
      <c r="H159" s="242"/>
      <c r="I159" s="242"/>
      <c r="J159" s="242"/>
      <c r="K159" s="242"/>
      <c r="L159" s="242"/>
      <c r="M159" s="242"/>
      <c r="N159" s="242"/>
      <c r="O159" s="242"/>
      <c r="P159" s="242"/>
      <c r="Q159" s="242"/>
      <c r="R159" s="242"/>
      <c r="S159" s="242"/>
      <c r="T159" s="242"/>
      <c r="U159" s="242"/>
      <c r="V159" s="242"/>
      <c r="W159" s="242"/>
      <c r="X159" s="242"/>
      <c r="Y159" s="242"/>
      <c r="Z159" s="242"/>
      <c r="AA159" s="242"/>
      <c r="AB159" s="242"/>
      <c r="AC159" s="242"/>
      <c r="AD159" s="242"/>
      <c r="AE159" s="242"/>
      <c r="AF159" s="242"/>
      <c r="AG159" s="242"/>
      <c r="AH159" s="242"/>
      <c r="AI159" s="242"/>
      <c r="AJ159" s="242"/>
      <c r="AK159" s="242"/>
      <c r="AL159" s="242"/>
      <c r="AM159" s="242"/>
      <c r="AN159" s="242"/>
      <c r="AO159" s="242"/>
      <c r="AP159" s="242"/>
      <c r="AQ159" s="242"/>
    </row>
    <row r="160" spans="1:57" x14ac:dyDescent="0.15">
      <c r="A160" s="242"/>
      <c r="B160" s="242"/>
      <c r="C160" s="242"/>
      <c r="D160" s="242"/>
      <c r="E160" s="242"/>
      <c r="F160" s="242"/>
      <c r="G160" s="242"/>
      <c r="H160" s="242"/>
      <c r="I160" s="242"/>
      <c r="J160" s="242"/>
      <c r="K160" s="242"/>
      <c r="L160" s="242"/>
      <c r="M160" s="242"/>
      <c r="N160" s="242"/>
      <c r="O160" s="242"/>
      <c r="P160" s="242"/>
      <c r="Q160" s="242"/>
      <c r="R160" s="242"/>
      <c r="S160" s="242"/>
      <c r="T160" s="242"/>
      <c r="U160" s="242"/>
      <c r="V160" s="242"/>
      <c r="W160" s="242"/>
      <c r="X160" s="242"/>
      <c r="Y160" s="242"/>
      <c r="Z160" s="242"/>
      <c r="AA160" s="242"/>
      <c r="AB160" s="242"/>
      <c r="AC160" s="242"/>
      <c r="AD160" s="242"/>
      <c r="AE160" s="242"/>
      <c r="AF160" s="242"/>
      <c r="AG160" s="242"/>
      <c r="AH160" s="242"/>
      <c r="AI160" s="242"/>
      <c r="AJ160" s="242"/>
      <c r="AK160" s="242"/>
      <c r="AL160" s="242"/>
      <c r="AM160" s="242"/>
      <c r="AN160" s="242"/>
      <c r="AO160" s="242"/>
      <c r="AP160" s="242"/>
      <c r="AQ160" s="242"/>
    </row>
    <row r="161" spans="1:43" x14ac:dyDescent="0.15">
      <c r="A161" s="242"/>
      <c r="B161" s="242"/>
      <c r="C161" s="242"/>
      <c r="D161" s="242"/>
      <c r="E161" s="242"/>
      <c r="F161" s="242"/>
      <c r="G161" s="242"/>
      <c r="H161" s="242"/>
      <c r="I161" s="242"/>
      <c r="J161" s="242"/>
      <c r="K161" s="242"/>
      <c r="L161" s="242"/>
      <c r="M161" s="242"/>
      <c r="N161" s="242"/>
      <c r="O161" s="242"/>
      <c r="P161" s="242"/>
      <c r="Q161" s="242"/>
      <c r="R161" s="242"/>
      <c r="S161" s="242"/>
      <c r="T161" s="242"/>
      <c r="U161" s="242"/>
      <c r="V161" s="242"/>
      <c r="W161" s="242"/>
      <c r="X161" s="242"/>
      <c r="Y161" s="242"/>
      <c r="Z161" s="242"/>
      <c r="AA161" s="242"/>
      <c r="AB161" s="242"/>
      <c r="AC161" s="242"/>
      <c r="AD161" s="242"/>
      <c r="AE161" s="242"/>
      <c r="AF161" s="242"/>
      <c r="AG161" s="242"/>
      <c r="AH161" s="242"/>
      <c r="AI161" s="242"/>
      <c r="AJ161" s="242"/>
      <c r="AK161" s="242"/>
      <c r="AL161" s="242"/>
      <c r="AM161" s="242"/>
      <c r="AN161" s="242"/>
      <c r="AO161" s="242"/>
      <c r="AP161" s="242"/>
      <c r="AQ161" s="242"/>
    </row>
    <row r="162" spans="1:43" x14ac:dyDescent="0.15">
      <c r="A162" s="242"/>
      <c r="B162" s="242"/>
      <c r="C162" s="242"/>
      <c r="D162" s="242"/>
      <c r="E162" s="242"/>
      <c r="F162" s="242"/>
      <c r="G162" s="242"/>
      <c r="H162" s="242"/>
      <c r="I162" s="242"/>
      <c r="J162" s="242"/>
      <c r="K162" s="242"/>
      <c r="L162" s="242"/>
      <c r="M162" s="242"/>
      <c r="N162" s="242"/>
      <c r="O162" s="242"/>
      <c r="P162" s="242"/>
      <c r="Q162" s="242"/>
      <c r="R162" s="242"/>
      <c r="S162" s="242"/>
      <c r="T162" s="242"/>
      <c r="U162" s="242"/>
      <c r="V162" s="242"/>
      <c r="W162" s="242"/>
      <c r="X162" s="242"/>
      <c r="Y162" s="242"/>
      <c r="Z162" s="242"/>
      <c r="AA162" s="242"/>
      <c r="AB162" s="242"/>
      <c r="AC162" s="242"/>
      <c r="AD162" s="242"/>
      <c r="AE162" s="242"/>
      <c r="AF162" s="242"/>
      <c r="AG162" s="242"/>
      <c r="AH162" s="242"/>
      <c r="AI162" s="242"/>
      <c r="AJ162" s="242"/>
      <c r="AK162" s="242"/>
      <c r="AL162" s="242"/>
      <c r="AM162" s="242"/>
      <c r="AN162" s="242"/>
      <c r="AO162" s="242"/>
      <c r="AP162" s="242"/>
      <c r="AQ162" s="242"/>
    </row>
    <row r="163" spans="1:43" x14ac:dyDescent="0.15">
      <c r="A163" s="242"/>
      <c r="B163" s="242"/>
      <c r="C163" s="242"/>
      <c r="D163" s="242"/>
      <c r="E163" s="242"/>
      <c r="F163" s="242"/>
      <c r="G163" s="242"/>
      <c r="H163" s="242"/>
      <c r="I163" s="242"/>
      <c r="J163" s="242"/>
      <c r="K163" s="242"/>
      <c r="L163" s="242"/>
      <c r="M163" s="242"/>
      <c r="N163" s="242"/>
      <c r="O163" s="242"/>
      <c r="P163" s="242"/>
      <c r="Q163" s="242"/>
      <c r="R163" s="242"/>
      <c r="S163" s="242"/>
      <c r="T163" s="242"/>
      <c r="U163" s="242"/>
      <c r="V163" s="242"/>
      <c r="W163" s="242"/>
      <c r="X163" s="242"/>
      <c r="Y163" s="242"/>
      <c r="Z163" s="242"/>
      <c r="AA163" s="242"/>
      <c r="AB163" s="242"/>
      <c r="AC163" s="242"/>
      <c r="AD163" s="242"/>
      <c r="AE163" s="242"/>
      <c r="AF163" s="242"/>
      <c r="AG163" s="242"/>
      <c r="AH163" s="242"/>
      <c r="AI163" s="242"/>
      <c r="AJ163" s="242"/>
      <c r="AK163" s="242"/>
      <c r="AL163" s="242"/>
      <c r="AM163" s="242"/>
      <c r="AN163" s="242"/>
      <c r="AO163" s="242"/>
      <c r="AP163" s="242"/>
      <c r="AQ163" s="242"/>
    </row>
    <row r="164" spans="1:43" x14ac:dyDescent="0.15">
      <c r="A164" s="242"/>
      <c r="B164" s="242"/>
      <c r="C164" s="242"/>
      <c r="D164" s="242"/>
      <c r="E164" s="242"/>
      <c r="F164" s="242"/>
      <c r="G164" s="242"/>
      <c r="H164" s="242"/>
      <c r="I164" s="242"/>
      <c r="J164" s="242"/>
      <c r="K164" s="242"/>
      <c r="L164" s="242"/>
      <c r="M164" s="242"/>
      <c r="N164" s="242"/>
      <c r="O164" s="242"/>
      <c r="P164" s="242"/>
      <c r="Q164" s="242"/>
      <c r="R164" s="242"/>
      <c r="S164" s="242"/>
      <c r="T164" s="242"/>
      <c r="U164" s="242"/>
      <c r="V164" s="242"/>
      <c r="W164" s="242"/>
      <c r="X164" s="242"/>
      <c r="Y164" s="242"/>
      <c r="Z164" s="242"/>
      <c r="AA164" s="242"/>
      <c r="AB164" s="242"/>
      <c r="AC164" s="242"/>
      <c r="AD164" s="242"/>
      <c r="AE164" s="242"/>
      <c r="AF164" s="242"/>
      <c r="AG164" s="242"/>
      <c r="AH164" s="242"/>
      <c r="AI164" s="242"/>
      <c r="AJ164" s="242"/>
      <c r="AK164" s="242"/>
      <c r="AL164" s="242"/>
      <c r="AM164" s="242"/>
      <c r="AN164" s="242"/>
      <c r="AO164" s="242"/>
      <c r="AP164" s="242"/>
      <c r="AQ164" s="242"/>
    </row>
    <row r="165" spans="1:43" x14ac:dyDescent="0.15">
      <c r="A165" s="242"/>
      <c r="B165" s="242"/>
      <c r="C165" s="242"/>
      <c r="D165" s="242"/>
      <c r="E165" s="242"/>
      <c r="F165" s="242"/>
      <c r="G165" s="242"/>
      <c r="H165" s="242"/>
      <c r="I165" s="242"/>
      <c r="J165" s="242"/>
      <c r="K165" s="242"/>
      <c r="L165" s="242"/>
      <c r="M165" s="242"/>
      <c r="N165" s="242"/>
      <c r="O165" s="242"/>
      <c r="P165" s="242"/>
      <c r="Q165" s="242"/>
      <c r="R165" s="242"/>
      <c r="S165" s="242"/>
      <c r="T165" s="242"/>
      <c r="U165" s="242"/>
      <c r="V165" s="242"/>
      <c r="W165" s="242"/>
      <c r="X165" s="242"/>
      <c r="Y165" s="242"/>
      <c r="Z165" s="242"/>
      <c r="AA165" s="242"/>
      <c r="AB165" s="242"/>
      <c r="AC165" s="242"/>
      <c r="AD165" s="242"/>
      <c r="AE165" s="242"/>
      <c r="AF165" s="242"/>
      <c r="AG165" s="242"/>
      <c r="AH165" s="242"/>
      <c r="AI165" s="242"/>
      <c r="AJ165" s="242"/>
      <c r="AK165" s="242"/>
      <c r="AL165" s="242"/>
      <c r="AM165" s="242"/>
      <c r="AN165" s="242"/>
      <c r="AO165" s="242"/>
      <c r="AP165" s="242"/>
      <c r="AQ165" s="242"/>
    </row>
    <row r="166" spans="1:43" x14ac:dyDescent="0.15">
      <c r="A166" s="242"/>
      <c r="B166" s="242"/>
      <c r="C166" s="242"/>
      <c r="D166" s="242"/>
      <c r="E166" s="242"/>
      <c r="F166" s="242"/>
      <c r="G166" s="242"/>
      <c r="H166" s="242"/>
      <c r="I166" s="242"/>
      <c r="J166" s="242"/>
      <c r="K166" s="242"/>
      <c r="L166" s="242"/>
      <c r="M166" s="242"/>
      <c r="N166" s="242"/>
      <c r="O166" s="242"/>
      <c r="P166" s="242"/>
      <c r="Q166" s="242"/>
      <c r="R166" s="242"/>
      <c r="S166" s="242"/>
      <c r="T166" s="242"/>
      <c r="U166" s="242"/>
      <c r="V166" s="242"/>
      <c r="W166" s="242"/>
      <c r="X166" s="242"/>
      <c r="Y166" s="242"/>
      <c r="Z166" s="242"/>
      <c r="AA166" s="242"/>
      <c r="AB166" s="242"/>
      <c r="AC166" s="242"/>
      <c r="AD166" s="242"/>
      <c r="AE166" s="242"/>
      <c r="AF166" s="242"/>
      <c r="AG166" s="242"/>
      <c r="AH166" s="242"/>
      <c r="AI166" s="242"/>
      <c r="AJ166" s="242"/>
      <c r="AK166" s="242"/>
      <c r="AL166" s="242"/>
      <c r="AM166" s="242"/>
      <c r="AN166" s="242"/>
      <c r="AO166" s="242"/>
      <c r="AP166" s="242"/>
      <c r="AQ166" s="242"/>
    </row>
    <row r="167" spans="1:43" x14ac:dyDescent="0.15">
      <c r="A167" s="242"/>
      <c r="B167" s="242"/>
      <c r="C167" s="242"/>
      <c r="D167" s="242"/>
      <c r="E167" s="242"/>
      <c r="F167" s="242"/>
      <c r="G167" s="242"/>
      <c r="H167" s="242"/>
      <c r="I167" s="242"/>
      <c r="J167" s="242"/>
      <c r="K167" s="242"/>
      <c r="L167" s="242"/>
      <c r="M167" s="242"/>
      <c r="N167" s="242"/>
      <c r="O167" s="242"/>
      <c r="P167" s="242"/>
      <c r="Q167" s="242"/>
      <c r="R167" s="242"/>
      <c r="S167" s="242"/>
      <c r="T167" s="242"/>
      <c r="U167" s="242"/>
      <c r="V167" s="242"/>
      <c r="W167" s="242"/>
      <c r="X167" s="242"/>
      <c r="Y167" s="242"/>
      <c r="Z167" s="242"/>
      <c r="AA167" s="242"/>
      <c r="AB167" s="242"/>
      <c r="AC167" s="242"/>
      <c r="AD167" s="242"/>
      <c r="AE167" s="242"/>
      <c r="AF167" s="242"/>
      <c r="AG167" s="242"/>
      <c r="AH167" s="242"/>
      <c r="AI167" s="242"/>
      <c r="AJ167" s="242"/>
      <c r="AK167" s="242"/>
      <c r="AL167" s="242"/>
      <c r="AM167" s="242"/>
      <c r="AN167" s="242"/>
      <c r="AO167" s="242"/>
      <c r="AP167" s="242"/>
      <c r="AQ167" s="242"/>
    </row>
    <row r="168" spans="1:43" x14ac:dyDescent="0.15">
      <c r="A168" s="242"/>
      <c r="B168" s="242"/>
      <c r="C168" s="242"/>
      <c r="D168" s="242"/>
      <c r="E168" s="242"/>
      <c r="F168" s="242"/>
      <c r="G168" s="242"/>
      <c r="H168" s="242"/>
      <c r="I168" s="242"/>
      <c r="J168" s="242"/>
      <c r="K168" s="242"/>
      <c r="L168" s="242"/>
      <c r="M168" s="242"/>
      <c r="N168" s="242"/>
      <c r="O168" s="242"/>
      <c r="P168" s="242"/>
      <c r="Q168" s="242"/>
      <c r="R168" s="242"/>
      <c r="S168" s="242"/>
      <c r="T168" s="242"/>
      <c r="U168" s="242"/>
      <c r="V168" s="242"/>
      <c r="W168" s="242"/>
      <c r="X168" s="242"/>
      <c r="Y168" s="242"/>
      <c r="Z168" s="242"/>
      <c r="AA168" s="242"/>
      <c r="AB168" s="242"/>
      <c r="AC168" s="242"/>
      <c r="AD168" s="242"/>
      <c r="AE168" s="242"/>
      <c r="AF168" s="242"/>
      <c r="AG168" s="242"/>
      <c r="AH168" s="242"/>
      <c r="AI168" s="242"/>
      <c r="AJ168" s="242"/>
      <c r="AK168" s="242"/>
      <c r="AL168" s="242"/>
      <c r="AM168" s="242"/>
      <c r="AN168" s="242"/>
      <c r="AO168" s="242"/>
      <c r="AP168" s="242"/>
      <c r="AQ168" s="242"/>
    </row>
    <row r="169" spans="1:43" x14ac:dyDescent="0.15">
      <c r="A169" s="242"/>
      <c r="B169" s="242"/>
      <c r="C169" s="242"/>
      <c r="D169" s="242"/>
      <c r="E169" s="242"/>
      <c r="F169" s="242"/>
      <c r="G169" s="242"/>
      <c r="H169" s="242"/>
      <c r="I169" s="242"/>
      <c r="J169" s="242"/>
      <c r="K169" s="242"/>
      <c r="L169" s="242"/>
      <c r="M169" s="242"/>
      <c r="N169" s="242"/>
      <c r="O169" s="242"/>
      <c r="P169" s="242"/>
      <c r="Q169" s="242"/>
      <c r="R169" s="242"/>
      <c r="S169" s="242"/>
      <c r="T169" s="242"/>
      <c r="U169" s="242"/>
      <c r="V169" s="242"/>
      <c r="W169" s="242"/>
      <c r="X169" s="242"/>
      <c r="Y169" s="242"/>
      <c r="Z169" s="242"/>
      <c r="AA169" s="242"/>
      <c r="AB169" s="242"/>
      <c r="AC169" s="242"/>
      <c r="AD169" s="242"/>
      <c r="AE169" s="242"/>
      <c r="AF169" s="242"/>
      <c r="AG169" s="242"/>
      <c r="AH169" s="242"/>
      <c r="AI169" s="242"/>
      <c r="AJ169" s="242"/>
      <c r="AK169" s="242"/>
      <c r="AL169" s="242"/>
      <c r="AM169" s="242"/>
      <c r="AN169" s="242"/>
      <c r="AO169" s="242"/>
      <c r="AP169" s="242"/>
      <c r="AQ169" s="242"/>
    </row>
    <row r="170" spans="1:43" x14ac:dyDescent="0.15">
      <c r="A170" s="242"/>
      <c r="B170" s="242"/>
      <c r="C170" s="242"/>
      <c r="D170" s="242"/>
      <c r="E170" s="242"/>
      <c r="F170" s="242"/>
      <c r="G170" s="242"/>
      <c r="H170" s="242"/>
      <c r="I170" s="242"/>
      <c r="J170" s="242"/>
      <c r="K170" s="242"/>
      <c r="L170" s="242"/>
      <c r="M170" s="242"/>
      <c r="N170" s="242"/>
      <c r="O170" s="242"/>
      <c r="P170" s="242"/>
      <c r="Q170" s="242"/>
      <c r="R170" s="242"/>
      <c r="S170" s="242"/>
      <c r="T170" s="242"/>
      <c r="U170" s="242"/>
      <c r="V170" s="242"/>
      <c r="W170" s="242"/>
      <c r="X170" s="242"/>
      <c r="Y170" s="242"/>
      <c r="Z170" s="242"/>
      <c r="AA170" s="242"/>
      <c r="AB170" s="242"/>
      <c r="AC170" s="242"/>
      <c r="AD170" s="242"/>
      <c r="AE170" s="242"/>
      <c r="AF170" s="242"/>
      <c r="AG170" s="242"/>
      <c r="AH170" s="242"/>
      <c r="AI170" s="242"/>
      <c r="AJ170" s="242"/>
      <c r="AK170" s="242"/>
      <c r="AL170" s="242"/>
      <c r="AM170" s="242"/>
      <c r="AN170" s="242"/>
      <c r="AO170" s="242"/>
      <c r="AP170" s="242"/>
      <c r="AQ170" s="242"/>
    </row>
    <row r="171" spans="1:43" x14ac:dyDescent="0.15">
      <c r="A171" s="242"/>
      <c r="B171" s="242"/>
      <c r="C171" s="242"/>
      <c r="D171" s="242"/>
      <c r="E171" s="242"/>
      <c r="F171" s="242"/>
      <c r="G171" s="242"/>
      <c r="H171" s="242"/>
      <c r="I171" s="242"/>
      <c r="J171" s="242"/>
      <c r="K171" s="242"/>
      <c r="L171" s="242"/>
      <c r="M171" s="242"/>
      <c r="N171" s="242"/>
      <c r="O171" s="242"/>
      <c r="P171" s="242"/>
      <c r="Q171" s="242"/>
      <c r="R171" s="242"/>
      <c r="S171" s="242"/>
      <c r="T171" s="242"/>
      <c r="U171" s="242"/>
      <c r="V171" s="242"/>
      <c r="W171" s="242"/>
      <c r="X171" s="242"/>
      <c r="Y171" s="242"/>
      <c r="Z171" s="242"/>
      <c r="AA171" s="242"/>
      <c r="AB171" s="242"/>
      <c r="AC171" s="242"/>
      <c r="AD171" s="242"/>
      <c r="AE171" s="242"/>
      <c r="AF171" s="242"/>
      <c r="AG171" s="242"/>
      <c r="AH171" s="242"/>
      <c r="AI171" s="242"/>
      <c r="AJ171" s="242"/>
      <c r="AK171" s="242"/>
      <c r="AL171" s="242"/>
      <c r="AM171" s="242"/>
      <c r="AN171" s="242"/>
      <c r="AO171" s="242"/>
      <c r="AP171" s="242"/>
      <c r="AQ171" s="242"/>
    </row>
    <row r="172" spans="1:43" x14ac:dyDescent="0.15">
      <c r="A172" s="242"/>
      <c r="B172" s="242"/>
      <c r="C172" s="242"/>
      <c r="D172" s="242"/>
      <c r="E172" s="242"/>
      <c r="F172" s="242"/>
      <c r="G172" s="242"/>
      <c r="H172" s="242"/>
      <c r="I172" s="242"/>
      <c r="J172" s="242"/>
      <c r="K172" s="242"/>
      <c r="L172" s="242"/>
      <c r="M172" s="242"/>
      <c r="N172" s="242"/>
      <c r="O172" s="242"/>
      <c r="P172" s="242"/>
      <c r="Q172" s="242"/>
      <c r="R172" s="242"/>
      <c r="S172" s="242"/>
      <c r="T172" s="242"/>
      <c r="U172" s="242"/>
      <c r="V172" s="242"/>
      <c r="W172" s="242"/>
      <c r="X172" s="242"/>
      <c r="Y172" s="242"/>
      <c r="Z172" s="242"/>
      <c r="AA172" s="242"/>
      <c r="AB172" s="242"/>
      <c r="AC172" s="242"/>
      <c r="AD172" s="242"/>
      <c r="AE172" s="242"/>
      <c r="AF172" s="242"/>
      <c r="AG172" s="242"/>
      <c r="AH172" s="242"/>
      <c r="AI172" s="242"/>
      <c r="AJ172" s="242"/>
      <c r="AK172" s="242"/>
      <c r="AL172" s="242"/>
      <c r="AM172" s="242"/>
      <c r="AN172" s="242"/>
      <c r="AO172" s="242"/>
      <c r="AP172" s="242"/>
      <c r="AQ172" s="242"/>
    </row>
    <row r="173" spans="1:43" x14ac:dyDescent="0.15">
      <c r="A173" s="242"/>
      <c r="B173" s="242"/>
      <c r="C173" s="242"/>
      <c r="D173" s="242"/>
      <c r="E173" s="242"/>
      <c r="F173" s="242"/>
      <c r="G173" s="242"/>
      <c r="H173" s="242"/>
      <c r="I173" s="242"/>
      <c r="J173" s="242"/>
      <c r="K173" s="242"/>
      <c r="L173" s="242"/>
      <c r="M173" s="242"/>
      <c r="N173" s="242"/>
      <c r="O173" s="242"/>
      <c r="P173" s="242"/>
      <c r="Q173" s="242"/>
      <c r="R173" s="242"/>
      <c r="S173" s="242"/>
      <c r="T173" s="242"/>
      <c r="U173" s="242"/>
      <c r="V173" s="242"/>
      <c r="W173" s="242"/>
      <c r="X173" s="242"/>
      <c r="Y173" s="242"/>
      <c r="Z173" s="242"/>
      <c r="AA173" s="242"/>
      <c r="AB173" s="242"/>
      <c r="AC173" s="242"/>
      <c r="AD173" s="242"/>
      <c r="AE173" s="242"/>
      <c r="AF173" s="242"/>
      <c r="AG173" s="242"/>
      <c r="AH173" s="242"/>
      <c r="AI173" s="242"/>
      <c r="AJ173" s="242"/>
      <c r="AK173" s="242"/>
      <c r="AL173" s="242"/>
      <c r="AM173" s="242"/>
      <c r="AN173" s="242"/>
      <c r="AO173" s="242"/>
      <c r="AP173" s="242"/>
      <c r="AQ173" s="242"/>
    </row>
    <row r="174" spans="1:43" x14ac:dyDescent="0.15">
      <c r="A174" s="242"/>
      <c r="B174" s="242"/>
      <c r="C174" s="242"/>
      <c r="D174" s="242"/>
      <c r="E174" s="242"/>
      <c r="F174" s="242"/>
      <c r="G174" s="242"/>
      <c r="H174" s="242"/>
      <c r="I174" s="242"/>
      <c r="J174" s="242"/>
      <c r="K174" s="242"/>
      <c r="L174" s="242"/>
      <c r="M174" s="242"/>
      <c r="N174" s="242"/>
      <c r="O174" s="242"/>
      <c r="P174" s="242"/>
      <c r="Q174" s="242"/>
      <c r="R174" s="242"/>
      <c r="S174" s="242"/>
      <c r="T174" s="242"/>
      <c r="U174" s="242"/>
      <c r="V174" s="242"/>
      <c r="W174" s="242"/>
      <c r="X174" s="242"/>
      <c r="Y174" s="242"/>
      <c r="Z174" s="242"/>
      <c r="AA174" s="242"/>
      <c r="AB174" s="242"/>
      <c r="AC174" s="242"/>
      <c r="AD174" s="242"/>
      <c r="AE174" s="242"/>
      <c r="AF174" s="242"/>
      <c r="AG174" s="242"/>
      <c r="AH174" s="242"/>
      <c r="AI174" s="242"/>
      <c r="AJ174" s="242"/>
      <c r="AK174" s="242"/>
      <c r="AL174" s="242"/>
      <c r="AM174" s="242"/>
      <c r="AN174" s="242"/>
      <c r="AO174" s="242"/>
      <c r="AP174" s="242"/>
      <c r="AQ174" s="242"/>
    </row>
    <row r="175" spans="1:43" x14ac:dyDescent="0.15">
      <c r="A175" s="242"/>
      <c r="B175" s="242"/>
      <c r="C175" s="242"/>
      <c r="D175" s="242"/>
      <c r="E175" s="242"/>
      <c r="F175" s="242"/>
      <c r="G175" s="242"/>
      <c r="H175" s="242"/>
      <c r="I175" s="242"/>
      <c r="J175" s="242"/>
      <c r="K175" s="242"/>
      <c r="L175" s="242"/>
      <c r="M175" s="242"/>
      <c r="N175" s="242"/>
      <c r="O175" s="242"/>
      <c r="P175" s="242"/>
      <c r="Q175" s="242"/>
      <c r="R175" s="242"/>
      <c r="S175" s="242"/>
      <c r="T175" s="242"/>
      <c r="U175" s="242"/>
      <c r="V175" s="242"/>
      <c r="W175" s="242"/>
      <c r="X175" s="242"/>
      <c r="Y175" s="242"/>
      <c r="Z175" s="242"/>
      <c r="AA175" s="242"/>
      <c r="AB175" s="242"/>
      <c r="AC175" s="242"/>
      <c r="AD175" s="242"/>
      <c r="AE175" s="242"/>
      <c r="AF175" s="242"/>
      <c r="AG175" s="242"/>
      <c r="AH175" s="242"/>
      <c r="AI175" s="242"/>
      <c r="AJ175" s="242"/>
      <c r="AK175" s="242"/>
      <c r="AL175" s="242"/>
      <c r="AM175" s="242"/>
      <c r="AN175" s="242"/>
      <c r="AO175" s="242"/>
      <c r="AP175" s="242"/>
      <c r="AQ175" s="242"/>
    </row>
    <row r="176" spans="1:43" x14ac:dyDescent="0.15">
      <c r="A176" s="242"/>
      <c r="B176" s="242"/>
      <c r="C176" s="242"/>
      <c r="D176" s="242"/>
      <c r="E176" s="242"/>
      <c r="F176" s="242"/>
      <c r="G176" s="242"/>
      <c r="H176" s="242"/>
      <c r="I176" s="242"/>
      <c r="J176" s="242"/>
      <c r="K176" s="242"/>
      <c r="L176" s="242"/>
      <c r="M176" s="242"/>
      <c r="N176" s="242"/>
      <c r="O176" s="242"/>
      <c r="P176" s="242"/>
      <c r="Q176" s="242"/>
      <c r="R176" s="242"/>
      <c r="S176" s="242"/>
      <c r="T176" s="242"/>
      <c r="U176" s="242"/>
      <c r="V176" s="242"/>
      <c r="W176" s="242"/>
      <c r="X176" s="242"/>
      <c r="Y176" s="242"/>
      <c r="Z176" s="242"/>
      <c r="AA176" s="242"/>
      <c r="AB176" s="242"/>
      <c r="AC176" s="242"/>
      <c r="AD176" s="242"/>
      <c r="AE176" s="242"/>
      <c r="AF176" s="242"/>
      <c r="AG176" s="242"/>
      <c r="AH176" s="242"/>
      <c r="AI176" s="242"/>
      <c r="AJ176" s="242"/>
      <c r="AK176" s="242"/>
      <c r="AL176" s="242"/>
      <c r="AM176" s="242"/>
      <c r="AN176" s="242"/>
      <c r="AO176" s="242"/>
      <c r="AP176" s="242"/>
      <c r="AQ176" s="242"/>
    </row>
    <row r="177" spans="1:43" x14ac:dyDescent="0.15">
      <c r="A177" s="242"/>
      <c r="B177" s="242"/>
      <c r="C177" s="242"/>
      <c r="D177" s="242"/>
      <c r="E177" s="242"/>
      <c r="F177" s="242"/>
      <c r="G177" s="242"/>
      <c r="H177" s="242"/>
      <c r="I177" s="242"/>
      <c r="J177" s="242"/>
      <c r="K177" s="242"/>
      <c r="L177" s="242"/>
      <c r="M177" s="242"/>
      <c r="N177" s="242"/>
      <c r="O177" s="242"/>
      <c r="P177" s="242"/>
      <c r="Q177" s="242"/>
      <c r="R177" s="242"/>
      <c r="S177" s="242"/>
      <c r="T177" s="242"/>
      <c r="U177" s="242"/>
      <c r="V177" s="242"/>
      <c r="W177" s="242"/>
      <c r="X177" s="242"/>
      <c r="Y177" s="242"/>
      <c r="Z177" s="242"/>
      <c r="AA177" s="242"/>
      <c r="AB177" s="242"/>
      <c r="AC177" s="242"/>
      <c r="AD177" s="242"/>
      <c r="AE177" s="242"/>
      <c r="AF177" s="242"/>
      <c r="AG177" s="242"/>
      <c r="AH177" s="242"/>
      <c r="AI177" s="242"/>
      <c r="AJ177" s="242"/>
      <c r="AK177" s="242"/>
      <c r="AL177" s="242"/>
      <c r="AM177" s="242"/>
      <c r="AN177" s="242"/>
      <c r="AO177" s="242"/>
      <c r="AP177" s="242"/>
      <c r="AQ177" s="242"/>
    </row>
    <row r="178" spans="1:43" x14ac:dyDescent="0.15">
      <c r="A178" s="242"/>
      <c r="B178" s="242"/>
      <c r="C178" s="242"/>
      <c r="D178" s="242"/>
      <c r="E178" s="242"/>
      <c r="F178" s="242"/>
      <c r="G178" s="242"/>
      <c r="H178" s="242"/>
      <c r="I178" s="242"/>
      <c r="J178" s="242"/>
      <c r="K178" s="242"/>
      <c r="L178" s="242"/>
      <c r="M178" s="242"/>
      <c r="N178" s="242"/>
      <c r="O178" s="242"/>
      <c r="P178" s="242"/>
      <c r="Q178" s="242"/>
      <c r="R178" s="242"/>
      <c r="S178" s="242"/>
      <c r="T178" s="242"/>
      <c r="U178" s="242"/>
      <c r="V178" s="242"/>
      <c r="W178" s="242"/>
      <c r="X178" s="242"/>
      <c r="Y178" s="242"/>
      <c r="Z178" s="242"/>
      <c r="AA178" s="242"/>
      <c r="AB178" s="242"/>
      <c r="AC178" s="242"/>
      <c r="AD178" s="242"/>
      <c r="AE178" s="242"/>
      <c r="AF178" s="242"/>
      <c r="AG178" s="242"/>
      <c r="AH178" s="242"/>
      <c r="AI178" s="242"/>
      <c r="AJ178" s="242"/>
      <c r="AK178" s="242"/>
      <c r="AL178" s="242"/>
      <c r="AM178" s="242"/>
      <c r="AN178" s="242"/>
      <c r="AO178" s="242"/>
      <c r="AP178" s="242"/>
      <c r="AQ178" s="242"/>
    </row>
    <row r="179" spans="1:43" x14ac:dyDescent="0.15">
      <c r="A179" s="242"/>
      <c r="B179" s="242"/>
      <c r="C179" s="242"/>
      <c r="D179" s="242"/>
      <c r="E179" s="242"/>
      <c r="F179" s="242"/>
      <c r="G179" s="242"/>
      <c r="H179" s="242"/>
      <c r="I179" s="242"/>
      <c r="J179" s="242"/>
      <c r="K179" s="242"/>
      <c r="L179" s="242"/>
      <c r="M179" s="242"/>
      <c r="N179" s="242"/>
      <c r="O179" s="242"/>
      <c r="P179" s="242"/>
      <c r="Q179" s="242"/>
      <c r="R179" s="242"/>
      <c r="S179" s="242"/>
      <c r="T179" s="242"/>
      <c r="U179" s="242"/>
      <c r="V179" s="242"/>
      <c r="W179" s="242"/>
      <c r="X179" s="242"/>
      <c r="Y179" s="242"/>
      <c r="Z179" s="242"/>
      <c r="AA179" s="242"/>
      <c r="AB179" s="242"/>
      <c r="AC179" s="242"/>
      <c r="AD179" s="242"/>
      <c r="AE179" s="242"/>
      <c r="AF179" s="242"/>
      <c r="AG179" s="242"/>
      <c r="AH179" s="242"/>
      <c r="AI179" s="242"/>
      <c r="AJ179" s="242"/>
      <c r="AK179" s="242"/>
      <c r="AL179" s="242"/>
      <c r="AM179" s="242"/>
      <c r="AN179" s="242"/>
      <c r="AO179" s="242"/>
      <c r="AP179" s="242"/>
      <c r="AQ179" s="242"/>
    </row>
    <row r="180" spans="1:43" x14ac:dyDescent="0.15">
      <c r="A180" s="242"/>
      <c r="B180" s="242"/>
      <c r="C180" s="242"/>
      <c r="D180" s="242"/>
      <c r="E180" s="242"/>
      <c r="F180" s="242"/>
      <c r="G180" s="242"/>
      <c r="H180" s="242"/>
      <c r="I180" s="242"/>
      <c r="J180" s="242"/>
      <c r="K180" s="242"/>
      <c r="L180" s="242"/>
      <c r="M180" s="242"/>
      <c r="N180" s="242"/>
      <c r="O180" s="242"/>
      <c r="P180" s="242"/>
      <c r="Q180" s="242"/>
      <c r="R180" s="242"/>
      <c r="S180" s="242"/>
      <c r="T180" s="242"/>
      <c r="U180" s="242"/>
      <c r="V180" s="242"/>
      <c r="W180" s="242"/>
      <c r="X180" s="242"/>
      <c r="Y180" s="242"/>
      <c r="Z180" s="242"/>
      <c r="AA180" s="242"/>
      <c r="AB180" s="242"/>
      <c r="AC180" s="242"/>
      <c r="AD180" s="242"/>
      <c r="AE180" s="242"/>
      <c r="AF180" s="242"/>
      <c r="AG180" s="242"/>
      <c r="AH180" s="242"/>
      <c r="AI180" s="242"/>
      <c r="AJ180" s="242"/>
      <c r="AK180" s="242"/>
      <c r="AL180" s="242"/>
      <c r="AM180" s="242"/>
      <c r="AN180" s="242"/>
      <c r="AO180" s="242"/>
      <c r="AP180" s="242"/>
      <c r="AQ180" s="242"/>
    </row>
    <row r="181" spans="1:43" x14ac:dyDescent="0.15">
      <c r="A181" s="242"/>
      <c r="B181" s="242"/>
      <c r="C181" s="242"/>
      <c r="D181" s="242"/>
      <c r="E181" s="242"/>
      <c r="F181" s="242"/>
      <c r="G181" s="242"/>
      <c r="H181" s="242"/>
      <c r="I181" s="242"/>
      <c r="J181" s="242"/>
      <c r="K181" s="242"/>
      <c r="L181" s="242"/>
      <c r="M181" s="242"/>
      <c r="N181" s="242"/>
      <c r="O181" s="242"/>
      <c r="P181" s="242"/>
      <c r="Q181" s="242"/>
      <c r="R181" s="242"/>
      <c r="S181" s="242"/>
      <c r="T181" s="242"/>
      <c r="U181" s="242"/>
      <c r="V181" s="242"/>
      <c r="W181" s="242"/>
      <c r="X181" s="242"/>
      <c r="Y181" s="242"/>
      <c r="Z181" s="242"/>
      <c r="AA181" s="242"/>
      <c r="AB181" s="242"/>
      <c r="AC181" s="242"/>
      <c r="AD181" s="242"/>
      <c r="AE181" s="242"/>
      <c r="AF181" s="242"/>
      <c r="AG181" s="242"/>
      <c r="AH181" s="242"/>
      <c r="AI181" s="242"/>
      <c r="AJ181" s="242"/>
      <c r="AK181" s="242"/>
      <c r="AL181" s="242"/>
      <c r="AM181" s="242"/>
      <c r="AN181" s="242"/>
      <c r="AO181" s="242"/>
      <c r="AP181" s="242"/>
      <c r="AQ181" s="242"/>
    </row>
    <row r="182" spans="1:43" x14ac:dyDescent="0.15">
      <c r="A182" s="242"/>
      <c r="B182" s="242"/>
      <c r="C182" s="242"/>
      <c r="D182" s="242"/>
      <c r="E182" s="242"/>
      <c r="F182" s="242"/>
      <c r="G182" s="242"/>
      <c r="H182" s="242"/>
      <c r="I182" s="242"/>
      <c r="J182" s="242"/>
      <c r="K182" s="242"/>
      <c r="L182" s="242"/>
      <c r="M182" s="242"/>
      <c r="N182" s="242"/>
      <c r="O182" s="242"/>
      <c r="P182" s="242"/>
      <c r="Q182" s="242"/>
      <c r="R182" s="242"/>
      <c r="S182" s="242"/>
      <c r="T182" s="242"/>
      <c r="U182" s="242"/>
      <c r="V182" s="242"/>
      <c r="W182" s="242"/>
      <c r="X182" s="242"/>
      <c r="Y182" s="242"/>
      <c r="Z182" s="242"/>
      <c r="AA182" s="242"/>
      <c r="AB182" s="242"/>
      <c r="AC182" s="242"/>
      <c r="AD182" s="242"/>
      <c r="AE182" s="242"/>
      <c r="AF182" s="242"/>
      <c r="AG182" s="242"/>
      <c r="AH182" s="242"/>
      <c r="AI182" s="242"/>
      <c r="AJ182" s="242"/>
      <c r="AK182" s="242"/>
      <c r="AL182" s="242"/>
      <c r="AM182" s="242"/>
      <c r="AN182" s="242"/>
      <c r="AO182" s="242"/>
      <c r="AP182" s="242"/>
      <c r="AQ182" s="242"/>
    </row>
    <row r="183" spans="1:43" x14ac:dyDescent="0.15">
      <c r="A183" s="242"/>
      <c r="B183" s="242"/>
      <c r="C183" s="242"/>
      <c r="D183" s="242"/>
      <c r="E183" s="242"/>
      <c r="F183" s="242"/>
      <c r="G183" s="242"/>
      <c r="H183" s="242"/>
      <c r="I183" s="242"/>
      <c r="J183" s="242"/>
      <c r="K183" s="242"/>
      <c r="L183" s="242"/>
      <c r="M183" s="242"/>
      <c r="N183" s="242"/>
      <c r="O183" s="242"/>
      <c r="P183" s="242"/>
      <c r="Q183" s="242"/>
      <c r="R183" s="242"/>
      <c r="S183" s="242"/>
      <c r="T183" s="242"/>
      <c r="U183" s="242"/>
      <c r="V183" s="242"/>
      <c r="W183" s="242"/>
      <c r="X183" s="242"/>
      <c r="Y183" s="242"/>
      <c r="Z183" s="242"/>
      <c r="AA183" s="242"/>
      <c r="AB183" s="242"/>
      <c r="AC183" s="242"/>
      <c r="AD183" s="242"/>
      <c r="AE183" s="242"/>
      <c r="AF183" s="242"/>
      <c r="AG183" s="242"/>
      <c r="AH183" s="242"/>
      <c r="AI183" s="242"/>
      <c r="AJ183" s="242"/>
      <c r="AK183" s="242"/>
      <c r="AL183" s="242"/>
      <c r="AM183" s="242"/>
      <c r="AN183" s="242"/>
      <c r="AO183" s="242"/>
      <c r="AP183" s="242"/>
      <c r="AQ183" s="242"/>
    </row>
    <row r="184" spans="1:43" x14ac:dyDescent="0.15">
      <c r="A184" s="242"/>
      <c r="B184" s="242"/>
      <c r="C184" s="242"/>
      <c r="D184" s="242"/>
      <c r="E184" s="242"/>
      <c r="F184" s="242"/>
      <c r="G184" s="242"/>
      <c r="H184" s="242"/>
      <c r="I184" s="242"/>
      <c r="J184" s="242"/>
      <c r="K184" s="242"/>
      <c r="L184" s="242"/>
      <c r="M184" s="242"/>
      <c r="N184" s="242"/>
      <c r="O184" s="242"/>
      <c r="P184" s="242"/>
      <c r="Q184" s="242"/>
      <c r="R184" s="242"/>
      <c r="S184" s="242"/>
      <c r="T184" s="242"/>
      <c r="U184" s="242"/>
      <c r="V184" s="242"/>
      <c r="W184" s="242"/>
      <c r="X184" s="242"/>
      <c r="Y184" s="242"/>
      <c r="Z184" s="242"/>
      <c r="AA184" s="242"/>
      <c r="AB184" s="242"/>
      <c r="AC184" s="242"/>
      <c r="AD184" s="242"/>
      <c r="AE184" s="242"/>
      <c r="AF184" s="242"/>
      <c r="AG184" s="242"/>
      <c r="AH184" s="242"/>
      <c r="AI184" s="242"/>
      <c r="AJ184" s="242"/>
      <c r="AK184" s="242"/>
      <c r="AL184" s="242"/>
      <c r="AM184" s="242"/>
      <c r="AN184" s="242"/>
      <c r="AO184" s="242"/>
      <c r="AP184" s="242"/>
      <c r="AQ184" s="242"/>
    </row>
    <row r="185" spans="1:43" x14ac:dyDescent="0.15">
      <c r="A185" s="242"/>
      <c r="B185" s="242"/>
      <c r="C185" s="242"/>
      <c r="D185" s="242"/>
      <c r="E185" s="242"/>
      <c r="F185" s="242"/>
      <c r="G185" s="242"/>
      <c r="H185" s="242"/>
      <c r="I185" s="242"/>
      <c r="J185" s="242"/>
      <c r="K185" s="242"/>
      <c r="L185" s="242"/>
      <c r="M185" s="242"/>
      <c r="N185" s="242"/>
      <c r="O185" s="242"/>
      <c r="P185" s="242"/>
      <c r="Q185" s="242"/>
      <c r="R185" s="242"/>
      <c r="S185" s="242"/>
      <c r="T185" s="242"/>
      <c r="U185" s="242"/>
      <c r="V185" s="242"/>
      <c r="W185" s="242"/>
      <c r="X185" s="242"/>
      <c r="Y185" s="242"/>
      <c r="Z185" s="242"/>
      <c r="AA185" s="242"/>
      <c r="AB185" s="242"/>
      <c r="AC185" s="242"/>
      <c r="AD185" s="242"/>
      <c r="AE185" s="242"/>
      <c r="AF185" s="242"/>
      <c r="AG185" s="242"/>
      <c r="AH185" s="242"/>
      <c r="AI185" s="242"/>
      <c r="AJ185" s="242"/>
      <c r="AK185" s="242"/>
      <c r="AL185" s="242"/>
      <c r="AM185" s="242"/>
      <c r="AN185" s="242"/>
      <c r="AO185" s="242"/>
      <c r="AP185" s="242"/>
      <c r="AQ185" s="242"/>
    </row>
    <row r="186" spans="1:43" x14ac:dyDescent="0.15">
      <c r="A186" s="242"/>
      <c r="B186" s="242"/>
      <c r="C186" s="242"/>
      <c r="D186" s="242"/>
      <c r="E186" s="242"/>
      <c r="F186" s="242"/>
      <c r="G186" s="242"/>
      <c r="H186" s="242"/>
      <c r="I186" s="242"/>
      <c r="J186" s="242"/>
      <c r="K186" s="242"/>
      <c r="L186" s="242"/>
      <c r="M186" s="242"/>
      <c r="N186" s="242"/>
      <c r="O186" s="242"/>
      <c r="P186" s="242"/>
      <c r="Q186" s="242"/>
      <c r="R186" s="242"/>
      <c r="S186" s="242"/>
      <c r="T186" s="242"/>
      <c r="U186" s="242"/>
      <c r="V186" s="242"/>
      <c r="W186" s="242"/>
      <c r="X186" s="242"/>
      <c r="Y186" s="242"/>
      <c r="Z186" s="242"/>
      <c r="AA186" s="242"/>
      <c r="AB186" s="242"/>
      <c r="AC186" s="242"/>
      <c r="AD186" s="242"/>
      <c r="AE186" s="242"/>
      <c r="AF186" s="242"/>
      <c r="AG186" s="242"/>
      <c r="AH186" s="242"/>
      <c r="AI186" s="242"/>
      <c r="AJ186" s="242"/>
      <c r="AK186" s="242"/>
      <c r="AL186" s="242"/>
      <c r="AM186" s="242"/>
      <c r="AN186" s="242"/>
      <c r="AO186" s="242"/>
      <c r="AP186" s="242"/>
      <c r="AQ186" s="242"/>
    </row>
    <row r="187" spans="1:43" x14ac:dyDescent="0.15">
      <c r="A187" s="242"/>
      <c r="B187" s="242"/>
      <c r="C187" s="242"/>
      <c r="D187" s="242"/>
      <c r="E187" s="242"/>
      <c r="F187" s="242"/>
      <c r="G187" s="242"/>
      <c r="H187" s="242"/>
      <c r="I187" s="242"/>
      <c r="J187" s="242"/>
      <c r="K187" s="242"/>
      <c r="L187" s="242"/>
      <c r="M187" s="242"/>
      <c r="N187" s="242"/>
      <c r="O187" s="242"/>
      <c r="P187" s="242"/>
      <c r="Q187" s="242"/>
      <c r="R187" s="242"/>
      <c r="S187" s="242"/>
      <c r="T187" s="242"/>
      <c r="U187" s="242"/>
      <c r="V187" s="242"/>
      <c r="W187" s="242"/>
      <c r="X187" s="242"/>
      <c r="Y187" s="242"/>
      <c r="Z187" s="242"/>
      <c r="AA187" s="242"/>
      <c r="AB187" s="242"/>
      <c r="AC187" s="242"/>
      <c r="AD187" s="242"/>
      <c r="AE187" s="242"/>
      <c r="AF187" s="242"/>
      <c r="AG187" s="242"/>
      <c r="AH187" s="242"/>
      <c r="AI187" s="242"/>
      <c r="AJ187" s="242"/>
      <c r="AK187" s="242"/>
      <c r="AL187" s="242"/>
      <c r="AM187" s="242"/>
      <c r="AN187" s="242"/>
      <c r="AO187" s="242"/>
      <c r="AP187" s="242"/>
      <c r="AQ187" s="242"/>
    </row>
    <row r="188" spans="1:43" x14ac:dyDescent="0.15">
      <c r="A188" s="242"/>
      <c r="B188" s="242"/>
      <c r="C188" s="242"/>
      <c r="D188" s="242"/>
      <c r="E188" s="242"/>
      <c r="F188" s="242"/>
      <c r="G188" s="242"/>
      <c r="H188" s="242"/>
      <c r="I188" s="242"/>
      <c r="J188" s="242"/>
      <c r="K188" s="242"/>
      <c r="L188" s="242"/>
      <c r="M188" s="242"/>
      <c r="N188" s="242"/>
      <c r="O188" s="242"/>
      <c r="P188" s="242"/>
      <c r="Q188" s="242"/>
      <c r="R188" s="242"/>
      <c r="S188" s="242"/>
      <c r="T188" s="242"/>
      <c r="U188" s="242"/>
      <c r="V188" s="242"/>
      <c r="W188" s="242"/>
      <c r="X188" s="242"/>
      <c r="Y188" s="242"/>
      <c r="Z188" s="242"/>
      <c r="AA188" s="242"/>
      <c r="AB188" s="242"/>
      <c r="AC188" s="242"/>
      <c r="AD188" s="242"/>
      <c r="AE188" s="242"/>
      <c r="AF188" s="242"/>
      <c r="AG188" s="242"/>
      <c r="AH188" s="242"/>
      <c r="AI188" s="242"/>
      <c r="AJ188" s="242"/>
      <c r="AK188" s="242"/>
      <c r="AL188" s="242"/>
      <c r="AM188" s="242"/>
      <c r="AN188" s="242"/>
      <c r="AO188" s="242"/>
      <c r="AP188" s="242"/>
      <c r="AQ188" s="242"/>
    </row>
    <row r="189" spans="1:43" x14ac:dyDescent="0.15">
      <c r="A189" s="242"/>
      <c r="B189" s="242"/>
      <c r="C189" s="242"/>
      <c r="D189" s="242"/>
      <c r="E189" s="242"/>
      <c r="F189" s="242"/>
      <c r="G189" s="242"/>
      <c r="H189" s="242"/>
      <c r="I189" s="242"/>
      <c r="J189" s="242"/>
      <c r="K189" s="242"/>
      <c r="L189" s="242"/>
      <c r="M189" s="242"/>
      <c r="N189" s="242"/>
      <c r="O189" s="242"/>
      <c r="P189" s="242"/>
      <c r="Q189" s="242"/>
      <c r="R189" s="242"/>
      <c r="S189" s="242"/>
      <c r="T189" s="242"/>
      <c r="U189" s="242"/>
      <c r="V189" s="242"/>
      <c r="W189" s="242"/>
      <c r="X189" s="242"/>
      <c r="Y189" s="242"/>
      <c r="Z189" s="242"/>
      <c r="AA189" s="242"/>
      <c r="AB189" s="242"/>
      <c r="AC189" s="242"/>
      <c r="AD189" s="242"/>
      <c r="AE189" s="242"/>
      <c r="AF189" s="242"/>
      <c r="AG189" s="242"/>
      <c r="AH189" s="242"/>
      <c r="AI189" s="242"/>
      <c r="AJ189" s="242"/>
      <c r="AK189" s="242"/>
      <c r="AL189" s="242"/>
      <c r="AM189" s="242"/>
      <c r="AN189" s="242"/>
      <c r="AO189" s="242"/>
      <c r="AP189" s="242"/>
      <c r="AQ189" s="242"/>
    </row>
    <row r="190" spans="1:43" x14ac:dyDescent="0.15">
      <c r="A190" s="242"/>
      <c r="B190" s="242"/>
      <c r="C190" s="242"/>
      <c r="D190" s="242"/>
      <c r="E190" s="242"/>
      <c r="F190" s="242"/>
      <c r="G190" s="242"/>
      <c r="H190" s="242"/>
      <c r="I190" s="242"/>
      <c r="J190" s="242"/>
      <c r="K190" s="242"/>
      <c r="L190" s="242"/>
      <c r="M190" s="242"/>
      <c r="N190" s="242"/>
      <c r="O190" s="242"/>
      <c r="P190" s="242"/>
      <c r="Q190" s="242"/>
      <c r="R190" s="242"/>
      <c r="S190" s="242"/>
      <c r="T190" s="242"/>
      <c r="U190" s="242"/>
      <c r="V190" s="242"/>
      <c r="W190" s="242"/>
      <c r="X190" s="242"/>
      <c r="Y190" s="242"/>
      <c r="Z190" s="242"/>
      <c r="AA190" s="242"/>
      <c r="AB190" s="242"/>
      <c r="AC190" s="242"/>
      <c r="AD190" s="242"/>
      <c r="AE190" s="242"/>
      <c r="AF190" s="242"/>
      <c r="AG190" s="242"/>
      <c r="AH190" s="242"/>
      <c r="AI190" s="242"/>
      <c r="AJ190" s="242"/>
      <c r="AK190" s="242"/>
      <c r="AL190" s="242"/>
      <c r="AM190" s="242"/>
      <c r="AN190" s="242"/>
      <c r="AO190" s="242"/>
      <c r="AP190" s="242"/>
      <c r="AQ190" s="242"/>
    </row>
    <row r="191" spans="1:43" x14ac:dyDescent="0.15">
      <c r="A191" s="242"/>
      <c r="B191" s="242"/>
      <c r="C191" s="242"/>
      <c r="D191" s="242"/>
      <c r="E191" s="242"/>
      <c r="F191" s="242"/>
      <c r="G191" s="242"/>
      <c r="H191" s="242"/>
      <c r="I191" s="242"/>
      <c r="J191" s="242"/>
      <c r="K191" s="242"/>
      <c r="L191" s="242"/>
      <c r="M191" s="242"/>
      <c r="N191" s="242"/>
      <c r="O191" s="242"/>
      <c r="P191" s="242"/>
      <c r="Q191" s="242"/>
      <c r="R191" s="242"/>
      <c r="S191" s="242"/>
      <c r="T191" s="242"/>
      <c r="U191" s="242"/>
      <c r="V191" s="242"/>
      <c r="W191" s="242"/>
      <c r="X191" s="242"/>
      <c r="Y191" s="242"/>
      <c r="Z191" s="242"/>
      <c r="AA191" s="242"/>
      <c r="AB191" s="242"/>
      <c r="AC191" s="242"/>
      <c r="AD191" s="242"/>
      <c r="AE191" s="242"/>
      <c r="AF191" s="242"/>
      <c r="AG191" s="242"/>
      <c r="AH191" s="242"/>
      <c r="AI191" s="242"/>
      <c r="AJ191" s="242"/>
      <c r="AK191" s="242"/>
      <c r="AL191" s="242"/>
      <c r="AM191" s="242"/>
      <c r="AN191" s="242"/>
      <c r="AO191" s="242"/>
      <c r="AP191" s="242"/>
      <c r="AQ191" s="242"/>
    </row>
    <row r="192" spans="1:43" x14ac:dyDescent="0.15">
      <c r="A192" s="242"/>
      <c r="B192" s="242"/>
      <c r="C192" s="242"/>
      <c r="D192" s="242"/>
      <c r="E192" s="242"/>
      <c r="F192" s="242"/>
      <c r="G192" s="242"/>
      <c r="H192" s="242"/>
      <c r="I192" s="242"/>
      <c r="J192" s="242"/>
      <c r="K192" s="242"/>
      <c r="L192" s="242"/>
      <c r="M192" s="242"/>
      <c r="N192" s="242"/>
      <c r="O192" s="242"/>
      <c r="P192" s="242"/>
      <c r="Q192" s="242"/>
      <c r="R192" s="242"/>
      <c r="S192" s="242"/>
      <c r="T192" s="242"/>
      <c r="U192" s="242"/>
      <c r="V192" s="242"/>
      <c r="W192" s="242"/>
      <c r="X192" s="242"/>
      <c r="Y192" s="242"/>
      <c r="Z192" s="242"/>
      <c r="AA192" s="242"/>
      <c r="AB192" s="242"/>
      <c r="AC192" s="242"/>
      <c r="AD192" s="242"/>
      <c r="AE192" s="242"/>
      <c r="AF192" s="242"/>
      <c r="AG192" s="242"/>
      <c r="AH192" s="242"/>
      <c r="AI192" s="242"/>
      <c r="AJ192" s="242"/>
      <c r="AK192" s="242"/>
      <c r="AL192" s="242"/>
      <c r="AM192" s="242"/>
      <c r="AN192" s="242"/>
      <c r="AO192" s="242"/>
      <c r="AP192" s="242"/>
      <c r="AQ192" s="242"/>
    </row>
    <row r="193" spans="1:43" x14ac:dyDescent="0.15">
      <c r="A193" s="242"/>
      <c r="B193" s="242"/>
      <c r="C193" s="242"/>
      <c r="D193" s="242"/>
      <c r="E193" s="242"/>
      <c r="F193" s="242"/>
      <c r="G193" s="242"/>
      <c r="H193" s="242"/>
      <c r="I193" s="242"/>
      <c r="J193" s="242"/>
      <c r="K193" s="242"/>
      <c r="L193" s="242"/>
      <c r="M193" s="242"/>
      <c r="N193" s="242"/>
      <c r="O193" s="242"/>
      <c r="P193" s="242"/>
      <c r="Q193" s="242"/>
      <c r="R193" s="242"/>
      <c r="S193" s="242"/>
      <c r="T193" s="242"/>
      <c r="U193" s="242"/>
      <c r="V193" s="242"/>
      <c r="W193" s="242"/>
      <c r="X193" s="242"/>
      <c r="Y193" s="242"/>
      <c r="Z193" s="242"/>
      <c r="AA193" s="242"/>
      <c r="AB193" s="242"/>
      <c r="AC193" s="242"/>
      <c r="AD193" s="242"/>
      <c r="AE193" s="242"/>
      <c r="AF193" s="242"/>
      <c r="AG193" s="242"/>
      <c r="AH193" s="242"/>
      <c r="AI193" s="242"/>
      <c r="AJ193" s="242"/>
      <c r="AK193" s="242"/>
      <c r="AL193" s="242"/>
      <c r="AM193" s="242"/>
      <c r="AN193" s="242"/>
      <c r="AO193" s="242"/>
      <c r="AP193" s="242"/>
      <c r="AQ193" s="242"/>
    </row>
    <row r="194" spans="1:43" x14ac:dyDescent="0.15">
      <c r="A194" s="242"/>
      <c r="B194" s="242"/>
      <c r="C194" s="242"/>
      <c r="D194" s="242"/>
      <c r="E194" s="242"/>
      <c r="F194" s="242"/>
      <c r="G194" s="242"/>
      <c r="H194" s="242"/>
      <c r="I194" s="242"/>
      <c r="J194" s="242"/>
      <c r="K194" s="242"/>
      <c r="L194" s="242"/>
      <c r="M194" s="242"/>
      <c r="N194" s="242"/>
      <c r="O194" s="242"/>
      <c r="P194" s="242"/>
      <c r="Q194" s="242"/>
      <c r="R194" s="242"/>
      <c r="S194" s="242"/>
      <c r="T194" s="242"/>
      <c r="U194" s="242"/>
      <c r="V194" s="242"/>
      <c r="W194" s="242"/>
      <c r="X194" s="242"/>
      <c r="Y194" s="242"/>
      <c r="Z194" s="242"/>
      <c r="AA194" s="242"/>
      <c r="AB194" s="242"/>
      <c r="AC194" s="242"/>
      <c r="AD194" s="242"/>
      <c r="AE194" s="242"/>
      <c r="AF194" s="242"/>
      <c r="AG194" s="242"/>
      <c r="AH194" s="242"/>
      <c r="AI194" s="242"/>
      <c r="AJ194" s="242"/>
      <c r="AK194" s="242"/>
      <c r="AL194" s="242"/>
      <c r="AM194" s="242"/>
      <c r="AN194" s="242"/>
      <c r="AO194" s="242"/>
      <c r="AP194" s="242"/>
      <c r="AQ194" s="242"/>
    </row>
    <row r="195" spans="1:43" x14ac:dyDescent="0.15">
      <c r="A195" s="242"/>
      <c r="B195" s="242"/>
      <c r="C195" s="242"/>
      <c r="D195" s="242"/>
      <c r="E195" s="242"/>
      <c r="F195" s="242"/>
      <c r="G195" s="242"/>
      <c r="H195" s="242"/>
      <c r="I195" s="242"/>
      <c r="J195" s="242"/>
      <c r="K195" s="242"/>
      <c r="L195" s="242"/>
      <c r="M195" s="242"/>
      <c r="N195" s="242"/>
      <c r="O195" s="242"/>
      <c r="P195" s="242"/>
      <c r="Q195" s="242"/>
      <c r="R195" s="242"/>
      <c r="S195" s="242"/>
      <c r="T195" s="242"/>
      <c r="U195" s="242"/>
      <c r="V195" s="242"/>
      <c r="W195" s="242"/>
      <c r="X195" s="242"/>
      <c r="Y195" s="242"/>
      <c r="Z195" s="242"/>
      <c r="AA195" s="242"/>
      <c r="AB195" s="242"/>
      <c r="AC195" s="242"/>
      <c r="AD195" s="242"/>
      <c r="AE195" s="242"/>
      <c r="AF195" s="242"/>
      <c r="AG195" s="242"/>
      <c r="AH195" s="242"/>
      <c r="AI195" s="242"/>
      <c r="AJ195" s="242"/>
      <c r="AK195" s="242"/>
      <c r="AL195" s="242"/>
      <c r="AM195" s="242"/>
      <c r="AN195" s="242"/>
      <c r="AO195" s="242"/>
      <c r="AP195" s="242"/>
      <c r="AQ195" s="242"/>
    </row>
    <row r="196" spans="1:43" x14ac:dyDescent="0.15">
      <c r="A196" s="242"/>
      <c r="B196" s="242"/>
      <c r="C196" s="242"/>
      <c r="D196" s="242"/>
      <c r="E196" s="242"/>
      <c r="F196" s="242"/>
      <c r="G196" s="242"/>
      <c r="H196" s="242"/>
      <c r="I196" s="242"/>
      <c r="J196" s="242"/>
      <c r="K196" s="242"/>
      <c r="L196" s="242"/>
      <c r="M196" s="242"/>
      <c r="N196" s="242"/>
      <c r="O196" s="242"/>
      <c r="P196" s="242"/>
      <c r="Q196" s="242"/>
      <c r="R196" s="242"/>
      <c r="S196" s="242"/>
      <c r="T196" s="242"/>
      <c r="U196" s="242"/>
      <c r="V196" s="242"/>
      <c r="W196" s="242"/>
      <c r="X196" s="242"/>
      <c r="Y196" s="242"/>
      <c r="Z196" s="242"/>
      <c r="AA196" s="242"/>
      <c r="AB196" s="242"/>
      <c r="AC196" s="242"/>
      <c r="AD196" s="242"/>
      <c r="AE196" s="242"/>
      <c r="AF196" s="242"/>
      <c r="AG196" s="242"/>
      <c r="AH196" s="242"/>
      <c r="AI196" s="242"/>
      <c r="AJ196" s="242"/>
      <c r="AK196" s="242"/>
      <c r="AL196" s="242"/>
      <c r="AM196" s="242"/>
      <c r="AN196" s="242"/>
      <c r="AO196" s="242"/>
      <c r="AP196" s="242"/>
      <c r="AQ196" s="242"/>
    </row>
    <row r="197" spans="1:43" x14ac:dyDescent="0.15">
      <c r="A197" s="242"/>
      <c r="B197" s="242"/>
      <c r="C197" s="242"/>
      <c r="D197" s="242"/>
      <c r="E197" s="242"/>
      <c r="F197" s="242"/>
      <c r="G197" s="242"/>
      <c r="H197" s="242"/>
      <c r="I197" s="242"/>
      <c r="J197" s="242"/>
      <c r="K197" s="242"/>
      <c r="L197" s="242"/>
      <c r="M197" s="242"/>
      <c r="N197" s="242"/>
      <c r="O197" s="242"/>
      <c r="P197" s="242"/>
      <c r="Q197" s="242"/>
      <c r="R197" s="242"/>
      <c r="S197" s="242"/>
      <c r="T197" s="242"/>
      <c r="U197" s="242"/>
      <c r="V197" s="242"/>
      <c r="W197" s="242"/>
      <c r="X197" s="242"/>
      <c r="Y197" s="242"/>
      <c r="Z197" s="242"/>
      <c r="AA197" s="242"/>
      <c r="AB197" s="242"/>
      <c r="AC197" s="242"/>
      <c r="AD197" s="242"/>
      <c r="AE197" s="242"/>
      <c r="AF197" s="242"/>
      <c r="AG197" s="242"/>
      <c r="AH197" s="242"/>
      <c r="AI197" s="242"/>
      <c r="AJ197" s="242"/>
      <c r="AK197" s="242"/>
      <c r="AL197" s="242"/>
      <c r="AM197" s="242"/>
      <c r="AN197" s="242"/>
      <c r="AO197" s="242"/>
      <c r="AP197" s="242"/>
      <c r="AQ197" s="242"/>
    </row>
    <row r="198" spans="1:43" x14ac:dyDescent="0.15">
      <c r="A198" s="242"/>
      <c r="B198" s="242"/>
      <c r="C198" s="242"/>
      <c r="D198" s="242"/>
      <c r="E198" s="242"/>
      <c r="F198" s="242"/>
      <c r="G198" s="242"/>
      <c r="H198" s="242"/>
      <c r="I198" s="242"/>
      <c r="J198" s="242"/>
      <c r="K198" s="242"/>
      <c r="L198" s="242"/>
      <c r="M198" s="242"/>
      <c r="N198" s="242"/>
      <c r="O198" s="242"/>
      <c r="P198" s="242"/>
      <c r="Q198" s="242"/>
      <c r="R198" s="242"/>
      <c r="S198" s="242"/>
      <c r="T198" s="242"/>
      <c r="U198" s="242"/>
      <c r="V198" s="242"/>
      <c r="W198" s="242"/>
      <c r="X198" s="242"/>
      <c r="Y198" s="242"/>
      <c r="Z198" s="242"/>
      <c r="AA198" s="242"/>
      <c r="AB198" s="242"/>
      <c r="AC198" s="242"/>
      <c r="AD198" s="242"/>
      <c r="AE198" s="242"/>
      <c r="AF198" s="242"/>
      <c r="AG198" s="242"/>
      <c r="AH198" s="242"/>
      <c r="AI198" s="242"/>
      <c r="AJ198" s="242"/>
      <c r="AK198" s="242"/>
      <c r="AL198" s="242"/>
      <c r="AM198" s="242"/>
      <c r="AN198" s="242"/>
      <c r="AO198" s="242"/>
      <c r="AP198" s="242"/>
      <c r="AQ198" s="242"/>
    </row>
    <row r="199" spans="1:43" x14ac:dyDescent="0.15">
      <c r="A199" s="242"/>
      <c r="B199" s="242"/>
      <c r="C199" s="242"/>
      <c r="D199" s="242"/>
      <c r="E199" s="242"/>
      <c r="F199" s="242"/>
      <c r="G199" s="242"/>
      <c r="H199" s="242"/>
      <c r="I199" s="242"/>
      <c r="J199" s="242"/>
      <c r="K199" s="242"/>
      <c r="L199" s="242"/>
      <c r="M199" s="242"/>
      <c r="N199" s="242"/>
      <c r="O199" s="242"/>
      <c r="P199" s="242"/>
      <c r="Q199" s="242"/>
      <c r="R199" s="242"/>
      <c r="S199" s="242"/>
      <c r="T199" s="242"/>
      <c r="U199" s="242"/>
      <c r="V199" s="242"/>
      <c r="W199" s="242"/>
      <c r="X199" s="242"/>
      <c r="Y199" s="242"/>
      <c r="Z199" s="242"/>
      <c r="AA199" s="242"/>
      <c r="AB199" s="242"/>
      <c r="AC199" s="242"/>
      <c r="AD199" s="242"/>
      <c r="AE199" s="242"/>
      <c r="AF199" s="242"/>
      <c r="AG199" s="242"/>
      <c r="AH199" s="242"/>
      <c r="AI199" s="242"/>
      <c r="AJ199" s="242"/>
      <c r="AK199" s="242"/>
      <c r="AL199" s="242"/>
      <c r="AM199" s="242"/>
      <c r="AN199" s="242"/>
      <c r="AO199" s="242"/>
      <c r="AP199" s="242"/>
      <c r="AQ199" s="242"/>
    </row>
    <row r="200" spans="1:43" x14ac:dyDescent="0.15">
      <c r="A200" s="242"/>
      <c r="B200" s="242"/>
      <c r="C200" s="242"/>
      <c r="D200" s="242"/>
      <c r="E200" s="242"/>
      <c r="F200" s="242"/>
      <c r="G200" s="242"/>
      <c r="H200" s="242"/>
      <c r="I200" s="242"/>
      <c r="J200" s="242"/>
      <c r="K200" s="242"/>
      <c r="L200" s="242"/>
      <c r="M200" s="242"/>
      <c r="N200" s="242"/>
      <c r="O200" s="242"/>
      <c r="P200" s="242"/>
      <c r="Q200" s="242"/>
      <c r="R200" s="242"/>
      <c r="S200" s="242"/>
      <c r="T200" s="242"/>
      <c r="U200" s="242"/>
      <c r="V200" s="242"/>
      <c r="W200" s="242"/>
      <c r="X200" s="242"/>
      <c r="Y200" s="242"/>
      <c r="Z200" s="242"/>
      <c r="AA200" s="242"/>
      <c r="AB200" s="242"/>
      <c r="AC200" s="242"/>
      <c r="AD200" s="242"/>
      <c r="AE200" s="242"/>
      <c r="AF200" s="242"/>
      <c r="AG200" s="242"/>
      <c r="AH200" s="242"/>
      <c r="AI200" s="242"/>
      <c r="AJ200" s="242"/>
      <c r="AK200" s="242"/>
      <c r="AL200" s="242"/>
      <c r="AM200" s="242"/>
      <c r="AN200" s="242"/>
      <c r="AO200" s="242"/>
      <c r="AP200" s="242"/>
      <c r="AQ200" s="242"/>
    </row>
    <row r="201" spans="1:43" x14ac:dyDescent="0.15">
      <c r="A201" s="242"/>
      <c r="B201" s="242"/>
      <c r="C201" s="242"/>
      <c r="D201" s="242"/>
      <c r="E201" s="242"/>
      <c r="F201" s="242"/>
      <c r="G201" s="242"/>
      <c r="H201" s="242"/>
      <c r="I201" s="242"/>
      <c r="J201" s="242"/>
      <c r="K201" s="242"/>
      <c r="L201" s="242"/>
      <c r="M201" s="242"/>
      <c r="N201" s="242"/>
      <c r="O201" s="242"/>
      <c r="P201" s="242"/>
      <c r="Q201" s="242"/>
      <c r="R201" s="242"/>
      <c r="S201" s="242"/>
      <c r="T201" s="242"/>
      <c r="U201" s="242"/>
      <c r="V201" s="242"/>
      <c r="W201" s="242"/>
      <c r="X201" s="242"/>
      <c r="Y201" s="242"/>
      <c r="Z201" s="242"/>
      <c r="AA201" s="242"/>
      <c r="AB201" s="242"/>
      <c r="AC201" s="242"/>
      <c r="AD201" s="242"/>
      <c r="AE201" s="242"/>
      <c r="AF201" s="242"/>
      <c r="AG201" s="242"/>
      <c r="AH201" s="242"/>
      <c r="AI201" s="242"/>
      <c r="AJ201" s="242"/>
      <c r="AK201" s="242"/>
      <c r="AL201" s="242"/>
      <c r="AM201" s="242"/>
      <c r="AN201" s="242"/>
      <c r="AO201" s="242"/>
      <c r="AP201" s="242"/>
      <c r="AQ201" s="242"/>
    </row>
    <row r="202" spans="1:43" x14ac:dyDescent="0.15">
      <c r="A202" s="242"/>
      <c r="B202" s="242"/>
      <c r="C202" s="242"/>
      <c r="D202" s="242"/>
      <c r="E202" s="242"/>
      <c r="F202" s="242"/>
      <c r="G202" s="242"/>
      <c r="H202" s="242"/>
      <c r="I202" s="242"/>
      <c r="J202" s="242"/>
      <c r="K202" s="242"/>
      <c r="L202" s="242"/>
      <c r="M202" s="242"/>
      <c r="N202" s="242"/>
      <c r="O202" s="242"/>
      <c r="P202" s="242"/>
      <c r="Q202" s="242"/>
      <c r="R202" s="242"/>
      <c r="S202" s="242"/>
      <c r="T202" s="242"/>
      <c r="U202" s="242"/>
      <c r="V202" s="242"/>
      <c r="W202" s="242"/>
      <c r="X202" s="242"/>
      <c r="Y202" s="242"/>
      <c r="Z202" s="242"/>
      <c r="AA202" s="242"/>
      <c r="AB202" s="242"/>
      <c r="AC202" s="242"/>
      <c r="AD202" s="242"/>
      <c r="AE202" s="242"/>
      <c r="AF202" s="242"/>
      <c r="AG202" s="242"/>
      <c r="AH202" s="242"/>
      <c r="AI202" s="242"/>
      <c r="AJ202" s="242"/>
      <c r="AK202" s="242"/>
      <c r="AL202" s="242"/>
      <c r="AM202" s="242"/>
      <c r="AN202" s="242"/>
      <c r="AO202" s="242"/>
      <c r="AP202" s="242"/>
      <c r="AQ202" s="242"/>
    </row>
    <row r="203" spans="1:43" x14ac:dyDescent="0.15">
      <c r="A203" s="242"/>
      <c r="B203" s="242"/>
      <c r="C203" s="242"/>
      <c r="D203" s="242"/>
      <c r="E203" s="242"/>
      <c r="F203" s="242"/>
      <c r="G203" s="242"/>
      <c r="H203" s="242"/>
      <c r="I203" s="242"/>
      <c r="J203" s="242"/>
      <c r="K203" s="242"/>
      <c r="L203" s="242"/>
      <c r="M203" s="242"/>
      <c r="N203" s="242"/>
      <c r="O203" s="242"/>
      <c r="P203" s="242"/>
      <c r="Q203" s="242"/>
      <c r="R203" s="242"/>
      <c r="S203" s="242"/>
      <c r="T203" s="242"/>
      <c r="U203" s="242"/>
      <c r="V203" s="242"/>
      <c r="W203" s="242"/>
      <c r="X203" s="242"/>
      <c r="Y203" s="242"/>
      <c r="Z203" s="242"/>
      <c r="AA203" s="242"/>
      <c r="AB203" s="242"/>
      <c r="AC203" s="242"/>
      <c r="AD203" s="242"/>
      <c r="AE203" s="242"/>
      <c r="AF203" s="242"/>
      <c r="AG203" s="242"/>
      <c r="AH203" s="242"/>
      <c r="AI203" s="242"/>
      <c r="AJ203" s="242"/>
      <c r="AK203" s="242"/>
      <c r="AL203" s="242"/>
      <c r="AM203" s="242"/>
      <c r="AN203" s="242"/>
      <c r="AO203" s="242"/>
      <c r="AP203" s="242"/>
      <c r="AQ203" s="242"/>
    </row>
    <row r="204" spans="1:43" x14ac:dyDescent="0.15">
      <c r="A204" s="242"/>
      <c r="B204" s="242"/>
      <c r="C204" s="242"/>
      <c r="D204" s="242"/>
      <c r="E204" s="242"/>
      <c r="F204" s="242"/>
      <c r="G204" s="242"/>
      <c r="H204" s="242"/>
      <c r="I204" s="242"/>
      <c r="J204" s="242"/>
      <c r="K204" s="242"/>
      <c r="L204" s="242"/>
      <c r="M204" s="242"/>
      <c r="N204" s="242"/>
      <c r="O204" s="242"/>
      <c r="P204" s="242"/>
      <c r="Q204" s="242"/>
      <c r="R204" s="242"/>
      <c r="S204" s="242"/>
      <c r="T204" s="242"/>
      <c r="U204" s="242"/>
      <c r="V204" s="242"/>
      <c r="W204" s="242"/>
      <c r="X204" s="242"/>
      <c r="Y204" s="242"/>
      <c r="Z204" s="242"/>
      <c r="AA204" s="242"/>
      <c r="AB204" s="242"/>
      <c r="AC204" s="242"/>
      <c r="AD204" s="242"/>
      <c r="AE204" s="242"/>
      <c r="AF204" s="242"/>
      <c r="AG204" s="242"/>
      <c r="AH204" s="242"/>
      <c r="AI204" s="242"/>
      <c r="AJ204" s="242"/>
      <c r="AK204" s="242"/>
      <c r="AL204" s="242"/>
      <c r="AM204" s="242"/>
      <c r="AN204" s="242"/>
      <c r="AO204" s="242"/>
      <c r="AP204" s="242"/>
      <c r="AQ204" s="242"/>
    </row>
    <row r="205" spans="1:43" x14ac:dyDescent="0.15">
      <c r="A205" s="242"/>
      <c r="B205" s="242"/>
      <c r="C205" s="242"/>
      <c r="D205" s="242"/>
      <c r="E205" s="242"/>
      <c r="F205" s="242"/>
      <c r="G205" s="242"/>
      <c r="H205" s="242"/>
      <c r="I205" s="242"/>
      <c r="J205" s="242"/>
      <c r="K205" s="242"/>
      <c r="L205" s="242"/>
      <c r="M205" s="242"/>
      <c r="N205" s="242"/>
      <c r="O205" s="242"/>
      <c r="P205" s="242"/>
      <c r="Q205" s="242"/>
      <c r="R205" s="242"/>
      <c r="S205" s="242"/>
      <c r="T205" s="242"/>
      <c r="U205" s="242"/>
      <c r="V205" s="242"/>
      <c r="W205" s="242"/>
      <c r="X205" s="242"/>
      <c r="Y205" s="242"/>
      <c r="Z205" s="242"/>
      <c r="AA205" s="242"/>
      <c r="AB205" s="242"/>
      <c r="AC205" s="242"/>
      <c r="AD205" s="242"/>
      <c r="AE205" s="242"/>
      <c r="AF205" s="242"/>
      <c r="AG205" s="242"/>
      <c r="AH205" s="242"/>
      <c r="AI205" s="242"/>
      <c r="AJ205" s="242"/>
      <c r="AK205" s="242"/>
      <c r="AL205" s="242"/>
      <c r="AM205" s="242"/>
      <c r="AN205" s="242"/>
      <c r="AO205" s="242"/>
      <c r="AP205" s="242"/>
      <c r="AQ205" s="242"/>
    </row>
    <row r="206" spans="1:43" x14ac:dyDescent="0.15">
      <c r="A206" s="242"/>
      <c r="B206" s="242"/>
      <c r="C206" s="242"/>
      <c r="D206" s="242"/>
      <c r="E206" s="242"/>
      <c r="F206" s="242"/>
      <c r="G206" s="242"/>
      <c r="H206" s="242"/>
      <c r="I206" s="242"/>
      <c r="J206" s="242"/>
      <c r="K206" s="242"/>
      <c r="L206" s="242"/>
      <c r="M206" s="242"/>
      <c r="N206" s="242"/>
      <c r="O206" s="242"/>
      <c r="P206" s="242"/>
      <c r="Q206" s="242"/>
      <c r="R206" s="242"/>
      <c r="S206" s="242"/>
      <c r="T206" s="242"/>
      <c r="U206" s="242"/>
      <c r="V206" s="242"/>
      <c r="W206" s="242"/>
      <c r="X206" s="242"/>
      <c r="Y206" s="242"/>
      <c r="Z206" s="242"/>
      <c r="AA206" s="242"/>
      <c r="AB206" s="242"/>
      <c r="AC206" s="242"/>
      <c r="AD206" s="242"/>
      <c r="AE206" s="242"/>
      <c r="AF206" s="242"/>
      <c r="AG206" s="242"/>
      <c r="AH206" s="242"/>
      <c r="AI206" s="242"/>
      <c r="AJ206" s="242"/>
      <c r="AK206" s="242"/>
      <c r="AL206" s="242"/>
      <c r="AM206" s="242"/>
      <c r="AN206" s="242"/>
      <c r="AO206" s="242"/>
      <c r="AP206" s="242"/>
      <c r="AQ206" s="242"/>
    </row>
    <row r="207" spans="1:43" x14ac:dyDescent="0.15">
      <c r="A207" s="242"/>
      <c r="B207" s="242"/>
      <c r="C207" s="242"/>
      <c r="D207" s="242"/>
      <c r="E207" s="242"/>
      <c r="F207" s="242"/>
      <c r="G207" s="242"/>
      <c r="H207" s="242"/>
      <c r="I207" s="242"/>
      <c r="J207" s="242"/>
      <c r="K207" s="242"/>
      <c r="L207" s="242"/>
      <c r="M207" s="242"/>
      <c r="N207" s="242"/>
      <c r="O207" s="242"/>
      <c r="P207" s="242"/>
      <c r="Q207" s="242"/>
      <c r="R207" s="242"/>
      <c r="S207" s="242"/>
      <c r="T207" s="242"/>
      <c r="U207" s="242"/>
      <c r="V207" s="242"/>
      <c r="W207" s="242"/>
      <c r="X207" s="242"/>
      <c r="Y207" s="242"/>
      <c r="Z207" s="242"/>
      <c r="AA207" s="242"/>
      <c r="AB207" s="242"/>
      <c r="AC207" s="242"/>
      <c r="AD207" s="242"/>
      <c r="AE207" s="242"/>
      <c r="AF207" s="242"/>
      <c r="AG207" s="242"/>
      <c r="AH207" s="242"/>
      <c r="AI207" s="242"/>
      <c r="AJ207" s="242"/>
      <c r="AK207" s="242"/>
      <c r="AL207" s="242"/>
      <c r="AM207" s="242"/>
      <c r="AN207" s="242"/>
      <c r="AO207" s="242"/>
      <c r="AP207" s="242"/>
      <c r="AQ207" s="242"/>
    </row>
    <row r="208" spans="1:43" x14ac:dyDescent="0.15">
      <c r="A208" s="242"/>
      <c r="B208" s="242"/>
      <c r="C208" s="242"/>
      <c r="D208" s="242"/>
      <c r="E208" s="242"/>
      <c r="F208" s="242"/>
      <c r="G208" s="242"/>
      <c r="H208" s="242"/>
      <c r="I208" s="242"/>
      <c r="J208" s="242"/>
      <c r="K208" s="242"/>
      <c r="L208" s="242"/>
      <c r="M208" s="242"/>
      <c r="N208" s="242"/>
      <c r="O208" s="242"/>
      <c r="P208" s="242"/>
      <c r="Q208" s="242"/>
      <c r="R208" s="242"/>
      <c r="S208" s="242"/>
      <c r="T208" s="242"/>
      <c r="U208" s="242"/>
      <c r="V208" s="242"/>
      <c r="W208" s="242"/>
      <c r="X208" s="242"/>
      <c r="Y208" s="242"/>
      <c r="Z208" s="242"/>
      <c r="AA208" s="242"/>
      <c r="AB208" s="242"/>
      <c r="AC208" s="242"/>
      <c r="AD208" s="242"/>
      <c r="AE208" s="242"/>
      <c r="AF208" s="242"/>
      <c r="AG208" s="242"/>
      <c r="AH208" s="242"/>
      <c r="AI208" s="242"/>
      <c r="AJ208" s="242"/>
      <c r="AK208" s="242"/>
      <c r="AL208" s="242"/>
      <c r="AM208" s="242"/>
      <c r="AN208" s="242"/>
      <c r="AO208" s="242"/>
      <c r="AP208" s="242"/>
      <c r="AQ208" s="242"/>
    </row>
    <row r="209" spans="1:43" x14ac:dyDescent="0.15">
      <c r="A209" s="242"/>
      <c r="B209" s="242"/>
      <c r="C209" s="242"/>
      <c r="D209" s="242"/>
      <c r="E209" s="242"/>
      <c r="F209" s="242"/>
      <c r="G209" s="242"/>
      <c r="H209" s="242"/>
      <c r="I209" s="242"/>
      <c r="J209" s="242"/>
      <c r="K209" s="242"/>
      <c r="L209" s="242"/>
      <c r="M209" s="242"/>
      <c r="N209" s="242"/>
      <c r="O209" s="242"/>
      <c r="P209" s="242"/>
      <c r="Q209" s="242"/>
      <c r="R209" s="242"/>
      <c r="S209" s="242"/>
      <c r="T209" s="242"/>
      <c r="U209" s="242"/>
      <c r="V209" s="242"/>
      <c r="W209" s="242"/>
      <c r="X209" s="242"/>
      <c r="Y209" s="242"/>
      <c r="Z209" s="242"/>
      <c r="AA209" s="242"/>
      <c r="AB209" s="242"/>
      <c r="AC209" s="242"/>
      <c r="AD209" s="242"/>
      <c r="AE209" s="242"/>
      <c r="AF209" s="242"/>
      <c r="AG209" s="242"/>
      <c r="AH209" s="242"/>
      <c r="AI209" s="242"/>
      <c r="AJ209" s="242"/>
      <c r="AK209" s="242"/>
      <c r="AL209" s="242"/>
      <c r="AM209" s="242"/>
      <c r="AN209" s="242"/>
      <c r="AO209" s="242"/>
      <c r="AP209" s="242"/>
      <c r="AQ209" s="242"/>
    </row>
    <row r="210" spans="1:43" x14ac:dyDescent="0.15">
      <c r="A210" s="242"/>
      <c r="B210" s="242"/>
      <c r="C210" s="242"/>
      <c r="D210" s="242"/>
      <c r="E210" s="242"/>
      <c r="F210" s="242"/>
      <c r="G210" s="242"/>
      <c r="H210" s="242"/>
      <c r="I210" s="242"/>
      <c r="J210" s="242"/>
      <c r="K210" s="242"/>
      <c r="L210" s="242"/>
      <c r="M210" s="242"/>
      <c r="N210" s="242"/>
      <c r="O210" s="242"/>
      <c r="P210" s="242"/>
      <c r="Q210" s="242"/>
      <c r="R210" s="242"/>
      <c r="S210" s="242"/>
      <c r="T210" s="242"/>
      <c r="U210" s="242"/>
      <c r="V210" s="242"/>
      <c r="W210" s="242"/>
      <c r="X210" s="242"/>
      <c r="Y210" s="242"/>
      <c r="Z210" s="242"/>
      <c r="AA210" s="242"/>
      <c r="AB210" s="242"/>
      <c r="AC210" s="242"/>
      <c r="AD210" s="242"/>
      <c r="AE210" s="242"/>
      <c r="AF210" s="242"/>
      <c r="AG210" s="242"/>
      <c r="AH210" s="242"/>
      <c r="AI210" s="242"/>
      <c r="AJ210" s="242"/>
      <c r="AK210" s="242"/>
      <c r="AL210" s="242"/>
      <c r="AM210" s="242"/>
      <c r="AN210" s="242"/>
      <c r="AO210" s="242"/>
      <c r="AP210" s="242"/>
      <c r="AQ210" s="242"/>
    </row>
    <row r="211" spans="1:43" x14ac:dyDescent="0.15">
      <c r="A211" s="242"/>
      <c r="B211" s="242"/>
      <c r="C211" s="242"/>
      <c r="D211" s="242"/>
      <c r="E211" s="242"/>
      <c r="F211" s="242"/>
      <c r="G211" s="242"/>
      <c r="H211" s="242"/>
      <c r="I211" s="242"/>
      <c r="J211" s="242"/>
      <c r="K211" s="242"/>
      <c r="L211" s="242"/>
      <c r="M211" s="242"/>
      <c r="N211" s="242"/>
      <c r="O211" s="242"/>
      <c r="P211" s="242"/>
      <c r="Q211" s="242"/>
      <c r="R211" s="242"/>
      <c r="S211" s="242"/>
      <c r="T211" s="242"/>
      <c r="U211" s="242"/>
      <c r="V211" s="242"/>
      <c r="W211" s="242"/>
      <c r="X211" s="242"/>
      <c r="Y211" s="242"/>
      <c r="Z211" s="242"/>
      <c r="AA211" s="242"/>
      <c r="AB211" s="242"/>
      <c r="AC211" s="242"/>
      <c r="AD211" s="242"/>
      <c r="AE211" s="242"/>
      <c r="AF211" s="242"/>
      <c r="AG211" s="242"/>
      <c r="AH211" s="242"/>
      <c r="AI211" s="242"/>
      <c r="AJ211" s="242"/>
      <c r="AK211" s="242"/>
      <c r="AL211" s="242"/>
      <c r="AM211" s="242"/>
      <c r="AN211" s="242"/>
      <c r="AO211" s="242"/>
      <c r="AP211" s="242"/>
      <c r="AQ211" s="242"/>
    </row>
    <row r="212" spans="1:43" x14ac:dyDescent="0.15">
      <c r="A212" s="242"/>
      <c r="B212" s="242"/>
      <c r="C212" s="242"/>
      <c r="D212" s="242"/>
      <c r="E212" s="242"/>
      <c r="F212" s="242"/>
      <c r="G212" s="242"/>
      <c r="H212" s="242"/>
      <c r="I212" s="242"/>
      <c r="J212" s="242"/>
      <c r="K212" s="242"/>
      <c r="L212" s="242"/>
      <c r="M212" s="242"/>
      <c r="N212" s="242"/>
      <c r="O212" s="242"/>
      <c r="P212" s="242"/>
      <c r="Q212" s="242"/>
      <c r="R212" s="242"/>
      <c r="S212" s="242"/>
      <c r="T212" s="242"/>
      <c r="U212" s="242"/>
      <c r="V212" s="242"/>
      <c r="W212" s="242"/>
      <c r="X212" s="242"/>
      <c r="Y212" s="242"/>
      <c r="Z212" s="242"/>
      <c r="AA212" s="242"/>
      <c r="AB212" s="242"/>
      <c r="AC212" s="242"/>
      <c r="AD212" s="242"/>
      <c r="AE212" s="242"/>
      <c r="AF212" s="242"/>
      <c r="AG212" s="242"/>
      <c r="AH212" s="242"/>
      <c r="AI212" s="242"/>
      <c r="AJ212" s="242"/>
      <c r="AK212" s="242"/>
      <c r="AL212" s="242"/>
      <c r="AM212" s="242"/>
      <c r="AN212" s="242"/>
      <c r="AO212" s="242"/>
      <c r="AP212" s="242"/>
      <c r="AQ212" s="242"/>
    </row>
    <row r="213" spans="1:43" x14ac:dyDescent="0.15">
      <c r="A213" s="242"/>
      <c r="B213" s="242"/>
      <c r="C213" s="242"/>
      <c r="D213" s="242"/>
      <c r="E213" s="242"/>
      <c r="F213" s="242"/>
      <c r="G213" s="242"/>
      <c r="H213" s="242"/>
      <c r="I213" s="242"/>
      <c r="J213" s="242"/>
      <c r="K213" s="242"/>
      <c r="L213" s="242"/>
      <c r="M213" s="242"/>
      <c r="N213" s="242"/>
      <c r="O213" s="242"/>
      <c r="P213" s="242"/>
      <c r="Q213" s="242"/>
      <c r="R213" s="242"/>
      <c r="S213" s="242"/>
      <c r="T213" s="242"/>
      <c r="U213" s="242"/>
      <c r="V213" s="242"/>
      <c r="W213" s="242"/>
      <c r="X213" s="242"/>
      <c r="Y213" s="242"/>
      <c r="Z213" s="242"/>
      <c r="AA213" s="242"/>
      <c r="AB213" s="242"/>
      <c r="AC213" s="242"/>
      <c r="AD213" s="242"/>
      <c r="AE213" s="242"/>
      <c r="AF213" s="242"/>
      <c r="AG213" s="242"/>
      <c r="AH213" s="242"/>
      <c r="AI213" s="242"/>
      <c r="AJ213" s="242"/>
      <c r="AK213" s="242"/>
      <c r="AL213" s="242"/>
      <c r="AM213" s="242"/>
      <c r="AN213" s="242"/>
      <c r="AO213" s="242"/>
      <c r="AP213" s="242"/>
      <c r="AQ213" s="242"/>
    </row>
    <row r="214" spans="1:43" x14ac:dyDescent="0.15">
      <c r="A214" s="242"/>
      <c r="B214" s="242"/>
      <c r="C214" s="242"/>
      <c r="D214" s="242"/>
      <c r="E214" s="242"/>
      <c r="F214" s="242"/>
      <c r="G214" s="242"/>
      <c r="H214" s="242"/>
      <c r="I214" s="242"/>
      <c r="J214" s="242"/>
      <c r="K214" s="242"/>
      <c r="L214" s="242"/>
      <c r="M214" s="242"/>
      <c r="N214" s="242"/>
      <c r="O214" s="242"/>
      <c r="P214" s="242"/>
      <c r="Q214" s="242"/>
      <c r="R214" s="242"/>
      <c r="S214" s="242"/>
      <c r="T214" s="242"/>
      <c r="U214" s="242"/>
      <c r="V214" s="242"/>
      <c r="W214" s="242"/>
      <c r="X214" s="242"/>
      <c r="Y214" s="242"/>
      <c r="Z214" s="242"/>
      <c r="AA214" s="242"/>
      <c r="AB214" s="242"/>
      <c r="AC214" s="242"/>
      <c r="AD214" s="242"/>
      <c r="AE214" s="242"/>
      <c r="AF214" s="242"/>
      <c r="AG214" s="242"/>
      <c r="AH214" s="242"/>
      <c r="AI214" s="242"/>
      <c r="AJ214" s="242"/>
      <c r="AK214" s="242"/>
      <c r="AL214" s="242"/>
      <c r="AM214" s="242"/>
      <c r="AN214" s="242"/>
      <c r="AO214" s="242"/>
      <c r="AP214" s="242"/>
      <c r="AQ214" s="242"/>
    </row>
    <row r="215" spans="1:43" x14ac:dyDescent="0.15">
      <c r="A215" s="242"/>
      <c r="B215" s="242"/>
      <c r="C215" s="242"/>
      <c r="D215" s="242"/>
      <c r="E215" s="242"/>
      <c r="F215" s="242"/>
      <c r="G215" s="242"/>
      <c r="H215" s="242"/>
      <c r="I215" s="242"/>
      <c r="J215" s="242"/>
      <c r="K215" s="242"/>
      <c r="L215" s="242"/>
      <c r="M215" s="242"/>
      <c r="N215" s="242"/>
      <c r="O215" s="242"/>
      <c r="P215" s="242"/>
      <c r="Q215" s="242"/>
      <c r="R215" s="242"/>
      <c r="S215" s="242"/>
      <c r="T215" s="242"/>
      <c r="U215" s="242"/>
      <c r="V215" s="242"/>
      <c r="W215" s="242"/>
      <c r="X215" s="242"/>
      <c r="Y215" s="242"/>
      <c r="Z215" s="242"/>
      <c r="AA215" s="242"/>
      <c r="AB215" s="242"/>
      <c r="AC215" s="242"/>
      <c r="AD215" s="242"/>
      <c r="AE215" s="242"/>
      <c r="AF215" s="242"/>
      <c r="AG215" s="242"/>
      <c r="AH215" s="242"/>
      <c r="AI215" s="242"/>
      <c r="AJ215" s="242"/>
      <c r="AK215" s="242"/>
      <c r="AL215" s="242"/>
      <c r="AM215" s="242"/>
      <c r="AN215" s="242"/>
      <c r="AO215" s="242"/>
      <c r="AP215" s="242"/>
      <c r="AQ215" s="242"/>
    </row>
    <row r="216" spans="1:43" x14ac:dyDescent="0.15">
      <c r="A216" s="242"/>
      <c r="B216" s="242"/>
      <c r="C216" s="242"/>
      <c r="D216" s="242"/>
      <c r="E216" s="242"/>
      <c r="F216" s="242"/>
      <c r="G216" s="242"/>
      <c r="H216" s="242"/>
      <c r="I216" s="242"/>
      <c r="J216" s="242"/>
      <c r="K216" s="242"/>
      <c r="L216" s="242"/>
      <c r="M216" s="242"/>
      <c r="N216" s="242"/>
      <c r="O216" s="242"/>
      <c r="P216" s="242"/>
      <c r="Q216" s="242"/>
      <c r="R216" s="242"/>
      <c r="S216" s="242"/>
      <c r="T216" s="242"/>
      <c r="U216" s="242"/>
      <c r="V216" s="242"/>
      <c r="W216" s="242"/>
      <c r="X216" s="242"/>
      <c r="Y216" s="242"/>
      <c r="Z216" s="242"/>
      <c r="AA216" s="242"/>
      <c r="AB216" s="242"/>
      <c r="AC216" s="242"/>
      <c r="AD216" s="242"/>
      <c r="AE216" s="242"/>
      <c r="AF216" s="242"/>
      <c r="AG216" s="242"/>
      <c r="AH216" s="242"/>
      <c r="AI216" s="242"/>
      <c r="AJ216" s="242"/>
      <c r="AK216" s="242"/>
      <c r="AL216" s="242"/>
      <c r="AM216" s="242"/>
      <c r="AN216" s="242"/>
      <c r="AO216" s="242"/>
      <c r="AP216" s="242"/>
      <c r="AQ216" s="242"/>
    </row>
    <row r="217" spans="1:43" x14ac:dyDescent="0.15">
      <c r="A217" s="242"/>
      <c r="B217" s="242"/>
      <c r="C217" s="242"/>
      <c r="D217" s="242"/>
      <c r="E217" s="242"/>
      <c r="F217" s="242"/>
      <c r="G217" s="242"/>
      <c r="H217" s="242"/>
      <c r="I217" s="242"/>
      <c r="J217" s="242"/>
      <c r="K217" s="242"/>
      <c r="L217" s="242"/>
      <c r="M217" s="242"/>
      <c r="N217" s="242"/>
      <c r="O217" s="242"/>
      <c r="P217" s="242"/>
      <c r="Q217" s="242"/>
      <c r="R217" s="242"/>
      <c r="S217" s="242"/>
      <c r="T217" s="242"/>
      <c r="U217" s="242"/>
      <c r="V217" s="242"/>
      <c r="W217" s="242"/>
      <c r="X217" s="242"/>
      <c r="Y217" s="242"/>
      <c r="Z217" s="242"/>
      <c r="AA217" s="242"/>
      <c r="AB217" s="242"/>
      <c r="AC217" s="242"/>
      <c r="AD217" s="242"/>
      <c r="AE217" s="242"/>
      <c r="AF217" s="242"/>
      <c r="AG217" s="242"/>
      <c r="AH217" s="242"/>
      <c r="AI217" s="242"/>
      <c r="AJ217" s="242"/>
      <c r="AK217" s="242"/>
      <c r="AL217" s="242"/>
      <c r="AM217" s="242"/>
      <c r="AN217" s="242"/>
      <c r="AO217" s="242"/>
      <c r="AP217" s="242"/>
      <c r="AQ217" s="242"/>
    </row>
    <row r="218" spans="1:43" x14ac:dyDescent="0.15">
      <c r="A218" s="242"/>
      <c r="B218" s="242"/>
      <c r="C218" s="242"/>
      <c r="D218" s="242"/>
      <c r="E218" s="242"/>
      <c r="F218" s="242"/>
      <c r="G218" s="242"/>
      <c r="H218" s="242"/>
      <c r="I218" s="242"/>
      <c r="J218" s="242"/>
      <c r="K218" s="242"/>
      <c r="L218" s="242"/>
      <c r="M218" s="242"/>
      <c r="N218" s="242"/>
      <c r="O218" s="242"/>
      <c r="P218" s="242"/>
      <c r="Q218" s="242"/>
      <c r="R218" s="242"/>
      <c r="S218" s="242"/>
      <c r="T218" s="242"/>
      <c r="U218" s="242"/>
      <c r="V218" s="242"/>
      <c r="W218" s="242"/>
      <c r="X218" s="242"/>
      <c r="Y218" s="242"/>
      <c r="Z218" s="242"/>
      <c r="AA218" s="242"/>
      <c r="AB218" s="242"/>
      <c r="AC218" s="242"/>
      <c r="AD218" s="242"/>
      <c r="AE218" s="242"/>
      <c r="AF218" s="242"/>
      <c r="AG218" s="242"/>
      <c r="AH218" s="242"/>
      <c r="AI218" s="242"/>
      <c r="AJ218" s="242"/>
      <c r="AK218" s="242"/>
      <c r="AL218" s="242"/>
      <c r="AM218" s="242"/>
      <c r="AN218" s="242"/>
      <c r="AO218" s="242"/>
      <c r="AP218" s="242"/>
      <c r="AQ218" s="242"/>
    </row>
    <row r="219" spans="1:43" x14ac:dyDescent="0.15">
      <c r="A219" s="242"/>
      <c r="B219" s="242"/>
      <c r="C219" s="242"/>
      <c r="D219" s="242"/>
      <c r="E219" s="242"/>
      <c r="F219" s="242"/>
      <c r="G219" s="242"/>
      <c r="H219" s="242"/>
      <c r="I219" s="242"/>
      <c r="J219" s="242"/>
      <c r="K219" s="242"/>
      <c r="L219" s="242"/>
      <c r="M219" s="242"/>
      <c r="N219" s="242"/>
      <c r="O219" s="242"/>
      <c r="P219" s="242"/>
      <c r="Q219" s="242"/>
      <c r="R219" s="242"/>
      <c r="S219" s="242"/>
      <c r="T219" s="242"/>
      <c r="U219" s="242"/>
      <c r="V219" s="242"/>
      <c r="W219" s="242"/>
      <c r="X219" s="242"/>
      <c r="Y219" s="242"/>
      <c r="Z219" s="242"/>
      <c r="AA219" s="242"/>
      <c r="AB219" s="242"/>
      <c r="AC219" s="242"/>
      <c r="AD219" s="242"/>
      <c r="AE219" s="242"/>
      <c r="AF219" s="242"/>
      <c r="AG219" s="242"/>
      <c r="AH219" s="242"/>
      <c r="AI219" s="242"/>
      <c r="AJ219" s="242"/>
      <c r="AK219" s="242"/>
      <c r="AL219" s="242"/>
      <c r="AM219" s="242"/>
      <c r="AN219" s="242"/>
      <c r="AO219" s="242"/>
      <c r="AP219" s="242"/>
      <c r="AQ219" s="242"/>
    </row>
    <row r="220" spans="1:43" x14ac:dyDescent="0.15">
      <c r="A220" s="242"/>
      <c r="B220" s="242"/>
      <c r="C220" s="242"/>
      <c r="D220" s="242"/>
      <c r="E220" s="242"/>
      <c r="F220" s="242"/>
      <c r="G220" s="242"/>
      <c r="H220" s="242"/>
      <c r="I220" s="242"/>
      <c r="J220" s="242"/>
      <c r="K220" s="242"/>
      <c r="L220" s="242"/>
      <c r="M220" s="242"/>
      <c r="N220" s="242"/>
      <c r="O220" s="242"/>
      <c r="P220" s="242"/>
      <c r="Q220" s="242"/>
      <c r="R220" s="242"/>
      <c r="S220" s="242"/>
      <c r="T220" s="242"/>
      <c r="U220" s="242"/>
      <c r="V220" s="242"/>
      <c r="W220" s="242"/>
      <c r="X220" s="242"/>
      <c r="Y220" s="242"/>
      <c r="Z220" s="242"/>
      <c r="AA220" s="242"/>
      <c r="AB220" s="242"/>
      <c r="AC220" s="242"/>
      <c r="AD220" s="242"/>
      <c r="AE220" s="242"/>
      <c r="AF220" s="242"/>
      <c r="AG220" s="242"/>
      <c r="AH220" s="242"/>
      <c r="AI220" s="242"/>
      <c r="AJ220" s="242"/>
      <c r="AK220" s="242"/>
      <c r="AL220" s="242"/>
      <c r="AM220" s="242"/>
      <c r="AN220" s="242"/>
      <c r="AO220" s="242"/>
      <c r="AP220" s="242"/>
      <c r="AQ220" s="242"/>
    </row>
    <row r="221" spans="1:43" x14ac:dyDescent="0.15">
      <c r="A221" s="242"/>
      <c r="B221" s="242"/>
      <c r="C221" s="242"/>
      <c r="D221" s="242"/>
      <c r="E221" s="242"/>
      <c r="F221" s="242"/>
      <c r="G221" s="242"/>
      <c r="H221" s="242"/>
      <c r="I221" s="242"/>
      <c r="J221" s="242"/>
      <c r="K221" s="242"/>
      <c r="L221" s="242"/>
      <c r="M221" s="242"/>
      <c r="N221" s="242"/>
      <c r="O221" s="242"/>
      <c r="P221" s="242"/>
      <c r="Q221" s="242"/>
      <c r="R221" s="242"/>
      <c r="S221" s="242"/>
      <c r="T221" s="242"/>
      <c r="U221" s="242"/>
      <c r="V221" s="242"/>
      <c r="W221" s="242"/>
      <c r="X221" s="242"/>
      <c r="Y221" s="242"/>
      <c r="Z221" s="242"/>
      <c r="AA221" s="242"/>
      <c r="AB221" s="242"/>
      <c r="AC221" s="242"/>
      <c r="AD221" s="242"/>
      <c r="AE221" s="242"/>
      <c r="AF221" s="242"/>
      <c r="AG221" s="242"/>
      <c r="AH221" s="242"/>
      <c r="AI221" s="242"/>
      <c r="AJ221" s="242"/>
      <c r="AK221" s="242"/>
      <c r="AL221" s="242"/>
      <c r="AM221" s="242"/>
      <c r="AN221" s="242"/>
      <c r="AO221" s="242"/>
      <c r="AP221" s="242"/>
      <c r="AQ221" s="242"/>
    </row>
    <row r="222" spans="1:43" x14ac:dyDescent="0.15">
      <c r="A222" s="242"/>
      <c r="B222" s="242"/>
      <c r="C222" s="242"/>
      <c r="D222" s="242"/>
      <c r="E222" s="242"/>
      <c r="F222" s="242"/>
      <c r="G222" s="242"/>
      <c r="H222" s="242"/>
      <c r="I222" s="242"/>
      <c r="J222" s="242"/>
      <c r="K222" s="242"/>
      <c r="L222" s="242"/>
      <c r="M222" s="242"/>
      <c r="N222" s="242"/>
      <c r="O222" s="242"/>
      <c r="P222" s="242"/>
      <c r="Q222" s="242"/>
      <c r="R222" s="242"/>
      <c r="S222" s="242"/>
      <c r="T222" s="242"/>
      <c r="U222" s="242"/>
      <c r="V222" s="242"/>
      <c r="W222" s="242"/>
      <c r="X222" s="242"/>
      <c r="Y222" s="242"/>
      <c r="Z222" s="242"/>
      <c r="AA222" s="242"/>
      <c r="AB222" s="242"/>
      <c r="AC222" s="242"/>
      <c r="AD222" s="242"/>
      <c r="AE222" s="242"/>
      <c r="AF222" s="242"/>
      <c r="AG222" s="242"/>
      <c r="AH222" s="242"/>
      <c r="AI222" s="242"/>
      <c r="AJ222" s="242"/>
      <c r="AK222" s="242"/>
      <c r="AL222" s="242"/>
      <c r="AM222" s="242"/>
      <c r="AN222" s="242"/>
      <c r="AO222" s="242"/>
      <c r="AP222" s="242"/>
      <c r="AQ222" s="242"/>
    </row>
    <row r="223" spans="1:43" x14ac:dyDescent="0.15">
      <c r="A223" s="242"/>
      <c r="B223" s="242"/>
      <c r="C223" s="242"/>
      <c r="D223" s="242"/>
      <c r="E223" s="242"/>
      <c r="F223" s="242"/>
      <c r="G223" s="242"/>
      <c r="H223" s="242"/>
      <c r="I223" s="242"/>
      <c r="J223" s="242"/>
      <c r="K223" s="242"/>
      <c r="L223" s="242"/>
      <c r="M223" s="242"/>
      <c r="N223" s="242"/>
      <c r="O223" s="242"/>
      <c r="P223" s="242"/>
      <c r="Q223" s="242"/>
      <c r="R223" s="242"/>
      <c r="S223" s="242"/>
      <c r="T223" s="242"/>
      <c r="U223" s="242"/>
      <c r="V223" s="242"/>
      <c r="W223" s="242"/>
      <c r="X223" s="242"/>
      <c r="Y223" s="242"/>
      <c r="Z223" s="242"/>
      <c r="AA223" s="242"/>
      <c r="AB223" s="242"/>
      <c r="AC223" s="242"/>
      <c r="AD223" s="242"/>
      <c r="AE223" s="242"/>
      <c r="AF223" s="242"/>
      <c r="AG223" s="242"/>
      <c r="AH223" s="242"/>
      <c r="AI223" s="242"/>
      <c r="AJ223" s="242"/>
      <c r="AK223" s="242"/>
      <c r="AL223" s="242"/>
      <c r="AM223" s="242"/>
      <c r="AN223" s="242"/>
      <c r="AO223" s="242"/>
      <c r="AP223" s="242"/>
      <c r="AQ223" s="242"/>
    </row>
    <row r="224" spans="1:43" x14ac:dyDescent="0.15">
      <c r="A224" s="242"/>
      <c r="B224" s="242"/>
      <c r="C224" s="242"/>
      <c r="D224" s="242"/>
      <c r="E224" s="242"/>
      <c r="F224" s="242"/>
      <c r="G224" s="242"/>
      <c r="H224" s="242"/>
      <c r="I224" s="242"/>
      <c r="J224" s="242"/>
      <c r="K224" s="242"/>
      <c r="L224" s="242"/>
      <c r="M224" s="242"/>
      <c r="N224" s="242"/>
      <c r="O224" s="242"/>
      <c r="P224" s="242"/>
      <c r="Q224" s="242"/>
      <c r="R224" s="242"/>
      <c r="S224" s="242"/>
      <c r="T224" s="242"/>
      <c r="U224" s="242"/>
      <c r="V224" s="242"/>
      <c r="W224" s="242"/>
      <c r="X224" s="242"/>
      <c r="Y224" s="242"/>
      <c r="Z224" s="242"/>
      <c r="AA224" s="242"/>
      <c r="AB224" s="242"/>
      <c r="AC224" s="242"/>
      <c r="AD224" s="242"/>
      <c r="AE224" s="242"/>
      <c r="AF224" s="242"/>
      <c r="AG224" s="242"/>
      <c r="AH224" s="242"/>
      <c r="AI224" s="242"/>
      <c r="AJ224" s="242"/>
      <c r="AK224" s="242"/>
      <c r="AL224" s="242"/>
      <c r="AM224" s="242"/>
      <c r="AN224" s="242"/>
      <c r="AO224" s="242"/>
      <c r="AP224" s="242"/>
      <c r="AQ224" s="242"/>
    </row>
    <row r="225" spans="1:43" x14ac:dyDescent="0.15">
      <c r="A225" s="242"/>
      <c r="B225" s="242"/>
      <c r="C225" s="242"/>
      <c r="D225" s="242"/>
      <c r="E225" s="242"/>
      <c r="F225" s="242"/>
      <c r="G225" s="242"/>
      <c r="H225" s="242"/>
      <c r="I225" s="242"/>
      <c r="J225" s="242"/>
      <c r="K225" s="242"/>
      <c r="L225" s="242"/>
      <c r="M225" s="242"/>
      <c r="N225" s="242"/>
      <c r="O225" s="242"/>
      <c r="P225" s="242"/>
      <c r="Q225" s="242"/>
      <c r="R225" s="242"/>
      <c r="S225" s="242"/>
      <c r="T225" s="242"/>
      <c r="U225" s="242"/>
      <c r="V225" s="242"/>
      <c r="W225" s="242"/>
      <c r="X225" s="242"/>
      <c r="Y225" s="242"/>
      <c r="Z225" s="242"/>
      <c r="AA225" s="242"/>
      <c r="AB225" s="242"/>
      <c r="AC225" s="242"/>
      <c r="AD225" s="242"/>
      <c r="AE225" s="242"/>
      <c r="AF225" s="242"/>
      <c r="AG225" s="242"/>
      <c r="AH225" s="242"/>
      <c r="AI225" s="242"/>
      <c r="AJ225" s="242"/>
      <c r="AK225" s="242"/>
      <c r="AL225" s="242"/>
      <c r="AM225" s="242"/>
      <c r="AN225" s="242"/>
      <c r="AO225" s="242"/>
      <c r="AP225" s="242"/>
      <c r="AQ225" s="242"/>
    </row>
    <row r="226" spans="1:43" x14ac:dyDescent="0.15">
      <c r="A226" s="242"/>
      <c r="B226" s="242"/>
      <c r="C226" s="242"/>
      <c r="D226" s="242"/>
      <c r="E226" s="242"/>
      <c r="F226" s="242"/>
      <c r="G226" s="242"/>
      <c r="H226" s="242"/>
      <c r="I226" s="242"/>
      <c r="J226" s="242"/>
      <c r="K226" s="242"/>
      <c r="L226" s="242"/>
      <c r="M226" s="242"/>
      <c r="N226" s="242"/>
      <c r="O226" s="242"/>
      <c r="P226" s="242"/>
      <c r="Q226" s="242"/>
      <c r="R226" s="242"/>
      <c r="S226" s="242"/>
      <c r="T226" s="242"/>
      <c r="U226" s="242"/>
      <c r="V226" s="242"/>
      <c r="W226" s="242"/>
      <c r="X226" s="242"/>
      <c r="Y226" s="242"/>
      <c r="Z226" s="242"/>
      <c r="AA226" s="242"/>
      <c r="AB226" s="242"/>
      <c r="AC226" s="242"/>
      <c r="AD226" s="242"/>
      <c r="AE226" s="242"/>
      <c r="AF226" s="242"/>
      <c r="AG226" s="242"/>
      <c r="AH226" s="242"/>
      <c r="AI226" s="242"/>
      <c r="AJ226" s="242"/>
      <c r="AK226" s="242"/>
      <c r="AL226" s="242"/>
      <c r="AM226" s="242"/>
      <c r="AN226" s="242"/>
      <c r="AO226" s="242"/>
      <c r="AP226" s="242"/>
      <c r="AQ226" s="242"/>
    </row>
    <row r="227" spans="1:43" x14ac:dyDescent="0.15">
      <c r="A227" s="242"/>
      <c r="B227" s="242"/>
      <c r="C227" s="242"/>
      <c r="D227" s="242"/>
      <c r="E227" s="242"/>
      <c r="F227" s="242"/>
      <c r="G227" s="242"/>
      <c r="H227" s="242"/>
      <c r="I227" s="242"/>
      <c r="J227" s="242"/>
      <c r="K227" s="242"/>
      <c r="L227" s="242"/>
      <c r="M227" s="242"/>
      <c r="N227" s="242"/>
      <c r="O227" s="242"/>
      <c r="P227" s="242"/>
      <c r="Q227" s="242"/>
      <c r="R227" s="242"/>
      <c r="S227" s="242"/>
      <c r="T227" s="242"/>
      <c r="U227" s="242"/>
      <c r="V227" s="242"/>
      <c r="W227" s="242"/>
      <c r="X227" s="242"/>
      <c r="Y227" s="242"/>
      <c r="Z227" s="242"/>
      <c r="AA227" s="242"/>
      <c r="AB227" s="242"/>
      <c r="AC227" s="242"/>
      <c r="AD227" s="242"/>
      <c r="AE227" s="242"/>
      <c r="AF227" s="242"/>
      <c r="AG227" s="242"/>
      <c r="AH227" s="242"/>
      <c r="AI227" s="242"/>
      <c r="AJ227" s="242"/>
      <c r="AK227" s="242"/>
      <c r="AL227" s="242"/>
      <c r="AM227" s="242"/>
      <c r="AN227" s="242"/>
      <c r="AO227" s="242"/>
      <c r="AP227" s="242"/>
      <c r="AQ227" s="242"/>
    </row>
    <row r="228" spans="1:43" x14ac:dyDescent="0.15">
      <c r="A228" s="242"/>
      <c r="B228" s="242"/>
      <c r="C228" s="242"/>
      <c r="D228" s="242"/>
      <c r="E228" s="242"/>
      <c r="F228" s="242"/>
      <c r="G228" s="242"/>
      <c r="H228" s="242"/>
      <c r="I228" s="242"/>
      <c r="J228" s="242"/>
      <c r="K228" s="242"/>
      <c r="L228" s="242"/>
      <c r="M228" s="242"/>
      <c r="N228" s="242"/>
      <c r="O228" s="242"/>
      <c r="P228" s="242"/>
      <c r="Q228" s="242"/>
      <c r="R228" s="242"/>
      <c r="S228" s="242"/>
      <c r="T228" s="242"/>
      <c r="U228" s="242"/>
      <c r="V228" s="242"/>
      <c r="W228" s="242"/>
      <c r="X228" s="242"/>
      <c r="Y228" s="242"/>
      <c r="Z228" s="242"/>
      <c r="AA228" s="242"/>
      <c r="AB228" s="242"/>
      <c r="AC228" s="242"/>
      <c r="AD228" s="242"/>
      <c r="AE228" s="242"/>
      <c r="AF228" s="242"/>
      <c r="AG228" s="242"/>
      <c r="AH228" s="242"/>
      <c r="AI228" s="242"/>
      <c r="AJ228" s="242"/>
      <c r="AK228" s="242"/>
      <c r="AL228" s="242"/>
      <c r="AM228" s="242"/>
      <c r="AN228" s="242"/>
      <c r="AO228" s="242"/>
      <c r="AP228" s="242"/>
      <c r="AQ228" s="242"/>
    </row>
    <row r="229" spans="1:43" x14ac:dyDescent="0.15">
      <c r="A229" s="242"/>
      <c r="B229" s="242"/>
      <c r="C229" s="242"/>
      <c r="D229" s="242"/>
      <c r="E229" s="242"/>
      <c r="F229" s="242"/>
      <c r="G229" s="242"/>
      <c r="H229" s="242"/>
      <c r="I229" s="242"/>
      <c r="J229" s="242"/>
      <c r="K229" s="242"/>
      <c r="L229" s="242"/>
      <c r="M229" s="242"/>
      <c r="N229" s="242"/>
      <c r="O229" s="242"/>
      <c r="P229" s="242"/>
      <c r="Q229" s="242"/>
      <c r="R229" s="242"/>
      <c r="S229" s="242"/>
      <c r="T229" s="242"/>
      <c r="U229" s="242"/>
      <c r="V229" s="242"/>
      <c r="W229" s="242"/>
      <c r="X229" s="242"/>
      <c r="Y229" s="242"/>
      <c r="Z229" s="242"/>
      <c r="AA229" s="242"/>
      <c r="AB229" s="242"/>
      <c r="AC229" s="242"/>
      <c r="AD229" s="242"/>
      <c r="AE229" s="242"/>
      <c r="AF229" s="242"/>
      <c r="AG229" s="242"/>
      <c r="AH229" s="242"/>
      <c r="AI229" s="242"/>
      <c r="AJ229" s="242"/>
      <c r="AK229" s="242"/>
      <c r="AL229" s="242"/>
      <c r="AM229" s="242"/>
      <c r="AN229" s="242"/>
      <c r="AO229" s="242"/>
      <c r="AP229" s="242"/>
      <c r="AQ229" s="242"/>
    </row>
    <row r="230" spans="1:43" x14ac:dyDescent="0.15">
      <c r="A230" s="242"/>
      <c r="B230" s="242"/>
      <c r="C230" s="242"/>
      <c r="D230" s="242"/>
      <c r="E230" s="242"/>
      <c r="F230" s="242"/>
      <c r="G230" s="242"/>
      <c r="H230" s="242"/>
      <c r="I230" s="242"/>
      <c r="J230" s="242"/>
      <c r="K230" s="242"/>
      <c r="L230" s="242"/>
      <c r="M230" s="242"/>
      <c r="N230" s="242"/>
      <c r="O230" s="242"/>
      <c r="P230" s="242"/>
      <c r="Q230" s="242"/>
      <c r="R230" s="242"/>
      <c r="S230" s="242"/>
      <c r="T230" s="242"/>
      <c r="U230" s="242"/>
      <c r="V230" s="242"/>
      <c r="W230" s="242"/>
      <c r="X230" s="242"/>
      <c r="Y230" s="242"/>
      <c r="Z230" s="242"/>
      <c r="AA230" s="242"/>
      <c r="AB230" s="242"/>
      <c r="AC230" s="242"/>
      <c r="AD230" s="242"/>
      <c r="AE230" s="242"/>
      <c r="AF230" s="242"/>
      <c r="AG230" s="242"/>
      <c r="AH230" s="242"/>
      <c r="AI230" s="242"/>
      <c r="AJ230" s="242"/>
      <c r="AK230" s="242"/>
      <c r="AL230" s="242"/>
      <c r="AM230" s="242"/>
      <c r="AN230" s="242"/>
      <c r="AO230" s="242"/>
      <c r="AP230" s="242"/>
      <c r="AQ230" s="242"/>
    </row>
    <row r="231" spans="1:43" x14ac:dyDescent="0.15">
      <c r="A231" s="242"/>
      <c r="B231" s="242"/>
      <c r="C231" s="242"/>
      <c r="D231" s="242"/>
      <c r="E231" s="242"/>
      <c r="F231" s="242"/>
      <c r="G231" s="242"/>
      <c r="H231" s="242"/>
      <c r="I231" s="242"/>
      <c r="J231" s="242"/>
      <c r="K231" s="242"/>
      <c r="L231" s="242"/>
      <c r="M231" s="242"/>
      <c r="N231" s="242"/>
      <c r="O231" s="242"/>
      <c r="P231" s="242"/>
      <c r="Q231" s="242"/>
      <c r="R231" s="242"/>
      <c r="S231" s="242"/>
      <c r="T231" s="242"/>
      <c r="U231" s="242"/>
      <c r="V231" s="242"/>
      <c r="W231" s="242"/>
      <c r="X231" s="242"/>
      <c r="Y231" s="242"/>
      <c r="Z231" s="242"/>
      <c r="AA231" s="242"/>
      <c r="AB231" s="242"/>
      <c r="AC231" s="242"/>
      <c r="AD231" s="242"/>
      <c r="AE231" s="242"/>
      <c r="AF231" s="242"/>
      <c r="AG231" s="242"/>
      <c r="AH231" s="242"/>
      <c r="AI231" s="242"/>
      <c r="AJ231" s="242"/>
      <c r="AK231" s="242"/>
      <c r="AL231" s="242"/>
      <c r="AM231" s="242"/>
      <c r="AN231" s="242"/>
      <c r="AO231" s="242"/>
      <c r="AP231" s="242"/>
      <c r="AQ231" s="242"/>
    </row>
    <row r="232" spans="1:43" x14ac:dyDescent="0.15">
      <c r="A232" s="242"/>
      <c r="B232" s="242"/>
      <c r="C232" s="242"/>
      <c r="D232" s="242"/>
      <c r="E232" s="242"/>
      <c r="F232" s="242"/>
      <c r="G232" s="242"/>
      <c r="H232" s="242"/>
      <c r="I232" s="242"/>
      <c r="J232" s="242"/>
      <c r="K232" s="242"/>
      <c r="L232" s="242"/>
      <c r="M232" s="242"/>
      <c r="N232" s="242"/>
      <c r="O232" s="242"/>
      <c r="P232" s="242"/>
      <c r="Q232" s="242"/>
      <c r="R232" s="242"/>
      <c r="S232" s="242"/>
      <c r="T232" s="242"/>
      <c r="U232" s="242"/>
      <c r="V232" s="242"/>
      <c r="W232" s="242"/>
      <c r="X232" s="242"/>
      <c r="Y232" s="242"/>
      <c r="Z232" s="242"/>
      <c r="AA232" s="242"/>
      <c r="AB232" s="242"/>
      <c r="AC232" s="242"/>
      <c r="AD232" s="242"/>
      <c r="AE232" s="242"/>
      <c r="AF232" s="242"/>
      <c r="AG232" s="242"/>
      <c r="AH232" s="242"/>
      <c r="AI232" s="242"/>
      <c r="AJ232" s="242"/>
      <c r="AK232" s="242"/>
      <c r="AL232" s="242"/>
      <c r="AM232" s="242"/>
      <c r="AN232" s="242"/>
      <c r="AO232" s="242"/>
      <c r="AP232" s="242"/>
      <c r="AQ232" s="242"/>
    </row>
    <row r="233" spans="1:43" x14ac:dyDescent="0.15">
      <c r="A233" s="242"/>
      <c r="B233" s="242"/>
      <c r="C233" s="242"/>
      <c r="D233" s="242"/>
      <c r="E233" s="242"/>
      <c r="F233" s="242"/>
      <c r="G233" s="242"/>
      <c r="H233" s="242"/>
      <c r="I233" s="242"/>
      <c r="J233" s="242"/>
      <c r="K233" s="242"/>
      <c r="L233" s="242"/>
      <c r="M233" s="242"/>
      <c r="N233" s="242"/>
      <c r="O233" s="242"/>
      <c r="P233" s="242"/>
      <c r="Q233" s="242"/>
      <c r="R233" s="242"/>
      <c r="S233" s="242"/>
      <c r="T233" s="242"/>
      <c r="U233" s="242"/>
      <c r="V233" s="242"/>
      <c r="W233" s="242"/>
      <c r="X233" s="242"/>
      <c r="Y233" s="242"/>
      <c r="Z233" s="242"/>
      <c r="AA233" s="242"/>
      <c r="AB233" s="242"/>
      <c r="AC233" s="242"/>
      <c r="AD233" s="242"/>
      <c r="AE233" s="242"/>
      <c r="AF233" s="242"/>
      <c r="AG233" s="242"/>
      <c r="AH233" s="242"/>
      <c r="AI233" s="242"/>
      <c r="AJ233" s="242"/>
      <c r="AK233" s="242"/>
      <c r="AL233" s="242"/>
      <c r="AM233" s="242"/>
      <c r="AN233" s="242"/>
      <c r="AO233" s="242"/>
      <c r="AP233" s="242"/>
      <c r="AQ233" s="242"/>
    </row>
    <row r="234" spans="1:43" x14ac:dyDescent="0.15">
      <c r="A234" s="242"/>
      <c r="B234" s="242"/>
      <c r="C234" s="242"/>
      <c r="D234" s="242"/>
      <c r="E234" s="242"/>
      <c r="F234" s="242"/>
      <c r="G234" s="242"/>
      <c r="H234" s="242"/>
      <c r="I234" s="242"/>
      <c r="J234" s="242"/>
      <c r="K234" s="242"/>
      <c r="L234" s="242"/>
      <c r="M234" s="242"/>
      <c r="N234" s="242"/>
      <c r="O234" s="242"/>
      <c r="P234" s="242"/>
      <c r="Q234" s="242"/>
      <c r="R234" s="242"/>
      <c r="S234" s="242"/>
      <c r="T234" s="242"/>
      <c r="U234" s="242"/>
      <c r="V234" s="242"/>
      <c r="W234" s="242"/>
      <c r="X234" s="242"/>
      <c r="Y234" s="242"/>
      <c r="Z234" s="242"/>
      <c r="AA234" s="242"/>
      <c r="AB234" s="242"/>
      <c r="AC234" s="242"/>
      <c r="AD234" s="242"/>
      <c r="AE234" s="242"/>
      <c r="AF234" s="242"/>
      <c r="AG234" s="242"/>
      <c r="AH234" s="242"/>
      <c r="AI234" s="242"/>
      <c r="AJ234" s="242"/>
      <c r="AK234" s="242"/>
      <c r="AL234" s="242"/>
      <c r="AM234" s="242"/>
      <c r="AN234" s="242"/>
      <c r="AO234" s="242"/>
      <c r="AP234" s="242"/>
      <c r="AQ234" s="242"/>
    </row>
    <row r="235" spans="1:43" x14ac:dyDescent="0.15">
      <c r="A235" s="242"/>
      <c r="B235" s="242"/>
      <c r="C235" s="242"/>
      <c r="D235" s="242"/>
      <c r="E235" s="242"/>
      <c r="F235" s="242"/>
      <c r="G235" s="242"/>
      <c r="H235" s="242"/>
      <c r="I235" s="242"/>
      <c r="J235" s="242"/>
      <c r="K235" s="242"/>
      <c r="L235" s="242"/>
      <c r="M235" s="242"/>
      <c r="N235" s="242"/>
      <c r="O235" s="242"/>
      <c r="P235" s="242"/>
      <c r="Q235" s="242"/>
      <c r="R235" s="242"/>
      <c r="S235" s="242"/>
      <c r="T235" s="242"/>
      <c r="U235" s="242"/>
      <c r="V235" s="242"/>
      <c r="W235" s="242"/>
      <c r="X235" s="242"/>
      <c r="Y235" s="242"/>
      <c r="Z235" s="242"/>
      <c r="AA235" s="242"/>
      <c r="AB235" s="242"/>
      <c r="AC235" s="242"/>
      <c r="AD235" s="242"/>
      <c r="AE235" s="242"/>
      <c r="AF235" s="242"/>
      <c r="AG235" s="242"/>
      <c r="AH235" s="242"/>
      <c r="AI235" s="242"/>
      <c r="AJ235" s="242"/>
      <c r="AK235" s="242"/>
      <c r="AL235" s="242"/>
      <c r="AM235" s="242"/>
      <c r="AN235" s="242"/>
      <c r="AO235" s="242"/>
      <c r="AP235" s="242"/>
      <c r="AQ235" s="242"/>
    </row>
    <row r="236" spans="1:43" x14ac:dyDescent="0.15">
      <c r="A236" s="242"/>
      <c r="B236" s="242"/>
      <c r="C236" s="242"/>
      <c r="D236" s="242"/>
      <c r="E236" s="242"/>
      <c r="F236" s="242"/>
      <c r="G236" s="242"/>
      <c r="H236" s="242"/>
      <c r="I236" s="242"/>
      <c r="J236" s="242"/>
      <c r="K236" s="242"/>
      <c r="L236" s="242"/>
      <c r="M236" s="242"/>
      <c r="N236" s="242"/>
      <c r="O236" s="242"/>
      <c r="P236" s="242"/>
      <c r="Q236" s="242"/>
      <c r="R236" s="242"/>
      <c r="S236" s="242"/>
      <c r="T236" s="242"/>
      <c r="U236" s="242"/>
      <c r="V236" s="242"/>
      <c r="W236" s="242"/>
      <c r="X236" s="242"/>
      <c r="Y236" s="242"/>
      <c r="Z236" s="242"/>
      <c r="AA236" s="242"/>
      <c r="AB236" s="242"/>
      <c r="AC236" s="242"/>
      <c r="AD236" s="242"/>
      <c r="AE236" s="242"/>
      <c r="AF236" s="242"/>
      <c r="AG236" s="242"/>
      <c r="AH236" s="242"/>
      <c r="AI236" s="242"/>
      <c r="AJ236" s="242"/>
      <c r="AK236" s="242"/>
      <c r="AL236" s="242"/>
      <c r="AM236" s="242"/>
      <c r="AN236" s="242"/>
      <c r="AO236" s="242"/>
      <c r="AP236" s="242"/>
      <c r="AQ236" s="242"/>
    </row>
    <row r="237" spans="1:43" x14ac:dyDescent="0.15">
      <c r="A237" s="242"/>
      <c r="B237" s="242"/>
      <c r="C237" s="242"/>
      <c r="D237" s="242"/>
      <c r="E237" s="242"/>
      <c r="F237" s="242"/>
      <c r="G237" s="242"/>
      <c r="H237" s="242"/>
      <c r="I237" s="242"/>
      <c r="J237" s="242"/>
      <c r="K237" s="242"/>
      <c r="L237" s="242"/>
      <c r="M237" s="242"/>
      <c r="N237" s="242"/>
      <c r="O237" s="242"/>
      <c r="P237" s="242"/>
      <c r="Q237" s="242"/>
      <c r="R237" s="242"/>
      <c r="S237" s="242"/>
      <c r="T237" s="242"/>
      <c r="U237" s="242"/>
      <c r="V237" s="242"/>
      <c r="W237" s="242"/>
      <c r="X237" s="242"/>
      <c r="Y237" s="242"/>
      <c r="Z237" s="242"/>
      <c r="AA237" s="242"/>
      <c r="AB237" s="242"/>
      <c r="AC237" s="242"/>
      <c r="AD237" s="242"/>
      <c r="AE237" s="242"/>
      <c r="AF237" s="242"/>
      <c r="AG237" s="242"/>
      <c r="AH237" s="242"/>
      <c r="AI237" s="242"/>
      <c r="AJ237" s="242"/>
      <c r="AK237" s="242"/>
      <c r="AL237" s="242"/>
      <c r="AM237" s="242"/>
      <c r="AN237" s="242"/>
      <c r="AO237" s="242"/>
      <c r="AP237" s="242"/>
      <c r="AQ237" s="242"/>
    </row>
    <row r="238" spans="1:43" x14ac:dyDescent="0.15">
      <c r="F238" s="242"/>
      <c r="G238" s="242"/>
      <c r="H238" s="242"/>
      <c r="I238" s="242"/>
      <c r="J238" s="242"/>
      <c r="K238" s="242"/>
      <c r="L238" s="242"/>
      <c r="M238" s="242"/>
      <c r="N238" s="242"/>
      <c r="O238" s="242"/>
      <c r="P238" s="242"/>
      <c r="Q238" s="242"/>
      <c r="R238" s="242"/>
      <c r="S238" s="242"/>
      <c r="T238" s="242"/>
      <c r="U238" s="242"/>
      <c r="V238" s="242"/>
      <c r="W238" s="242"/>
      <c r="X238" s="242"/>
      <c r="Y238" s="242"/>
      <c r="Z238" s="242"/>
      <c r="AA238" s="242"/>
      <c r="AB238" s="242"/>
      <c r="AC238" s="242"/>
      <c r="AD238" s="242"/>
      <c r="AE238" s="242"/>
      <c r="AF238" s="242"/>
      <c r="AG238" s="242"/>
      <c r="AH238" s="242"/>
      <c r="AI238" s="242"/>
      <c r="AJ238" s="242"/>
      <c r="AK238" s="242"/>
      <c r="AL238" s="242"/>
      <c r="AM238" s="242"/>
      <c r="AN238" s="242"/>
      <c r="AO238" s="242"/>
      <c r="AP238" s="242"/>
      <c r="AQ238" s="242"/>
    </row>
  </sheetData>
  <sheetProtection algorithmName="SHA-512" hashValue="1UqzWT/PIEHyK9JFjHeCpgrn5qGNE1gm5Hx1jfgR0Gup5Dq4tgIZJMrdMiiYWKhMeyc3Kf3YLusmv/cdS29w/g==" saltValue="h7LPZblQtHzn78UPmrUkPw==" spinCount="100000" sheet="1" objects="1" scenarios="1"/>
  <customSheetViews>
    <customSheetView guid="{55B80D82-F000-11D6-8735-C8E5A357943D}" showRuler="0">
      <selection activeCell="C19" sqref="C19"/>
      <pageMargins left="0.75" right="0.75" top="1" bottom="1" header="0.5" footer="0.5"/>
      <headerFooter alignWithMargins="0"/>
    </customSheetView>
  </customSheetViews>
  <phoneticPr fontId="0" type="noConversion"/>
  <conditionalFormatting sqref="BB123">
    <cfRule type="expression" dxfId="5" priority="4">
      <formula>$B$24="Simple"</formula>
    </cfRule>
    <cfRule type="expression" dxfId="4" priority="6">
      <formula>$B$36="Simple"</formula>
    </cfRule>
  </conditionalFormatting>
  <conditionalFormatting sqref="BB123">
    <cfRule type="expression" dxfId="3" priority="5">
      <formula>$B$36="Simple"</formula>
    </cfRule>
  </conditionalFormatting>
  <conditionalFormatting sqref="A123">
    <cfRule type="expression" dxfId="2" priority="1">
      <formula>$B$24="Simple"</formula>
    </cfRule>
    <cfRule type="expression" dxfId="1" priority="3">
      <formula>$B$36="Simple"</formula>
    </cfRule>
  </conditionalFormatting>
  <conditionalFormatting sqref="A123">
    <cfRule type="expression" dxfId="0" priority="2">
      <formula>$B$36="Simple"</formula>
    </cfRule>
  </conditionalFormatting>
  <hyperlinks>
    <hyperlink ref="AB8" r:id="rId1" display="=@round(ProjectData!C62,0)" xr:uid="{00000000-0004-0000-0400-000000000000}"/>
    <hyperlink ref="AB9" r:id="rId2" display="=@round(ProjectData!C74+ProjectData!C84,0)" xr:uid="{00000000-0004-0000-0400-000001000000}"/>
  </hyperlinks>
  <pageMargins left="0.75" right="0.75" top="0.8" bottom="0.83" header="0.5" footer="0.5"/>
  <pageSetup orientation="portrait" horizontalDpi="360" verticalDpi="300" r:id="rId3"/>
  <headerFooter alignWithMargins="0">
    <oddFooter>&amp;L&amp;D</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5136" r:id="rId6" name="Button 16">
              <controlPr defaultSize="0" print="0" autoFill="0" autoPict="0" macro="[0]!Detailed_Project_Data">
                <anchor moveWithCells="1" sizeWithCells="1">
                  <from>
                    <xdr:col>5</xdr:col>
                    <xdr:colOff>101600</xdr:colOff>
                    <xdr:row>10</xdr:row>
                    <xdr:rowOff>25400</xdr:rowOff>
                  </from>
                  <to>
                    <xdr:col>5</xdr:col>
                    <xdr:colOff>1790700</xdr:colOff>
                    <xdr:row>14</xdr:row>
                    <xdr:rowOff>76200</xdr:rowOff>
                  </to>
                </anchor>
              </controlPr>
            </control>
          </mc:Choice>
        </mc:AlternateContent>
        <mc:AlternateContent xmlns:mc="http://schemas.openxmlformats.org/markup-compatibility/2006">
          <mc:Choice Requires="x14">
            <control shapeId="5139" r:id="rId7" name="Button 19">
              <controlPr defaultSize="0" print="0" autoFill="0" autoPict="0" macro="[0]!PrintSummaryResults">
                <anchor moveWithCells="1" sizeWithCells="1">
                  <from>
                    <xdr:col>5</xdr:col>
                    <xdr:colOff>101600</xdr:colOff>
                    <xdr:row>3</xdr:row>
                    <xdr:rowOff>38100</xdr:rowOff>
                  </from>
                  <to>
                    <xdr:col>5</xdr:col>
                    <xdr:colOff>1790700</xdr:colOff>
                    <xdr:row>8</xdr:row>
                    <xdr:rowOff>114300</xdr:rowOff>
                  </to>
                </anchor>
              </controlPr>
            </control>
          </mc:Choice>
        </mc:AlternateContent>
        <mc:AlternateContent xmlns:mc="http://schemas.openxmlformats.org/markup-compatibility/2006">
          <mc:Choice Requires="x14">
            <control shapeId="5140" r:id="rId8" name="Button 20">
              <controlPr defaultSize="0" print="0" autoFill="0" autoPict="0" macro="[0]!WindProject">
                <anchor moveWithCells="1" sizeWithCells="1">
                  <from>
                    <xdr:col>5</xdr:col>
                    <xdr:colOff>139700</xdr:colOff>
                    <xdr:row>22</xdr:row>
                    <xdr:rowOff>101600</xdr:rowOff>
                  </from>
                  <to>
                    <xdr:col>5</xdr:col>
                    <xdr:colOff>1816100</xdr:colOff>
                    <xdr:row>29</xdr:row>
                    <xdr:rowOff>0</xdr:rowOff>
                  </to>
                </anchor>
              </controlPr>
            </control>
          </mc:Choice>
        </mc:AlternateContent>
        <mc:AlternateContent xmlns:mc="http://schemas.openxmlformats.org/markup-compatibility/2006">
          <mc:Choice Requires="x14">
            <control shapeId="5156" r:id="rId9" name="Button 36">
              <controlPr defaultSize="0" print="0" autoFill="0" autoPict="0" macro="[0]!ExportAlllProjectDAta">
                <anchor moveWithCells="1" sizeWithCells="1">
                  <from>
                    <xdr:col>5</xdr:col>
                    <xdr:colOff>139700</xdr:colOff>
                    <xdr:row>16</xdr:row>
                    <xdr:rowOff>38100</xdr:rowOff>
                  </from>
                  <to>
                    <xdr:col>5</xdr:col>
                    <xdr:colOff>1778000</xdr:colOff>
                    <xdr:row>20</xdr:row>
                    <xdr:rowOff>139700</xdr:rowOff>
                  </to>
                </anchor>
              </controlPr>
            </control>
          </mc:Choice>
        </mc:AlternateContent>
        <mc:AlternateContent xmlns:mc="http://schemas.openxmlformats.org/markup-compatibility/2006">
          <mc:Choice Requires="x14">
            <control shapeId="5182" r:id="rId10" name="Button 62">
              <controlPr defaultSize="0" print="0" autoFill="0" autoPict="0" macro="[0]!GoToStep1">
                <anchor moveWithCells="1" sizeWithCells="1">
                  <from>
                    <xdr:col>5</xdr:col>
                    <xdr:colOff>139700</xdr:colOff>
                    <xdr:row>30</xdr:row>
                    <xdr:rowOff>0</xdr:rowOff>
                  </from>
                  <to>
                    <xdr:col>5</xdr:col>
                    <xdr:colOff>1816100</xdr:colOff>
                    <xdr:row>36</xdr:row>
                    <xdr:rowOff>88900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S732"/>
  <sheetViews>
    <sheetView workbookViewId="0">
      <selection activeCell="I203" sqref="I203"/>
    </sheetView>
  </sheetViews>
  <sheetFormatPr baseColWidth="10" defaultColWidth="8.83203125" defaultRowHeight="13" x14ac:dyDescent="0.15"/>
  <cols>
    <col min="1" max="1" width="29.6640625" style="23" customWidth="1"/>
    <col min="2" max="2" width="19.33203125" style="23" customWidth="1"/>
    <col min="3" max="3" width="12.6640625" style="23" customWidth="1"/>
    <col min="4" max="14" width="8.83203125" style="23"/>
    <col min="15" max="15" width="25" style="23" customWidth="1"/>
    <col min="16" max="16384" width="8.83203125" style="23"/>
  </cols>
  <sheetData>
    <row r="1" spans="1:19" ht="16" x14ac:dyDescent="0.2">
      <c r="A1" s="662" t="s">
        <v>218</v>
      </c>
      <c r="B1" s="663"/>
      <c r="C1" s="663"/>
      <c r="D1" s="663"/>
      <c r="E1" s="662"/>
      <c r="F1" s="663"/>
      <c r="G1" s="663"/>
      <c r="H1" s="663"/>
      <c r="I1" s="663"/>
      <c r="J1" s="663"/>
      <c r="K1" s="663"/>
      <c r="L1" s="663"/>
      <c r="M1" s="663"/>
      <c r="N1" s="663"/>
      <c r="O1" s="663"/>
      <c r="P1" s="663"/>
      <c r="Q1" s="663"/>
      <c r="R1" s="663"/>
      <c r="S1" s="663"/>
    </row>
    <row r="2" spans="1:19" ht="16" x14ac:dyDescent="0.2">
      <c r="A2" s="662"/>
      <c r="B2" s="663"/>
      <c r="C2" s="663"/>
      <c r="D2" s="663"/>
      <c r="E2" s="662"/>
      <c r="F2" s="663"/>
      <c r="G2" s="663"/>
      <c r="H2" s="663"/>
      <c r="I2" s="663"/>
      <c r="J2" s="663"/>
      <c r="K2" s="663"/>
      <c r="L2" s="663"/>
      <c r="M2" s="663"/>
      <c r="N2" s="663"/>
      <c r="O2" s="663"/>
      <c r="P2" s="663"/>
      <c r="Q2" s="663"/>
      <c r="R2" s="663"/>
      <c r="S2" s="663"/>
    </row>
    <row r="3" spans="1:19" ht="16" x14ac:dyDescent="0.2">
      <c r="A3" s="664" t="s">
        <v>325</v>
      </c>
      <c r="B3" s="102"/>
      <c r="C3" s="665" t="s">
        <v>336</v>
      </c>
      <c r="D3" s="109"/>
      <c r="E3" s="666" t="str">
        <f>IF(B3="","",IF(D3="","Enter Year of Data",IF(D3&gt;2006,IF(D3&lt;2021,"","ERROR - Deflators Data Not Current"),"ERROR - Deflators Data Not Current")))</f>
        <v/>
      </c>
      <c r="F3" s="662"/>
      <c r="G3" s="662"/>
      <c r="H3" s="663"/>
      <c r="I3" s="663"/>
      <c r="J3" s="663"/>
      <c r="K3" s="663"/>
      <c r="L3" s="663"/>
      <c r="M3" s="663"/>
      <c r="N3" s="663"/>
      <c r="O3" s="663"/>
      <c r="P3" s="663"/>
      <c r="Q3" s="663"/>
      <c r="R3" s="663"/>
      <c r="S3" s="663"/>
    </row>
    <row r="4" spans="1:19" ht="16" x14ac:dyDescent="0.2">
      <c r="A4" s="664" t="s">
        <v>326</v>
      </c>
      <c r="B4" s="102"/>
      <c r="C4" s="665" t="s">
        <v>336</v>
      </c>
      <c r="D4" s="96"/>
      <c r="E4" s="666" t="str">
        <f>IF(B4="","",IF(D4="","Enter Year of Data",IF(D4&gt;2006,IF(D4&lt;2021,"","ERROR - Deflators Data Not Current"),"ERROR - Deflators Data Not Current")))</f>
        <v/>
      </c>
      <c r="F4" s="662"/>
      <c r="G4" s="662"/>
      <c r="H4" s="663"/>
      <c r="I4" s="663"/>
      <c r="J4" s="663"/>
      <c r="K4" s="663"/>
      <c r="L4" s="663"/>
      <c r="M4" s="663"/>
      <c r="N4" s="663"/>
      <c r="O4" s="663"/>
      <c r="P4" s="663"/>
      <c r="Q4" s="663"/>
      <c r="R4" s="663"/>
      <c r="S4" s="663"/>
    </row>
    <row r="5" spans="1:19" ht="16" x14ac:dyDescent="0.2">
      <c r="A5" s="667" t="s">
        <v>520</v>
      </c>
      <c r="B5" s="511"/>
      <c r="C5" s="156"/>
      <c r="D5" s="143"/>
      <c r="E5" s="666"/>
      <c r="F5" s="662"/>
      <c r="G5" s="662"/>
      <c r="H5" s="663"/>
      <c r="I5" s="663"/>
      <c r="J5" s="663"/>
      <c r="K5" s="663"/>
      <c r="L5" s="663"/>
      <c r="M5" s="663"/>
      <c r="N5" s="663"/>
      <c r="O5" s="663"/>
      <c r="P5" s="663"/>
      <c r="Q5" s="663"/>
      <c r="R5" s="663"/>
      <c r="S5" s="663"/>
    </row>
    <row r="6" spans="1:19" x14ac:dyDescent="0.15">
      <c r="A6" s="668"/>
      <c r="B6" s="668"/>
      <c r="C6" s="663"/>
      <c r="D6" s="663"/>
      <c r="E6" s="663"/>
      <c r="F6" s="663"/>
      <c r="G6" s="663"/>
      <c r="H6" s="663"/>
      <c r="I6" s="663"/>
      <c r="J6" s="663"/>
      <c r="K6" s="663"/>
      <c r="L6" s="663"/>
      <c r="M6" s="663"/>
      <c r="N6" s="663"/>
      <c r="O6" s="663"/>
      <c r="P6" s="663"/>
      <c r="Q6" s="663"/>
      <c r="R6" s="663"/>
      <c r="S6" s="663"/>
    </row>
    <row r="7" spans="1:19" x14ac:dyDescent="0.15">
      <c r="A7" s="664" t="s">
        <v>281</v>
      </c>
      <c r="B7" s="663"/>
      <c r="C7" s="663"/>
      <c r="D7" s="669" t="s">
        <v>370</v>
      </c>
      <c r="E7" s="663"/>
      <c r="F7" s="663"/>
      <c r="G7" s="663"/>
      <c r="H7" s="663"/>
      <c r="I7" s="663"/>
      <c r="J7" s="663"/>
      <c r="K7" s="663"/>
      <c r="L7" s="663"/>
      <c r="M7" s="663"/>
      <c r="N7" s="663"/>
      <c r="O7" s="663"/>
      <c r="P7" s="663"/>
      <c r="Q7" s="663"/>
      <c r="R7" s="663"/>
      <c r="S7" s="663"/>
    </row>
    <row r="8" spans="1:19" x14ac:dyDescent="0.15">
      <c r="A8" s="670" t="s">
        <v>286</v>
      </c>
      <c r="B8" s="156" t="s">
        <v>322</v>
      </c>
      <c r="C8" s="156" t="s">
        <v>321</v>
      </c>
      <c r="D8" s="143"/>
      <c r="E8" s="156" t="str">
        <f>B8</f>
        <v>MyCounty</v>
      </c>
      <c r="F8" s="156" t="str">
        <f>C8</f>
        <v>MyRegion</v>
      </c>
      <c r="G8" s="663"/>
      <c r="H8" s="663"/>
      <c r="I8" s="663"/>
      <c r="J8" s="663"/>
      <c r="K8" s="663"/>
      <c r="L8" s="663"/>
      <c r="M8" s="663"/>
      <c r="N8" s="663"/>
      <c r="O8" s="663"/>
      <c r="P8" s="663"/>
      <c r="Q8" s="663"/>
      <c r="R8" s="663"/>
      <c r="S8" s="663"/>
    </row>
    <row r="9" spans="1:19" ht="17" x14ac:dyDescent="0.15">
      <c r="A9" s="671" t="s">
        <v>76</v>
      </c>
      <c r="B9" s="86">
        <v>0</v>
      </c>
      <c r="C9" s="86">
        <v>0</v>
      </c>
      <c r="D9" s="663"/>
      <c r="E9" s="86">
        <v>0</v>
      </c>
      <c r="F9" s="86">
        <v>0</v>
      </c>
      <c r="G9" s="663"/>
      <c r="H9" s="663"/>
      <c r="I9" s="663"/>
      <c r="J9" s="663"/>
      <c r="K9" s="663"/>
      <c r="L9" s="663"/>
      <c r="M9" s="663"/>
      <c r="N9" s="663"/>
      <c r="O9" s="663"/>
      <c r="P9" s="663"/>
      <c r="Q9" s="663"/>
      <c r="R9" s="663"/>
      <c r="S9" s="663"/>
    </row>
    <row r="10" spans="1:19" ht="17" x14ac:dyDescent="0.15">
      <c r="A10" s="671" t="s">
        <v>148</v>
      </c>
      <c r="B10" s="86">
        <v>0</v>
      </c>
      <c r="C10" s="86">
        <v>0</v>
      </c>
      <c r="D10" s="663"/>
      <c r="E10" s="86">
        <v>0</v>
      </c>
      <c r="F10" s="86">
        <v>0</v>
      </c>
      <c r="G10" s="663"/>
      <c r="H10" s="663"/>
      <c r="I10" s="663"/>
      <c r="J10" s="663"/>
      <c r="K10" s="663"/>
      <c r="L10" s="663"/>
      <c r="M10" s="663"/>
      <c r="N10" s="663"/>
      <c r="O10" s="663"/>
      <c r="P10" s="663"/>
      <c r="Q10" s="663"/>
      <c r="R10" s="663"/>
      <c r="S10" s="663"/>
    </row>
    <row r="11" spans="1:19" ht="17" x14ac:dyDescent="0.15">
      <c r="A11" s="671" t="s">
        <v>77</v>
      </c>
      <c r="B11" s="86">
        <v>0</v>
      </c>
      <c r="C11" s="86">
        <v>0</v>
      </c>
      <c r="D11" s="663"/>
      <c r="E11" s="86">
        <v>0</v>
      </c>
      <c r="F11" s="86">
        <v>0</v>
      </c>
      <c r="G11" s="663"/>
      <c r="H11" s="663"/>
      <c r="I11" s="663"/>
      <c r="J11" s="663"/>
      <c r="K11" s="663"/>
      <c r="L11" s="663"/>
      <c r="M11" s="663"/>
      <c r="N11" s="663"/>
      <c r="O11" s="663"/>
      <c r="P11" s="663"/>
      <c r="Q11" s="663"/>
      <c r="R11" s="663"/>
      <c r="S11" s="663"/>
    </row>
    <row r="12" spans="1:19" ht="17" x14ac:dyDescent="0.15">
      <c r="A12" s="671" t="s">
        <v>149</v>
      </c>
      <c r="B12" s="86">
        <v>0</v>
      </c>
      <c r="C12" s="86">
        <v>0</v>
      </c>
      <c r="D12" s="663"/>
      <c r="E12" s="86">
        <v>0</v>
      </c>
      <c r="F12" s="86">
        <v>0</v>
      </c>
      <c r="G12" s="663"/>
      <c r="H12" s="663"/>
      <c r="I12" s="663"/>
      <c r="J12" s="663"/>
      <c r="K12" s="663"/>
      <c r="L12" s="663"/>
      <c r="M12" s="663"/>
      <c r="N12" s="663"/>
      <c r="O12" s="663"/>
      <c r="P12" s="663"/>
      <c r="Q12" s="663"/>
      <c r="R12" s="663"/>
      <c r="S12" s="663"/>
    </row>
    <row r="13" spans="1:19" ht="17" x14ac:dyDescent="0.15">
      <c r="A13" s="671" t="s">
        <v>150</v>
      </c>
      <c r="B13" s="86">
        <v>0</v>
      </c>
      <c r="C13" s="86">
        <v>0</v>
      </c>
      <c r="D13" s="663"/>
      <c r="E13" s="86">
        <v>0</v>
      </c>
      <c r="F13" s="86">
        <v>0</v>
      </c>
      <c r="G13" s="663"/>
      <c r="H13" s="663"/>
      <c r="I13" s="663"/>
      <c r="J13" s="663"/>
      <c r="K13" s="663"/>
      <c r="L13" s="663"/>
      <c r="M13" s="663"/>
      <c r="N13" s="663"/>
      <c r="O13" s="663"/>
      <c r="P13" s="663"/>
      <c r="Q13" s="663"/>
      <c r="R13" s="663"/>
      <c r="S13" s="663"/>
    </row>
    <row r="14" spans="1:19" ht="17" x14ac:dyDescent="0.15">
      <c r="A14" s="671" t="s">
        <v>151</v>
      </c>
      <c r="B14" s="86">
        <v>0</v>
      </c>
      <c r="C14" s="86">
        <v>0</v>
      </c>
      <c r="D14" s="663"/>
      <c r="E14" s="86">
        <v>0</v>
      </c>
      <c r="F14" s="86">
        <v>0</v>
      </c>
      <c r="G14" s="663"/>
      <c r="H14" s="663"/>
      <c r="I14" s="663"/>
      <c r="J14" s="663"/>
      <c r="K14" s="663"/>
      <c r="L14" s="663"/>
      <c r="M14" s="663"/>
      <c r="N14" s="663"/>
      <c r="O14" s="663"/>
      <c r="P14" s="663"/>
      <c r="Q14" s="663"/>
      <c r="R14" s="663"/>
      <c r="S14" s="663"/>
    </row>
    <row r="15" spans="1:19" ht="17" x14ac:dyDescent="0.15">
      <c r="A15" s="671" t="s">
        <v>152</v>
      </c>
      <c r="B15" s="86">
        <v>0</v>
      </c>
      <c r="C15" s="86">
        <v>0</v>
      </c>
      <c r="D15" s="663"/>
      <c r="E15" s="86">
        <v>0</v>
      </c>
      <c r="F15" s="86">
        <v>0</v>
      </c>
      <c r="G15" s="663"/>
      <c r="H15" s="663"/>
      <c r="I15" s="663"/>
      <c r="J15" s="663"/>
      <c r="K15" s="663"/>
      <c r="L15" s="663"/>
      <c r="M15" s="663"/>
      <c r="N15" s="663"/>
      <c r="O15" s="663"/>
      <c r="P15" s="663"/>
      <c r="Q15" s="663"/>
      <c r="R15" s="663"/>
      <c r="S15" s="663"/>
    </row>
    <row r="16" spans="1:19" ht="17" x14ac:dyDescent="0.15">
      <c r="A16" s="671" t="s">
        <v>153</v>
      </c>
      <c r="B16" s="86">
        <v>0</v>
      </c>
      <c r="C16" s="86">
        <v>0</v>
      </c>
      <c r="D16" s="663"/>
      <c r="E16" s="86">
        <v>0</v>
      </c>
      <c r="F16" s="86">
        <v>0</v>
      </c>
      <c r="G16" s="663"/>
      <c r="H16" s="663"/>
      <c r="I16" s="663"/>
      <c r="J16" s="663"/>
      <c r="K16" s="663"/>
      <c r="L16" s="663"/>
      <c r="M16" s="663"/>
      <c r="N16" s="663"/>
      <c r="O16" s="663"/>
      <c r="P16" s="663"/>
      <c r="Q16" s="663"/>
      <c r="R16" s="663"/>
      <c r="S16" s="663"/>
    </row>
    <row r="17" spans="1:19" ht="17" x14ac:dyDescent="0.15">
      <c r="A17" s="671" t="s">
        <v>78</v>
      </c>
      <c r="B17" s="86">
        <v>0</v>
      </c>
      <c r="C17" s="86">
        <v>0</v>
      </c>
      <c r="D17" s="663"/>
      <c r="E17" s="86">
        <v>0</v>
      </c>
      <c r="F17" s="86">
        <v>0</v>
      </c>
      <c r="G17" s="663"/>
      <c r="H17" s="663"/>
      <c r="I17" s="663"/>
      <c r="J17" s="663"/>
      <c r="K17" s="663"/>
      <c r="L17" s="663"/>
      <c r="M17" s="663"/>
      <c r="N17" s="663"/>
      <c r="O17" s="663"/>
      <c r="P17" s="663"/>
      <c r="Q17" s="663"/>
      <c r="R17" s="663"/>
      <c r="S17" s="663"/>
    </row>
    <row r="18" spans="1:19" ht="17" x14ac:dyDescent="0.15">
      <c r="A18" s="671" t="s">
        <v>79</v>
      </c>
      <c r="B18" s="86">
        <v>0</v>
      </c>
      <c r="C18" s="86">
        <v>0</v>
      </c>
      <c r="D18" s="663"/>
      <c r="E18" s="86">
        <v>0</v>
      </c>
      <c r="F18" s="86">
        <v>0</v>
      </c>
      <c r="G18" s="663"/>
      <c r="H18" s="663"/>
      <c r="I18" s="663"/>
      <c r="J18" s="663"/>
      <c r="K18" s="663"/>
      <c r="L18" s="663"/>
      <c r="M18" s="663"/>
      <c r="N18" s="663"/>
      <c r="O18" s="663"/>
      <c r="P18" s="663"/>
      <c r="Q18" s="663"/>
      <c r="R18" s="663"/>
      <c r="S18" s="663"/>
    </row>
    <row r="19" spans="1:19" ht="17" x14ac:dyDescent="0.15">
      <c r="A19" s="671" t="s">
        <v>154</v>
      </c>
      <c r="B19" s="86">
        <v>0</v>
      </c>
      <c r="C19" s="86">
        <v>0</v>
      </c>
      <c r="D19" s="663"/>
      <c r="E19" s="86">
        <v>0</v>
      </c>
      <c r="F19" s="86">
        <v>0</v>
      </c>
      <c r="G19" s="663"/>
      <c r="H19" s="663"/>
      <c r="I19" s="663"/>
      <c r="J19" s="663"/>
      <c r="K19" s="663"/>
      <c r="L19" s="663"/>
      <c r="M19" s="663"/>
      <c r="N19" s="663"/>
      <c r="O19" s="663"/>
      <c r="P19" s="663"/>
      <c r="Q19" s="663"/>
      <c r="R19" s="663"/>
      <c r="S19" s="663"/>
    </row>
    <row r="20" spans="1:19" ht="17" x14ac:dyDescent="0.15">
      <c r="A20" s="671" t="s">
        <v>155</v>
      </c>
      <c r="B20" s="86">
        <v>0</v>
      </c>
      <c r="C20" s="86">
        <v>0</v>
      </c>
      <c r="D20" s="663"/>
      <c r="E20" s="86">
        <v>0</v>
      </c>
      <c r="F20" s="86">
        <v>0</v>
      </c>
      <c r="G20" s="663"/>
      <c r="H20" s="663"/>
      <c r="I20" s="663"/>
      <c r="J20" s="663"/>
      <c r="K20" s="663"/>
      <c r="L20" s="663"/>
      <c r="M20" s="663"/>
      <c r="N20" s="663"/>
      <c r="O20" s="663"/>
      <c r="P20" s="663"/>
      <c r="Q20" s="663"/>
      <c r="R20" s="663"/>
      <c r="S20" s="663"/>
    </row>
    <row r="21" spans="1:19" ht="17" x14ac:dyDescent="0.15">
      <c r="A21" s="671" t="s">
        <v>156</v>
      </c>
      <c r="B21" s="86">
        <v>0</v>
      </c>
      <c r="C21" s="86">
        <v>0</v>
      </c>
      <c r="D21" s="663"/>
      <c r="E21" s="86">
        <v>0</v>
      </c>
      <c r="F21" s="86">
        <v>0</v>
      </c>
      <c r="G21" s="663"/>
      <c r="H21" s="663"/>
      <c r="I21" s="663"/>
      <c r="J21" s="663"/>
      <c r="K21" s="663"/>
      <c r="L21" s="663"/>
      <c r="M21" s="663"/>
      <c r="N21" s="663"/>
      <c r="O21" s="663"/>
      <c r="P21" s="663"/>
      <c r="Q21" s="663"/>
      <c r="R21" s="663"/>
      <c r="S21" s="663"/>
    </row>
    <row r="22" spans="1:19" ht="17" x14ac:dyDescent="0.15">
      <c r="A22" s="671" t="s">
        <v>80</v>
      </c>
      <c r="B22" s="86">
        <v>0</v>
      </c>
      <c r="C22" s="86">
        <v>0</v>
      </c>
      <c r="D22" s="663"/>
      <c r="E22" s="86">
        <v>0</v>
      </c>
      <c r="F22" s="86">
        <v>0</v>
      </c>
      <c r="G22" s="663"/>
      <c r="H22" s="663"/>
      <c r="I22" s="663"/>
      <c r="J22" s="663"/>
      <c r="K22" s="663"/>
      <c r="L22" s="663"/>
      <c r="M22" s="663"/>
      <c r="N22" s="663"/>
      <c r="O22" s="663"/>
      <c r="P22" s="663"/>
      <c r="Q22" s="663"/>
      <c r="R22" s="663"/>
      <c r="S22" s="663"/>
    </row>
    <row r="23" spans="1:19" ht="16" x14ac:dyDescent="0.15">
      <c r="A23" s="671"/>
      <c r="B23" s="672"/>
      <c r="C23" s="672"/>
      <c r="D23" s="673" t="s">
        <v>16</v>
      </c>
      <c r="E23" s="674">
        <f>SUM(E9:E22)</f>
        <v>0</v>
      </c>
      <c r="F23" s="674">
        <f>SUM(F9:F22)</f>
        <v>0</v>
      </c>
      <c r="G23" s="663"/>
      <c r="H23" s="663"/>
      <c r="I23" s="663"/>
      <c r="J23" s="663"/>
      <c r="K23" s="663"/>
      <c r="L23" s="663"/>
      <c r="M23" s="663"/>
      <c r="N23" s="663"/>
      <c r="O23" s="663"/>
      <c r="P23" s="663"/>
      <c r="Q23" s="663"/>
      <c r="R23" s="663"/>
      <c r="S23" s="663"/>
    </row>
    <row r="24" spans="1:19" x14ac:dyDescent="0.15">
      <c r="A24" s="664" t="s">
        <v>281</v>
      </c>
      <c r="B24" s="672"/>
      <c r="C24" s="672"/>
      <c r="D24" s="663"/>
      <c r="E24" s="663"/>
      <c r="F24" s="663"/>
      <c r="G24" s="663"/>
      <c r="H24" s="663"/>
      <c r="I24" s="663"/>
      <c r="J24" s="663"/>
      <c r="K24" s="663"/>
      <c r="L24" s="663"/>
      <c r="M24" s="663"/>
      <c r="N24" s="663"/>
      <c r="O24" s="663"/>
      <c r="P24" s="663"/>
      <c r="Q24" s="663"/>
      <c r="R24" s="663"/>
      <c r="S24" s="663"/>
    </row>
    <row r="25" spans="1:19" x14ac:dyDescent="0.15">
      <c r="A25" s="670" t="s">
        <v>285</v>
      </c>
      <c r="B25" s="156" t="s">
        <v>322</v>
      </c>
      <c r="C25" s="156" t="s">
        <v>321</v>
      </c>
      <c r="D25" s="663"/>
      <c r="E25" s="663"/>
      <c r="F25" s="663"/>
      <c r="G25" s="663"/>
      <c r="H25" s="663"/>
      <c r="I25" s="663"/>
      <c r="J25" s="663"/>
      <c r="K25" s="663"/>
      <c r="L25" s="663"/>
      <c r="M25" s="663"/>
      <c r="N25" s="663"/>
      <c r="O25" s="663"/>
      <c r="P25" s="663"/>
      <c r="Q25" s="663"/>
      <c r="R25" s="663"/>
      <c r="S25" s="663"/>
    </row>
    <row r="26" spans="1:19" ht="17" x14ac:dyDescent="0.15">
      <c r="A26" s="671" t="s">
        <v>76</v>
      </c>
      <c r="B26" s="86">
        <v>0</v>
      </c>
      <c r="C26" s="86">
        <v>0</v>
      </c>
      <c r="D26" s="663"/>
      <c r="E26" s="663"/>
      <c r="F26" s="663"/>
      <c r="G26" s="663"/>
      <c r="H26" s="663"/>
      <c r="I26" s="663"/>
      <c r="J26" s="663"/>
      <c r="K26" s="663"/>
      <c r="L26" s="663"/>
      <c r="M26" s="663"/>
      <c r="N26" s="663"/>
      <c r="O26" s="663"/>
      <c r="P26" s="663"/>
      <c r="Q26" s="663"/>
      <c r="R26" s="663"/>
      <c r="S26" s="663"/>
    </row>
    <row r="27" spans="1:19" ht="17" x14ac:dyDescent="0.15">
      <c r="A27" s="671" t="s">
        <v>148</v>
      </c>
      <c r="B27" s="86">
        <v>0</v>
      </c>
      <c r="C27" s="86">
        <v>0</v>
      </c>
      <c r="D27" s="663"/>
      <c r="E27" s="663"/>
      <c r="F27" s="663"/>
      <c r="G27" s="663"/>
      <c r="H27" s="663"/>
      <c r="I27" s="663"/>
      <c r="J27" s="663"/>
      <c r="K27" s="663"/>
      <c r="L27" s="663"/>
      <c r="M27" s="663"/>
      <c r="N27" s="663"/>
      <c r="O27" s="663"/>
      <c r="P27" s="663"/>
      <c r="Q27" s="663"/>
      <c r="R27" s="663"/>
      <c r="S27" s="663"/>
    </row>
    <row r="28" spans="1:19" ht="17" x14ac:dyDescent="0.15">
      <c r="A28" s="671" t="s">
        <v>77</v>
      </c>
      <c r="B28" s="86">
        <v>0</v>
      </c>
      <c r="C28" s="86">
        <v>0</v>
      </c>
      <c r="D28" s="663"/>
      <c r="E28" s="663"/>
      <c r="F28" s="663"/>
      <c r="G28" s="663"/>
      <c r="H28" s="663"/>
      <c r="I28" s="663"/>
      <c r="J28" s="663"/>
      <c r="K28" s="663"/>
      <c r="L28" s="663"/>
      <c r="M28" s="663"/>
      <c r="N28" s="663"/>
      <c r="O28" s="663"/>
      <c r="P28" s="663"/>
      <c r="Q28" s="663"/>
      <c r="R28" s="663"/>
      <c r="S28" s="663"/>
    </row>
    <row r="29" spans="1:19" ht="17" x14ac:dyDescent="0.15">
      <c r="A29" s="671" t="s">
        <v>149</v>
      </c>
      <c r="B29" s="86">
        <v>0</v>
      </c>
      <c r="C29" s="86">
        <v>0</v>
      </c>
      <c r="D29" s="663"/>
      <c r="E29" s="663"/>
      <c r="F29" s="663"/>
      <c r="G29" s="663"/>
      <c r="H29" s="663"/>
      <c r="I29" s="663"/>
      <c r="J29" s="663"/>
      <c r="K29" s="663"/>
      <c r="L29" s="663"/>
      <c r="M29" s="663"/>
      <c r="N29" s="663"/>
      <c r="O29" s="663"/>
      <c r="P29" s="663"/>
      <c r="Q29" s="663"/>
      <c r="R29" s="663"/>
      <c r="S29" s="663"/>
    </row>
    <row r="30" spans="1:19" ht="17" x14ac:dyDescent="0.15">
      <c r="A30" s="671" t="s">
        <v>150</v>
      </c>
      <c r="B30" s="86">
        <v>0</v>
      </c>
      <c r="C30" s="86">
        <v>0</v>
      </c>
      <c r="D30" s="663"/>
      <c r="E30" s="663"/>
      <c r="F30" s="663"/>
      <c r="G30" s="663"/>
      <c r="H30" s="663"/>
      <c r="I30" s="663"/>
      <c r="J30" s="663"/>
      <c r="K30" s="663"/>
      <c r="L30" s="663"/>
      <c r="M30" s="663"/>
      <c r="N30" s="663"/>
      <c r="O30" s="663"/>
      <c r="P30" s="663"/>
      <c r="Q30" s="663"/>
      <c r="R30" s="663"/>
      <c r="S30" s="663"/>
    </row>
    <row r="31" spans="1:19" ht="17" x14ac:dyDescent="0.15">
      <c r="A31" s="671" t="s">
        <v>151</v>
      </c>
      <c r="B31" s="86">
        <v>0</v>
      </c>
      <c r="C31" s="86">
        <v>0</v>
      </c>
      <c r="D31" s="663"/>
      <c r="E31" s="663"/>
      <c r="F31" s="663"/>
      <c r="G31" s="663"/>
      <c r="H31" s="663"/>
      <c r="I31" s="663"/>
      <c r="J31" s="663"/>
      <c r="K31" s="663"/>
      <c r="L31" s="663"/>
      <c r="M31" s="663"/>
      <c r="N31" s="663"/>
      <c r="O31" s="663"/>
      <c r="P31" s="663"/>
      <c r="Q31" s="663"/>
      <c r="R31" s="663"/>
      <c r="S31" s="663"/>
    </row>
    <row r="32" spans="1:19" ht="17" x14ac:dyDescent="0.15">
      <c r="A32" s="671" t="s">
        <v>152</v>
      </c>
      <c r="B32" s="86">
        <v>0</v>
      </c>
      <c r="C32" s="86">
        <v>0</v>
      </c>
      <c r="D32" s="663"/>
      <c r="E32" s="663"/>
      <c r="F32" s="663"/>
      <c r="G32" s="663"/>
      <c r="H32" s="663"/>
      <c r="I32" s="663"/>
      <c r="J32" s="663"/>
      <c r="K32" s="663"/>
      <c r="L32" s="663"/>
      <c r="M32" s="663"/>
      <c r="N32" s="663"/>
      <c r="O32" s="663"/>
      <c r="P32" s="663"/>
      <c r="Q32" s="663"/>
      <c r="R32" s="663"/>
      <c r="S32" s="663"/>
    </row>
    <row r="33" spans="1:19" ht="17" x14ac:dyDescent="0.15">
      <c r="A33" s="671" t="s">
        <v>153</v>
      </c>
      <c r="B33" s="86">
        <v>0</v>
      </c>
      <c r="C33" s="86">
        <v>0</v>
      </c>
      <c r="D33" s="663"/>
      <c r="E33" s="663"/>
      <c r="F33" s="663"/>
      <c r="G33" s="663"/>
      <c r="H33" s="663"/>
      <c r="I33" s="663"/>
      <c r="J33" s="663"/>
      <c r="K33" s="663"/>
      <c r="L33" s="663"/>
      <c r="M33" s="663"/>
      <c r="N33" s="663"/>
      <c r="O33" s="663"/>
      <c r="P33" s="663"/>
      <c r="Q33" s="663"/>
      <c r="R33" s="663"/>
      <c r="S33" s="663"/>
    </row>
    <row r="34" spans="1:19" ht="17" x14ac:dyDescent="0.15">
      <c r="A34" s="671" t="s">
        <v>78</v>
      </c>
      <c r="B34" s="86">
        <v>0</v>
      </c>
      <c r="C34" s="86">
        <v>0</v>
      </c>
      <c r="D34" s="663"/>
      <c r="E34" s="663"/>
      <c r="F34" s="663"/>
      <c r="G34" s="663"/>
      <c r="H34" s="663"/>
      <c r="I34" s="663"/>
      <c r="J34" s="663"/>
      <c r="K34" s="663"/>
      <c r="L34" s="663"/>
      <c r="M34" s="663"/>
      <c r="N34" s="663"/>
      <c r="O34" s="663"/>
      <c r="P34" s="663"/>
      <c r="Q34" s="663"/>
      <c r="R34" s="663"/>
      <c r="S34" s="663"/>
    </row>
    <row r="35" spans="1:19" ht="17" x14ac:dyDescent="0.15">
      <c r="A35" s="671" t="s">
        <v>79</v>
      </c>
      <c r="B35" s="86">
        <v>0</v>
      </c>
      <c r="C35" s="86">
        <v>0</v>
      </c>
      <c r="D35" s="663"/>
      <c r="E35" s="663"/>
      <c r="F35" s="663"/>
      <c r="G35" s="663"/>
      <c r="H35" s="663"/>
      <c r="I35" s="663"/>
      <c r="J35" s="663"/>
      <c r="K35" s="663"/>
      <c r="L35" s="663"/>
      <c r="M35" s="663"/>
      <c r="N35" s="663"/>
      <c r="O35" s="663"/>
      <c r="P35" s="663"/>
      <c r="Q35" s="663"/>
      <c r="R35" s="663"/>
      <c r="S35" s="663"/>
    </row>
    <row r="36" spans="1:19" ht="17" x14ac:dyDescent="0.15">
      <c r="A36" s="671" t="s">
        <v>154</v>
      </c>
      <c r="B36" s="86">
        <v>0</v>
      </c>
      <c r="C36" s="86">
        <v>0</v>
      </c>
      <c r="D36" s="663"/>
      <c r="E36" s="663"/>
      <c r="F36" s="663"/>
      <c r="G36" s="663"/>
      <c r="H36" s="663"/>
      <c r="I36" s="663"/>
      <c r="J36" s="663"/>
      <c r="K36" s="663"/>
      <c r="L36" s="663"/>
      <c r="M36" s="663"/>
      <c r="N36" s="663"/>
      <c r="O36" s="663"/>
      <c r="P36" s="663"/>
      <c r="Q36" s="663"/>
      <c r="R36" s="663"/>
      <c r="S36" s="663"/>
    </row>
    <row r="37" spans="1:19" ht="17" x14ac:dyDescent="0.15">
      <c r="A37" s="671" t="s">
        <v>155</v>
      </c>
      <c r="B37" s="86">
        <v>0</v>
      </c>
      <c r="C37" s="86">
        <v>0</v>
      </c>
      <c r="D37" s="663"/>
      <c r="E37" s="663"/>
      <c r="F37" s="663"/>
      <c r="G37" s="663"/>
      <c r="H37" s="663"/>
      <c r="I37" s="663"/>
      <c r="J37" s="663"/>
      <c r="K37" s="663"/>
      <c r="L37" s="663"/>
      <c r="M37" s="663"/>
      <c r="N37" s="663"/>
      <c r="O37" s="663"/>
      <c r="P37" s="663"/>
      <c r="Q37" s="663"/>
      <c r="R37" s="663"/>
      <c r="S37" s="663"/>
    </row>
    <row r="38" spans="1:19" ht="17" x14ac:dyDescent="0.15">
      <c r="A38" s="671" t="s">
        <v>156</v>
      </c>
      <c r="B38" s="86">
        <v>0</v>
      </c>
      <c r="C38" s="86">
        <v>0</v>
      </c>
      <c r="D38" s="663"/>
      <c r="E38" s="663"/>
      <c r="F38" s="663"/>
      <c r="G38" s="663"/>
      <c r="H38" s="663"/>
      <c r="I38" s="663"/>
      <c r="J38" s="663"/>
      <c r="K38" s="663"/>
      <c r="L38" s="663"/>
      <c r="M38" s="663"/>
      <c r="N38" s="663"/>
      <c r="O38" s="663"/>
      <c r="P38" s="663"/>
      <c r="Q38" s="663"/>
      <c r="R38" s="663"/>
      <c r="S38" s="663"/>
    </row>
    <row r="39" spans="1:19" ht="17" x14ac:dyDescent="0.15">
      <c r="A39" s="671" t="s">
        <v>80</v>
      </c>
      <c r="B39" s="86">
        <v>0</v>
      </c>
      <c r="C39" s="86">
        <v>0</v>
      </c>
      <c r="D39" s="663"/>
      <c r="E39" s="663"/>
      <c r="F39" s="663"/>
      <c r="G39" s="663"/>
      <c r="H39" s="663"/>
      <c r="I39" s="663"/>
      <c r="J39" s="663"/>
      <c r="K39" s="663"/>
      <c r="L39" s="663"/>
      <c r="M39" s="663"/>
      <c r="N39" s="663"/>
      <c r="O39" s="663"/>
      <c r="P39" s="663"/>
      <c r="Q39" s="663"/>
      <c r="R39" s="663"/>
      <c r="S39" s="663"/>
    </row>
    <row r="40" spans="1:19" ht="16" x14ac:dyDescent="0.15">
      <c r="A40" s="671"/>
      <c r="B40" s="672"/>
      <c r="C40" s="672"/>
      <c r="D40" s="663"/>
      <c r="E40" s="663"/>
      <c r="F40" s="663"/>
      <c r="G40" s="663"/>
      <c r="H40" s="663"/>
      <c r="I40" s="663"/>
      <c r="J40" s="663"/>
      <c r="K40" s="663"/>
      <c r="L40" s="663"/>
      <c r="M40" s="663"/>
      <c r="N40" s="663"/>
      <c r="O40" s="663"/>
      <c r="P40" s="663"/>
      <c r="Q40" s="663"/>
      <c r="R40" s="663"/>
      <c r="S40" s="663"/>
    </row>
    <row r="41" spans="1:19" x14ac:dyDescent="0.15">
      <c r="A41" s="664" t="s">
        <v>281</v>
      </c>
      <c r="B41" s="672"/>
      <c r="C41" s="672"/>
      <c r="D41" s="663"/>
      <c r="E41" s="663"/>
      <c r="F41" s="663"/>
      <c r="G41" s="663"/>
      <c r="H41" s="663"/>
      <c r="I41" s="663"/>
      <c r="J41" s="663"/>
      <c r="K41" s="663"/>
      <c r="L41" s="663"/>
      <c r="M41" s="663"/>
      <c r="N41" s="663"/>
      <c r="O41" s="663"/>
      <c r="P41" s="663"/>
      <c r="Q41" s="663"/>
      <c r="R41" s="663"/>
      <c r="S41" s="663"/>
    </row>
    <row r="42" spans="1:19" x14ac:dyDescent="0.15">
      <c r="A42" s="670" t="s">
        <v>287</v>
      </c>
      <c r="B42" s="156" t="s">
        <v>322</v>
      </c>
      <c r="C42" s="156" t="s">
        <v>321</v>
      </c>
      <c r="D42" s="663"/>
      <c r="E42" s="663"/>
      <c r="F42" s="663"/>
      <c r="G42" s="663"/>
      <c r="H42" s="663"/>
      <c r="I42" s="663"/>
      <c r="J42" s="663"/>
      <c r="K42" s="663"/>
      <c r="L42" s="663"/>
      <c r="M42" s="663"/>
      <c r="N42" s="663"/>
      <c r="O42" s="663"/>
      <c r="P42" s="663"/>
      <c r="Q42" s="663"/>
      <c r="R42" s="663"/>
      <c r="S42" s="663"/>
    </row>
    <row r="43" spans="1:19" ht="17" x14ac:dyDescent="0.15">
      <c r="A43" s="671" t="s">
        <v>76</v>
      </c>
      <c r="B43" s="86">
        <v>0</v>
      </c>
      <c r="C43" s="86">
        <v>0</v>
      </c>
      <c r="D43" s="663"/>
      <c r="E43" s="663"/>
      <c r="F43" s="663"/>
      <c r="G43" s="663"/>
      <c r="H43" s="663"/>
      <c r="I43" s="663"/>
      <c r="J43" s="663"/>
      <c r="K43" s="663"/>
      <c r="L43" s="663"/>
      <c r="M43" s="663"/>
      <c r="N43" s="663"/>
      <c r="O43" s="663"/>
      <c r="P43" s="663"/>
      <c r="Q43" s="663"/>
      <c r="R43" s="663"/>
      <c r="S43" s="663"/>
    </row>
    <row r="44" spans="1:19" ht="17" x14ac:dyDescent="0.15">
      <c r="A44" s="671" t="s">
        <v>148</v>
      </c>
      <c r="B44" s="86">
        <v>0</v>
      </c>
      <c r="C44" s="86">
        <v>0</v>
      </c>
      <c r="D44" s="663"/>
      <c r="E44" s="663"/>
      <c r="F44" s="663"/>
      <c r="G44" s="663"/>
      <c r="H44" s="663"/>
      <c r="I44" s="663"/>
      <c r="J44" s="663"/>
      <c r="K44" s="663"/>
      <c r="L44" s="663"/>
      <c r="M44" s="663"/>
      <c r="N44" s="663"/>
      <c r="O44" s="663"/>
      <c r="P44" s="663"/>
      <c r="Q44" s="663"/>
      <c r="R44" s="663"/>
      <c r="S44" s="663"/>
    </row>
    <row r="45" spans="1:19" ht="17" x14ac:dyDescent="0.15">
      <c r="A45" s="671" t="s">
        <v>77</v>
      </c>
      <c r="B45" s="86">
        <v>0</v>
      </c>
      <c r="C45" s="86">
        <v>0</v>
      </c>
      <c r="D45" s="663"/>
      <c r="E45" s="663"/>
      <c r="F45" s="663"/>
      <c r="G45" s="663"/>
      <c r="H45" s="663"/>
      <c r="I45" s="663"/>
      <c r="J45" s="663"/>
      <c r="K45" s="663"/>
      <c r="L45" s="663"/>
      <c r="M45" s="663"/>
      <c r="N45" s="663"/>
      <c r="O45" s="663"/>
      <c r="P45" s="663"/>
      <c r="Q45" s="663"/>
      <c r="R45" s="663"/>
      <c r="S45" s="663"/>
    </row>
    <row r="46" spans="1:19" ht="17" x14ac:dyDescent="0.15">
      <c r="A46" s="671" t="s">
        <v>149</v>
      </c>
      <c r="B46" s="86">
        <v>0</v>
      </c>
      <c r="C46" s="86">
        <v>0</v>
      </c>
      <c r="D46" s="663"/>
      <c r="E46" s="663"/>
      <c r="F46" s="663"/>
      <c r="G46" s="663"/>
      <c r="H46" s="663"/>
      <c r="I46" s="663"/>
      <c r="J46" s="663"/>
      <c r="K46" s="663"/>
      <c r="L46" s="663"/>
      <c r="M46" s="663"/>
      <c r="N46" s="663"/>
      <c r="O46" s="663"/>
      <c r="P46" s="663"/>
      <c r="Q46" s="663"/>
      <c r="R46" s="663"/>
      <c r="S46" s="663"/>
    </row>
    <row r="47" spans="1:19" ht="17" x14ac:dyDescent="0.15">
      <c r="A47" s="671" t="s">
        <v>150</v>
      </c>
      <c r="B47" s="86">
        <v>0</v>
      </c>
      <c r="C47" s="86">
        <v>0</v>
      </c>
      <c r="D47" s="663"/>
      <c r="E47" s="663"/>
      <c r="F47" s="663"/>
      <c r="G47" s="663"/>
      <c r="H47" s="663"/>
      <c r="I47" s="663"/>
      <c r="J47" s="663"/>
      <c r="K47" s="663"/>
      <c r="L47" s="663"/>
      <c r="M47" s="663"/>
      <c r="N47" s="663"/>
      <c r="O47" s="663"/>
      <c r="P47" s="663"/>
      <c r="Q47" s="663"/>
      <c r="R47" s="663"/>
      <c r="S47" s="663"/>
    </row>
    <row r="48" spans="1:19" ht="17" x14ac:dyDescent="0.15">
      <c r="A48" s="671" t="s">
        <v>151</v>
      </c>
      <c r="B48" s="86">
        <v>0</v>
      </c>
      <c r="C48" s="86">
        <v>0</v>
      </c>
      <c r="D48" s="663"/>
      <c r="E48" s="663"/>
      <c r="F48" s="663"/>
      <c r="G48" s="663"/>
      <c r="H48" s="663"/>
      <c r="I48" s="663"/>
      <c r="J48" s="663"/>
      <c r="K48" s="663"/>
      <c r="L48" s="663"/>
      <c r="M48" s="663"/>
      <c r="N48" s="663"/>
      <c r="O48" s="663"/>
      <c r="P48" s="663"/>
      <c r="Q48" s="663"/>
      <c r="R48" s="663"/>
      <c r="S48" s="663"/>
    </row>
    <row r="49" spans="1:19" ht="17" x14ac:dyDescent="0.15">
      <c r="A49" s="671" t="s">
        <v>152</v>
      </c>
      <c r="B49" s="86">
        <v>0</v>
      </c>
      <c r="C49" s="86">
        <v>0</v>
      </c>
      <c r="D49" s="663"/>
      <c r="E49" s="663"/>
      <c r="F49" s="663"/>
      <c r="G49" s="663"/>
      <c r="H49" s="663"/>
      <c r="I49" s="663"/>
      <c r="J49" s="663"/>
      <c r="K49" s="663"/>
      <c r="L49" s="663"/>
      <c r="M49" s="663"/>
      <c r="N49" s="663"/>
      <c r="O49" s="663"/>
      <c r="P49" s="663"/>
      <c r="Q49" s="663"/>
      <c r="R49" s="663"/>
      <c r="S49" s="663"/>
    </row>
    <row r="50" spans="1:19" ht="17" x14ac:dyDescent="0.15">
      <c r="A50" s="671" t="s">
        <v>153</v>
      </c>
      <c r="B50" s="86">
        <v>0</v>
      </c>
      <c r="C50" s="86">
        <v>0</v>
      </c>
      <c r="D50" s="663"/>
      <c r="E50" s="663"/>
      <c r="F50" s="663"/>
      <c r="G50" s="663"/>
      <c r="H50" s="663"/>
      <c r="I50" s="663"/>
      <c r="J50" s="663"/>
      <c r="K50" s="663"/>
      <c r="L50" s="663"/>
      <c r="M50" s="663"/>
      <c r="N50" s="663"/>
      <c r="O50" s="663"/>
      <c r="P50" s="663"/>
      <c r="Q50" s="663"/>
      <c r="R50" s="663"/>
      <c r="S50" s="663"/>
    </row>
    <row r="51" spans="1:19" ht="17" x14ac:dyDescent="0.15">
      <c r="A51" s="671" t="s">
        <v>78</v>
      </c>
      <c r="B51" s="86">
        <v>0</v>
      </c>
      <c r="C51" s="86">
        <v>0</v>
      </c>
      <c r="D51" s="663"/>
      <c r="E51" s="663"/>
      <c r="F51" s="663"/>
      <c r="G51" s="663"/>
      <c r="H51" s="663"/>
      <c r="I51" s="663"/>
      <c r="J51" s="663"/>
      <c r="K51" s="663"/>
      <c r="L51" s="663"/>
      <c r="M51" s="663"/>
      <c r="N51" s="663"/>
      <c r="O51" s="663"/>
      <c r="P51" s="663"/>
      <c r="Q51" s="663"/>
      <c r="R51" s="663"/>
      <c r="S51" s="663"/>
    </row>
    <row r="52" spans="1:19" ht="17" x14ac:dyDescent="0.15">
      <c r="A52" s="671" t="s">
        <v>79</v>
      </c>
      <c r="B52" s="86">
        <v>0</v>
      </c>
      <c r="C52" s="86">
        <v>0</v>
      </c>
      <c r="D52" s="663"/>
      <c r="E52" s="663"/>
      <c r="F52" s="663"/>
      <c r="G52" s="663"/>
      <c r="H52" s="663"/>
      <c r="I52" s="663"/>
      <c r="J52" s="663"/>
      <c r="K52" s="663"/>
      <c r="L52" s="663"/>
      <c r="M52" s="663"/>
      <c r="N52" s="663"/>
      <c r="O52" s="663"/>
      <c r="P52" s="663"/>
      <c r="Q52" s="663"/>
      <c r="R52" s="663"/>
      <c r="S52" s="663"/>
    </row>
    <row r="53" spans="1:19" ht="17" x14ac:dyDescent="0.15">
      <c r="A53" s="671" t="s">
        <v>154</v>
      </c>
      <c r="B53" s="86">
        <v>0</v>
      </c>
      <c r="C53" s="86">
        <v>0</v>
      </c>
      <c r="D53" s="663"/>
      <c r="E53" s="663"/>
      <c r="F53" s="663"/>
      <c r="G53" s="663"/>
      <c r="H53" s="663"/>
      <c r="I53" s="663"/>
      <c r="J53" s="663"/>
      <c r="K53" s="663"/>
      <c r="L53" s="663"/>
      <c r="M53" s="663"/>
      <c r="N53" s="663"/>
      <c r="O53" s="663"/>
      <c r="P53" s="663"/>
      <c r="Q53" s="663"/>
      <c r="R53" s="663"/>
      <c r="S53" s="663"/>
    </row>
    <row r="54" spans="1:19" ht="17" x14ac:dyDescent="0.15">
      <c r="A54" s="671" t="s">
        <v>155</v>
      </c>
      <c r="B54" s="86">
        <v>0</v>
      </c>
      <c r="C54" s="86">
        <v>0</v>
      </c>
      <c r="D54" s="663"/>
      <c r="E54" s="663"/>
      <c r="F54" s="663"/>
      <c r="G54" s="663"/>
      <c r="H54" s="663"/>
      <c r="I54" s="663"/>
      <c r="J54" s="663"/>
      <c r="K54" s="663"/>
      <c r="L54" s="663"/>
      <c r="M54" s="663"/>
      <c r="N54" s="663"/>
      <c r="O54" s="663"/>
      <c r="P54" s="663"/>
      <c r="Q54" s="663"/>
      <c r="R54" s="663"/>
      <c r="S54" s="663"/>
    </row>
    <row r="55" spans="1:19" ht="17" x14ac:dyDescent="0.15">
      <c r="A55" s="671" t="s">
        <v>156</v>
      </c>
      <c r="B55" s="86">
        <v>0</v>
      </c>
      <c r="C55" s="86">
        <v>0</v>
      </c>
      <c r="D55" s="663"/>
      <c r="E55" s="663"/>
      <c r="F55" s="663"/>
      <c r="G55" s="663"/>
      <c r="H55" s="663"/>
      <c r="I55" s="663"/>
      <c r="J55" s="663"/>
      <c r="K55" s="663"/>
      <c r="L55" s="663"/>
      <c r="M55" s="663"/>
      <c r="N55" s="663"/>
      <c r="O55" s="663"/>
      <c r="P55" s="663"/>
      <c r="Q55" s="663"/>
      <c r="R55" s="663"/>
      <c r="S55" s="663"/>
    </row>
    <row r="56" spans="1:19" ht="17" x14ac:dyDescent="0.15">
      <c r="A56" s="671" t="s">
        <v>80</v>
      </c>
      <c r="B56" s="86">
        <v>0</v>
      </c>
      <c r="C56" s="86">
        <v>0</v>
      </c>
      <c r="D56" s="663"/>
      <c r="E56" s="663"/>
      <c r="F56" s="663"/>
      <c r="G56" s="663"/>
      <c r="H56" s="663"/>
      <c r="I56" s="663"/>
      <c r="J56" s="663"/>
      <c r="K56" s="663"/>
      <c r="L56" s="663"/>
      <c r="M56" s="663"/>
      <c r="N56" s="663"/>
      <c r="O56" s="663"/>
      <c r="P56" s="663"/>
      <c r="Q56" s="663"/>
      <c r="R56" s="663"/>
      <c r="S56" s="663"/>
    </row>
    <row r="57" spans="1:19" ht="16" x14ac:dyDescent="0.15">
      <c r="A57" s="671"/>
      <c r="B57" s="672"/>
      <c r="C57" s="672"/>
      <c r="D57" s="663"/>
      <c r="E57" s="663"/>
      <c r="F57" s="663"/>
      <c r="G57" s="663"/>
      <c r="H57" s="663"/>
      <c r="I57" s="663"/>
      <c r="J57" s="663"/>
      <c r="K57" s="663"/>
      <c r="L57" s="663"/>
      <c r="M57" s="663"/>
      <c r="N57" s="663"/>
      <c r="O57" s="663"/>
      <c r="P57" s="663"/>
      <c r="Q57" s="663"/>
      <c r="R57" s="663"/>
      <c r="S57" s="663"/>
    </row>
    <row r="58" spans="1:19" x14ac:dyDescent="0.15">
      <c r="A58" s="664" t="s">
        <v>282</v>
      </c>
      <c r="B58" s="672"/>
      <c r="C58" s="672"/>
      <c r="D58" s="663"/>
      <c r="E58" s="663"/>
      <c r="F58" s="663"/>
      <c r="G58" s="663"/>
      <c r="H58" s="663"/>
      <c r="I58" s="663"/>
      <c r="J58" s="663"/>
      <c r="K58" s="663"/>
      <c r="L58" s="663"/>
      <c r="M58" s="663"/>
      <c r="N58" s="663"/>
      <c r="O58" s="663"/>
      <c r="P58" s="663"/>
      <c r="Q58" s="663"/>
      <c r="R58" s="663"/>
      <c r="S58" s="663"/>
    </row>
    <row r="59" spans="1:19" x14ac:dyDescent="0.15">
      <c r="A59" s="675" t="s">
        <v>197</v>
      </c>
      <c r="B59" s="156" t="s">
        <v>322</v>
      </c>
      <c r="C59" s="156" t="s">
        <v>321</v>
      </c>
      <c r="D59" s="663"/>
      <c r="E59" s="663"/>
      <c r="F59" s="663"/>
      <c r="G59" s="663"/>
      <c r="H59" s="663"/>
      <c r="I59" s="663"/>
      <c r="J59" s="663"/>
      <c r="K59" s="663"/>
      <c r="L59" s="663"/>
      <c r="M59" s="663"/>
      <c r="N59" s="663"/>
      <c r="O59" s="663"/>
      <c r="P59" s="663"/>
      <c r="Q59" s="663"/>
      <c r="R59" s="663"/>
      <c r="S59" s="663"/>
    </row>
    <row r="60" spans="1:19" ht="17" x14ac:dyDescent="0.15">
      <c r="A60" s="671" t="s">
        <v>76</v>
      </c>
      <c r="B60" s="86">
        <v>0</v>
      </c>
      <c r="C60" s="86">
        <v>0</v>
      </c>
      <c r="D60" s="663"/>
      <c r="E60" s="663"/>
      <c r="F60" s="663"/>
      <c r="G60" s="663"/>
      <c r="H60" s="663"/>
      <c r="I60" s="663"/>
      <c r="J60" s="663"/>
      <c r="K60" s="663"/>
      <c r="L60" s="663"/>
      <c r="M60" s="663"/>
      <c r="N60" s="663"/>
      <c r="O60" s="663"/>
      <c r="P60" s="663"/>
      <c r="Q60" s="663"/>
      <c r="R60" s="663"/>
      <c r="S60" s="663"/>
    </row>
    <row r="61" spans="1:19" ht="17" x14ac:dyDescent="0.15">
      <c r="A61" s="671" t="s">
        <v>148</v>
      </c>
      <c r="B61" s="86">
        <v>0</v>
      </c>
      <c r="C61" s="86">
        <v>0</v>
      </c>
      <c r="D61" s="663"/>
      <c r="E61" s="663"/>
      <c r="F61" s="663"/>
      <c r="G61" s="663"/>
      <c r="H61" s="663"/>
      <c r="I61" s="663"/>
      <c r="J61" s="663"/>
      <c r="K61" s="663"/>
      <c r="L61" s="663"/>
      <c r="M61" s="663"/>
      <c r="N61" s="663"/>
      <c r="O61" s="663"/>
      <c r="P61" s="663"/>
      <c r="Q61" s="663"/>
      <c r="R61" s="663"/>
      <c r="S61" s="663"/>
    </row>
    <row r="62" spans="1:19" ht="17" x14ac:dyDescent="0.15">
      <c r="A62" s="671" t="s">
        <v>77</v>
      </c>
      <c r="B62" s="86">
        <v>0</v>
      </c>
      <c r="C62" s="86">
        <v>0</v>
      </c>
      <c r="D62" s="663"/>
      <c r="E62" s="663"/>
      <c r="F62" s="663"/>
      <c r="G62" s="663"/>
      <c r="H62" s="663"/>
      <c r="I62" s="663"/>
      <c r="J62" s="663"/>
      <c r="K62" s="663"/>
      <c r="L62" s="663"/>
      <c r="M62" s="663"/>
      <c r="N62" s="663"/>
      <c r="O62" s="663"/>
      <c r="P62" s="663"/>
      <c r="Q62" s="663"/>
      <c r="R62" s="663"/>
      <c r="S62" s="663"/>
    </row>
    <row r="63" spans="1:19" ht="17" x14ac:dyDescent="0.15">
      <c r="A63" s="671" t="s">
        <v>149</v>
      </c>
      <c r="B63" s="86">
        <v>0</v>
      </c>
      <c r="C63" s="86">
        <v>0</v>
      </c>
      <c r="D63" s="663"/>
      <c r="E63" s="663"/>
      <c r="F63" s="663"/>
      <c r="G63" s="663"/>
      <c r="H63" s="663"/>
      <c r="I63" s="663"/>
      <c r="J63" s="663"/>
      <c r="K63" s="663"/>
      <c r="L63" s="663"/>
      <c r="M63" s="663"/>
      <c r="N63" s="663"/>
      <c r="O63" s="663"/>
      <c r="P63" s="663"/>
      <c r="Q63" s="663"/>
      <c r="R63" s="663"/>
      <c r="S63" s="663"/>
    </row>
    <row r="64" spans="1:19" ht="17" x14ac:dyDescent="0.15">
      <c r="A64" s="671" t="s">
        <v>150</v>
      </c>
      <c r="B64" s="86">
        <v>0</v>
      </c>
      <c r="C64" s="86">
        <v>0</v>
      </c>
      <c r="D64" s="663"/>
      <c r="E64" s="663"/>
      <c r="F64" s="663"/>
      <c r="G64" s="663"/>
      <c r="H64" s="663"/>
      <c r="I64" s="663"/>
      <c r="J64" s="663"/>
      <c r="K64" s="663"/>
      <c r="L64" s="663"/>
      <c r="M64" s="663"/>
      <c r="N64" s="663"/>
      <c r="O64" s="663"/>
      <c r="P64" s="663"/>
      <c r="Q64" s="663"/>
      <c r="R64" s="663"/>
      <c r="S64" s="663"/>
    </row>
    <row r="65" spans="1:19" ht="17" x14ac:dyDescent="0.15">
      <c r="A65" s="671" t="s">
        <v>151</v>
      </c>
      <c r="B65" s="86">
        <v>0</v>
      </c>
      <c r="C65" s="86">
        <v>0</v>
      </c>
      <c r="D65" s="663"/>
      <c r="E65" s="663"/>
      <c r="F65" s="663"/>
      <c r="G65" s="663"/>
      <c r="H65" s="663"/>
      <c r="I65" s="663"/>
      <c r="J65" s="663"/>
      <c r="K65" s="663"/>
      <c r="L65" s="663"/>
      <c r="M65" s="663"/>
      <c r="N65" s="663"/>
      <c r="O65" s="663"/>
      <c r="P65" s="663"/>
      <c r="Q65" s="663"/>
      <c r="R65" s="663"/>
      <c r="S65" s="663"/>
    </row>
    <row r="66" spans="1:19" ht="17" x14ac:dyDescent="0.15">
      <c r="A66" s="671" t="s">
        <v>152</v>
      </c>
      <c r="B66" s="86">
        <v>0</v>
      </c>
      <c r="C66" s="86">
        <v>0</v>
      </c>
      <c r="D66" s="663"/>
      <c r="E66" s="663"/>
      <c r="F66" s="663"/>
      <c r="G66" s="663"/>
      <c r="H66" s="663"/>
      <c r="I66" s="663"/>
      <c r="J66" s="663"/>
      <c r="K66" s="663"/>
      <c r="L66" s="663"/>
      <c r="M66" s="663"/>
      <c r="N66" s="663"/>
      <c r="O66" s="663"/>
      <c r="P66" s="663"/>
      <c r="Q66" s="663"/>
      <c r="R66" s="663"/>
      <c r="S66" s="663"/>
    </row>
    <row r="67" spans="1:19" ht="17" x14ac:dyDescent="0.15">
      <c r="A67" s="671" t="s">
        <v>153</v>
      </c>
      <c r="B67" s="86">
        <v>0</v>
      </c>
      <c r="C67" s="86">
        <v>0</v>
      </c>
      <c r="D67" s="663"/>
      <c r="E67" s="663"/>
      <c r="F67" s="663"/>
      <c r="G67" s="663"/>
      <c r="H67" s="663"/>
      <c r="I67" s="663"/>
      <c r="J67" s="663"/>
      <c r="K67" s="663"/>
      <c r="L67" s="663"/>
      <c r="M67" s="663"/>
      <c r="N67" s="663"/>
      <c r="O67" s="663"/>
      <c r="P67" s="663"/>
      <c r="Q67" s="663"/>
      <c r="R67" s="663"/>
      <c r="S67" s="663"/>
    </row>
    <row r="68" spans="1:19" ht="17" x14ac:dyDescent="0.15">
      <c r="A68" s="671" t="s">
        <v>78</v>
      </c>
      <c r="B68" s="86">
        <v>0</v>
      </c>
      <c r="C68" s="86">
        <v>0</v>
      </c>
      <c r="D68" s="663"/>
      <c r="E68" s="663"/>
      <c r="F68" s="663"/>
      <c r="G68" s="663"/>
      <c r="H68" s="663"/>
      <c r="I68" s="663"/>
      <c r="J68" s="663"/>
      <c r="K68" s="663"/>
      <c r="L68" s="663"/>
      <c r="M68" s="663"/>
      <c r="N68" s="663"/>
      <c r="O68" s="663"/>
      <c r="P68" s="663"/>
      <c r="Q68" s="663"/>
      <c r="R68" s="663"/>
      <c r="S68" s="663"/>
    </row>
    <row r="69" spans="1:19" ht="17" x14ac:dyDescent="0.15">
      <c r="A69" s="671" t="s">
        <v>79</v>
      </c>
      <c r="B69" s="86">
        <v>0</v>
      </c>
      <c r="C69" s="86">
        <v>0</v>
      </c>
      <c r="D69" s="663"/>
      <c r="E69" s="663"/>
      <c r="F69" s="663"/>
      <c r="G69" s="663"/>
      <c r="H69" s="663"/>
      <c r="I69" s="663"/>
      <c r="J69" s="663"/>
      <c r="K69" s="663"/>
      <c r="L69" s="663"/>
      <c r="M69" s="663"/>
      <c r="N69" s="663"/>
      <c r="O69" s="663"/>
      <c r="P69" s="663"/>
      <c r="Q69" s="663"/>
      <c r="R69" s="663"/>
      <c r="S69" s="663"/>
    </row>
    <row r="70" spans="1:19" ht="17" x14ac:dyDescent="0.15">
      <c r="A70" s="671" t="s">
        <v>154</v>
      </c>
      <c r="B70" s="86">
        <v>0</v>
      </c>
      <c r="C70" s="86">
        <v>0</v>
      </c>
      <c r="D70" s="663"/>
      <c r="E70" s="663"/>
      <c r="F70" s="663"/>
      <c r="G70" s="663"/>
      <c r="H70" s="663"/>
      <c r="I70" s="663"/>
      <c r="J70" s="663"/>
      <c r="K70" s="663"/>
      <c r="L70" s="663"/>
      <c r="M70" s="663"/>
      <c r="N70" s="663"/>
      <c r="O70" s="663"/>
      <c r="P70" s="663"/>
      <c r="Q70" s="663"/>
      <c r="R70" s="663"/>
      <c r="S70" s="663"/>
    </row>
    <row r="71" spans="1:19" ht="17" x14ac:dyDescent="0.15">
      <c r="A71" s="671" t="s">
        <v>155</v>
      </c>
      <c r="B71" s="86">
        <v>0</v>
      </c>
      <c r="C71" s="86">
        <v>0</v>
      </c>
      <c r="D71" s="663"/>
      <c r="E71" s="663"/>
      <c r="F71" s="663"/>
      <c r="G71" s="663"/>
      <c r="H71" s="663"/>
      <c r="I71" s="663"/>
      <c r="J71" s="663"/>
      <c r="K71" s="663"/>
      <c r="L71" s="663"/>
      <c r="M71" s="663"/>
      <c r="N71" s="663"/>
      <c r="O71" s="663"/>
      <c r="P71" s="663"/>
      <c r="Q71" s="663"/>
      <c r="R71" s="663"/>
      <c r="S71" s="663"/>
    </row>
    <row r="72" spans="1:19" ht="17" x14ac:dyDescent="0.15">
      <c r="A72" s="671" t="s">
        <v>156</v>
      </c>
      <c r="B72" s="86">
        <v>0</v>
      </c>
      <c r="C72" s="86">
        <v>0</v>
      </c>
      <c r="D72" s="663"/>
      <c r="E72" s="663"/>
      <c r="F72" s="663"/>
      <c r="G72" s="663"/>
      <c r="H72" s="663"/>
      <c r="I72" s="663"/>
      <c r="J72" s="663"/>
      <c r="K72" s="663"/>
      <c r="L72" s="663"/>
      <c r="M72" s="663"/>
      <c r="N72" s="663"/>
      <c r="O72" s="663"/>
      <c r="P72" s="663"/>
      <c r="Q72" s="663"/>
      <c r="R72" s="663"/>
      <c r="S72" s="663"/>
    </row>
    <row r="73" spans="1:19" ht="17" x14ac:dyDescent="0.15">
      <c r="A73" s="671" t="s">
        <v>80</v>
      </c>
      <c r="B73" s="86">
        <v>0</v>
      </c>
      <c r="C73" s="86">
        <v>0</v>
      </c>
      <c r="D73" s="663"/>
      <c r="E73" s="663"/>
      <c r="F73" s="663"/>
      <c r="G73" s="663"/>
      <c r="H73" s="663"/>
      <c r="I73" s="663"/>
      <c r="J73" s="663"/>
      <c r="K73" s="663"/>
      <c r="L73" s="663"/>
      <c r="M73" s="663"/>
      <c r="N73" s="663"/>
      <c r="O73" s="663"/>
      <c r="P73" s="663"/>
      <c r="Q73" s="663"/>
      <c r="R73" s="663"/>
      <c r="S73" s="663"/>
    </row>
    <row r="74" spans="1:19" ht="16" x14ac:dyDescent="0.15">
      <c r="A74" s="676"/>
      <c r="B74" s="672"/>
      <c r="C74" s="672"/>
      <c r="D74" s="663"/>
      <c r="E74" s="663"/>
      <c r="F74" s="663"/>
      <c r="G74" s="663"/>
      <c r="H74" s="663"/>
      <c r="I74" s="663"/>
      <c r="J74" s="663"/>
      <c r="K74" s="663"/>
      <c r="L74" s="663"/>
      <c r="M74" s="663"/>
      <c r="N74" s="663"/>
      <c r="O74" s="663"/>
      <c r="P74" s="663"/>
      <c r="Q74" s="663"/>
      <c r="R74" s="663"/>
      <c r="S74" s="663"/>
    </row>
    <row r="75" spans="1:19" x14ac:dyDescent="0.15">
      <c r="A75" s="664" t="s">
        <v>282</v>
      </c>
      <c r="B75" s="672"/>
      <c r="C75" s="672"/>
      <c r="D75" s="663"/>
      <c r="E75" s="663"/>
      <c r="F75" s="663"/>
      <c r="G75" s="663"/>
      <c r="H75" s="663"/>
      <c r="I75" s="663"/>
      <c r="J75" s="663"/>
      <c r="K75" s="663"/>
      <c r="L75" s="663"/>
      <c r="M75" s="663"/>
      <c r="N75" s="663"/>
      <c r="O75" s="663"/>
      <c r="P75" s="663"/>
      <c r="Q75" s="663"/>
      <c r="R75" s="663"/>
      <c r="S75" s="663"/>
    </row>
    <row r="76" spans="1:19" x14ac:dyDescent="0.15">
      <c r="A76" s="677" t="s">
        <v>288</v>
      </c>
      <c r="B76" s="156" t="s">
        <v>322</v>
      </c>
      <c r="C76" s="156" t="s">
        <v>321</v>
      </c>
      <c r="D76" s="663"/>
      <c r="E76" s="663"/>
      <c r="F76" s="663"/>
      <c r="G76" s="663"/>
      <c r="H76" s="663"/>
      <c r="I76" s="663"/>
      <c r="J76" s="663"/>
      <c r="K76" s="663"/>
      <c r="L76" s="663"/>
      <c r="M76" s="663"/>
      <c r="N76" s="663"/>
      <c r="O76" s="663"/>
      <c r="P76" s="663"/>
      <c r="Q76" s="663"/>
      <c r="R76" s="663"/>
      <c r="S76" s="663"/>
    </row>
    <row r="77" spans="1:19" ht="17" x14ac:dyDescent="0.15">
      <c r="A77" s="671" t="s">
        <v>76</v>
      </c>
      <c r="B77" s="86">
        <v>0</v>
      </c>
      <c r="C77" s="86">
        <v>0</v>
      </c>
      <c r="D77" s="663"/>
      <c r="E77" s="663"/>
      <c r="F77" s="663"/>
      <c r="G77" s="663"/>
      <c r="H77" s="663"/>
      <c r="I77" s="663"/>
      <c r="J77" s="663"/>
      <c r="K77" s="663"/>
      <c r="L77" s="663"/>
      <c r="M77" s="663"/>
      <c r="N77" s="663"/>
      <c r="O77" s="663"/>
      <c r="P77" s="663"/>
      <c r="Q77" s="663"/>
      <c r="R77" s="663"/>
      <c r="S77" s="663"/>
    </row>
    <row r="78" spans="1:19" ht="17" x14ac:dyDescent="0.15">
      <c r="A78" s="671" t="s">
        <v>148</v>
      </c>
      <c r="B78" s="86">
        <v>0</v>
      </c>
      <c r="C78" s="86">
        <v>0</v>
      </c>
      <c r="D78" s="663"/>
      <c r="E78" s="663"/>
      <c r="F78" s="663"/>
      <c r="G78" s="663"/>
      <c r="H78" s="663"/>
      <c r="I78" s="663"/>
      <c r="J78" s="663"/>
      <c r="K78" s="663"/>
      <c r="L78" s="663"/>
      <c r="M78" s="663"/>
      <c r="N78" s="663"/>
      <c r="O78" s="663"/>
      <c r="P78" s="663"/>
      <c r="Q78" s="663"/>
      <c r="R78" s="663"/>
      <c r="S78" s="663"/>
    </row>
    <row r="79" spans="1:19" ht="17" x14ac:dyDescent="0.15">
      <c r="A79" s="671" t="s">
        <v>77</v>
      </c>
      <c r="B79" s="86">
        <v>0</v>
      </c>
      <c r="C79" s="86">
        <v>0</v>
      </c>
      <c r="D79" s="663"/>
      <c r="E79" s="663"/>
      <c r="F79" s="663"/>
      <c r="G79" s="663"/>
      <c r="H79" s="663"/>
      <c r="I79" s="663"/>
      <c r="J79" s="663"/>
      <c r="K79" s="663"/>
      <c r="L79" s="663"/>
      <c r="M79" s="663"/>
      <c r="N79" s="663"/>
      <c r="O79" s="663"/>
      <c r="P79" s="663"/>
      <c r="Q79" s="663"/>
      <c r="R79" s="663"/>
      <c r="S79" s="663"/>
    </row>
    <row r="80" spans="1:19" ht="17" x14ac:dyDescent="0.15">
      <c r="A80" s="671" t="s">
        <v>149</v>
      </c>
      <c r="B80" s="86">
        <v>0</v>
      </c>
      <c r="C80" s="86">
        <v>0</v>
      </c>
      <c r="D80" s="663"/>
      <c r="E80" s="663"/>
      <c r="F80" s="663"/>
      <c r="G80" s="663"/>
      <c r="H80" s="663"/>
      <c r="I80" s="663"/>
      <c r="J80" s="663"/>
      <c r="K80" s="663"/>
      <c r="L80" s="663"/>
      <c r="M80" s="663"/>
      <c r="N80" s="663"/>
      <c r="O80" s="663"/>
      <c r="P80" s="663"/>
      <c r="Q80" s="663"/>
      <c r="R80" s="663"/>
      <c r="S80" s="663"/>
    </row>
    <row r="81" spans="1:19" ht="17" x14ac:dyDescent="0.15">
      <c r="A81" s="671" t="s">
        <v>150</v>
      </c>
      <c r="B81" s="86">
        <v>0</v>
      </c>
      <c r="C81" s="86">
        <v>0</v>
      </c>
      <c r="D81" s="663"/>
      <c r="E81" s="663"/>
      <c r="F81" s="663"/>
      <c r="G81" s="663"/>
      <c r="H81" s="663"/>
      <c r="I81" s="663"/>
      <c r="J81" s="663"/>
      <c r="K81" s="663"/>
      <c r="L81" s="663"/>
      <c r="M81" s="663"/>
      <c r="N81" s="663"/>
      <c r="O81" s="663"/>
      <c r="P81" s="663"/>
      <c r="Q81" s="663"/>
      <c r="R81" s="663"/>
      <c r="S81" s="663"/>
    </row>
    <row r="82" spans="1:19" ht="17" x14ac:dyDescent="0.15">
      <c r="A82" s="671" t="s">
        <v>151</v>
      </c>
      <c r="B82" s="86">
        <v>0</v>
      </c>
      <c r="C82" s="86">
        <v>0</v>
      </c>
      <c r="D82" s="663"/>
      <c r="E82" s="663"/>
      <c r="F82" s="663"/>
      <c r="G82" s="663"/>
      <c r="H82" s="663"/>
      <c r="I82" s="663"/>
      <c r="J82" s="663"/>
      <c r="K82" s="663"/>
      <c r="L82" s="663"/>
      <c r="M82" s="663"/>
      <c r="N82" s="663"/>
      <c r="O82" s="663"/>
      <c r="P82" s="663"/>
      <c r="Q82" s="663"/>
      <c r="R82" s="663"/>
      <c r="S82" s="663"/>
    </row>
    <row r="83" spans="1:19" ht="17" x14ac:dyDescent="0.15">
      <c r="A83" s="671" t="s">
        <v>152</v>
      </c>
      <c r="B83" s="86">
        <v>0</v>
      </c>
      <c r="C83" s="86">
        <v>0</v>
      </c>
      <c r="D83" s="663"/>
      <c r="E83" s="663"/>
      <c r="F83" s="663"/>
      <c r="G83" s="663"/>
      <c r="H83" s="663"/>
      <c r="I83" s="663"/>
      <c r="J83" s="663"/>
      <c r="K83" s="663"/>
      <c r="L83" s="663"/>
      <c r="M83" s="663"/>
      <c r="N83" s="663"/>
      <c r="O83" s="663"/>
      <c r="P83" s="663"/>
      <c r="Q83" s="663"/>
      <c r="R83" s="663"/>
      <c r="S83" s="663"/>
    </row>
    <row r="84" spans="1:19" ht="17" x14ac:dyDescent="0.15">
      <c r="A84" s="671" t="s">
        <v>153</v>
      </c>
      <c r="B84" s="86">
        <v>0</v>
      </c>
      <c r="C84" s="86">
        <v>0</v>
      </c>
      <c r="D84" s="663"/>
      <c r="E84" s="663"/>
      <c r="F84" s="663"/>
      <c r="G84" s="663"/>
      <c r="H84" s="663"/>
      <c r="I84" s="663"/>
      <c r="J84" s="663"/>
      <c r="K84" s="663"/>
      <c r="L84" s="663"/>
      <c r="M84" s="663"/>
      <c r="N84" s="663"/>
      <c r="O84" s="663"/>
      <c r="P84" s="663"/>
      <c r="Q84" s="663"/>
      <c r="R84" s="663"/>
      <c r="S84" s="663"/>
    </row>
    <row r="85" spans="1:19" ht="17" x14ac:dyDescent="0.15">
      <c r="A85" s="671" t="s">
        <v>78</v>
      </c>
      <c r="B85" s="86">
        <v>0</v>
      </c>
      <c r="C85" s="86">
        <v>0</v>
      </c>
      <c r="D85" s="663"/>
      <c r="E85" s="663"/>
      <c r="F85" s="663"/>
      <c r="G85" s="663"/>
      <c r="H85" s="663"/>
      <c r="I85" s="663"/>
      <c r="J85" s="663"/>
      <c r="K85" s="663"/>
      <c r="L85" s="663"/>
      <c r="M85" s="663"/>
      <c r="N85" s="663"/>
      <c r="O85" s="663"/>
      <c r="P85" s="663"/>
      <c r="Q85" s="663"/>
      <c r="R85" s="663"/>
      <c r="S85" s="663"/>
    </row>
    <row r="86" spans="1:19" ht="17" x14ac:dyDescent="0.15">
      <c r="A86" s="671" t="s">
        <v>79</v>
      </c>
      <c r="B86" s="86">
        <v>0</v>
      </c>
      <c r="C86" s="86">
        <v>0</v>
      </c>
      <c r="D86" s="663"/>
      <c r="E86" s="663"/>
      <c r="F86" s="663"/>
      <c r="G86" s="663"/>
      <c r="H86" s="663"/>
      <c r="I86" s="663"/>
      <c r="J86" s="663"/>
      <c r="K86" s="663"/>
      <c r="L86" s="663"/>
      <c r="M86" s="663"/>
      <c r="N86" s="663"/>
      <c r="O86" s="663"/>
      <c r="P86" s="663"/>
      <c r="Q86" s="663"/>
      <c r="R86" s="663"/>
      <c r="S86" s="663"/>
    </row>
    <row r="87" spans="1:19" ht="17" x14ac:dyDescent="0.15">
      <c r="A87" s="671" t="s">
        <v>154</v>
      </c>
      <c r="B87" s="86">
        <v>0</v>
      </c>
      <c r="C87" s="86">
        <v>0</v>
      </c>
      <c r="D87" s="663"/>
      <c r="E87" s="663"/>
      <c r="F87" s="663"/>
      <c r="G87" s="663"/>
      <c r="H87" s="663"/>
      <c r="I87" s="663"/>
      <c r="J87" s="663"/>
      <c r="K87" s="663"/>
      <c r="L87" s="663"/>
      <c r="M87" s="663"/>
      <c r="N87" s="663"/>
      <c r="O87" s="663"/>
      <c r="P87" s="663"/>
      <c r="Q87" s="663"/>
      <c r="R87" s="663"/>
      <c r="S87" s="663"/>
    </row>
    <row r="88" spans="1:19" ht="17" x14ac:dyDescent="0.15">
      <c r="A88" s="671" t="s">
        <v>155</v>
      </c>
      <c r="B88" s="86">
        <v>0</v>
      </c>
      <c r="C88" s="86">
        <v>0</v>
      </c>
      <c r="D88" s="663"/>
      <c r="E88" s="663"/>
      <c r="F88" s="663"/>
      <c r="G88" s="663"/>
      <c r="H88" s="663"/>
      <c r="I88" s="663"/>
      <c r="J88" s="663"/>
      <c r="K88" s="663"/>
      <c r="L88" s="663"/>
      <c r="M88" s="663"/>
      <c r="N88" s="663"/>
      <c r="O88" s="663"/>
      <c r="P88" s="663"/>
      <c r="Q88" s="663"/>
      <c r="R88" s="663"/>
      <c r="S88" s="663"/>
    </row>
    <row r="89" spans="1:19" ht="17" x14ac:dyDescent="0.15">
      <c r="A89" s="671" t="s">
        <v>156</v>
      </c>
      <c r="B89" s="86">
        <v>0</v>
      </c>
      <c r="C89" s="86">
        <v>0</v>
      </c>
      <c r="D89" s="663"/>
      <c r="E89" s="663"/>
      <c r="F89" s="663"/>
      <c r="G89" s="663"/>
      <c r="H89" s="663"/>
      <c r="I89" s="663"/>
      <c r="J89" s="663"/>
      <c r="K89" s="663"/>
      <c r="L89" s="663"/>
      <c r="M89" s="663"/>
      <c r="N89" s="663"/>
      <c r="O89" s="663"/>
      <c r="P89" s="663"/>
      <c r="Q89" s="663"/>
      <c r="R89" s="663"/>
      <c r="S89" s="663"/>
    </row>
    <row r="90" spans="1:19" ht="17" x14ac:dyDescent="0.15">
      <c r="A90" s="671" t="s">
        <v>80</v>
      </c>
      <c r="B90" s="86">
        <v>0</v>
      </c>
      <c r="C90" s="86">
        <v>0</v>
      </c>
      <c r="D90" s="663"/>
      <c r="E90" s="663"/>
      <c r="F90" s="663"/>
      <c r="G90" s="663"/>
      <c r="H90" s="663"/>
      <c r="I90" s="663"/>
      <c r="J90" s="663"/>
      <c r="K90" s="663"/>
      <c r="L90" s="663"/>
      <c r="M90" s="663"/>
      <c r="N90" s="663"/>
      <c r="O90" s="663"/>
      <c r="P90" s="663"/>
      <c r="Q90" s="663"/>
      <c r="R90" s="663"/>
      <c r="S90" s="663"/>
    </row>
    <row r="91" spans="1:19" ht="16" x14ac:dyDescent="0.15">
      <c r="A91" s="676"/>
      <c r="B91" s="672"/>
      <c r="C91" s="672"/>
      <c r="D91" s="663"/>
      <c r="E91" s="663"/>
      <c r="F91" s="663"/>
      <c r="G91" s="663"/>
      <c r="H91" s="663"/>
      <c r="I91" s="663"/>
      <c r="J91" s="663"/>
      <c r="K91" s="663"/>
      <c r="L91" s="663"/>
      <c r="M91" s="663"/>
      <c r="N91" s="663"/>
      <c r="O91" s="663"/>
      <c r="P91" s="663"/>
      <c r="Q91" s="663"/>
      <c r="R91" s="663"/>
      <c r="S91" s="663"/>
    </row>
    <row r="92" spans="1:19" x14ac:dyDescent="0.15">
      <c r="A92" s="664" t="s">
        <v>282</v>
      </c>
      <c r="B92" s="672"/>
      <c r="C92" s="672"/>
      <c r="D92" s="663"/>
      <c r="E92" s="663"/>
      <c r="F92" s="663"/>
      <c r="G92" s="663"/>
      <c r="H92" s="663"/>
      <c r="I92" s="663"/>
      <c r="J92" s="663"/>
      <c r="K92" s="663"/>
      <c r="L92" s="663"/>
      <c r="M92" s="663"/>
      <c r="N92" s="663"/>
      <c r="O92" s="663"/>
      <c r="P92" s="663"/>
      <c r="Q92" s="663"/>
      <c r="R92" s="663"/>
      <c r="S92" s="663"/>
    </row>
    <row r="93" spans="1:19" x14ac:dyDescent="0.15">
      <c r="A93" s="677" t="s">
        <v>289</v>
      </c>
      <c r="B93" s="156" t="s">
        <v>322</v>
      </c>
      <c r="C93" s="156" t="s">
        <v>321</v>
      </c>
      <c r="D93" s="663"/>
      <c r="E93" s="663"/>
      <c r="F93" s="663"/>
      <c r="G93" s="663"/>
      <c r="H93" s="663"/>
      <c r="I93" s="663"/>
      <c r="J93" s="663"/>
      <c r="K93" s="663"/>
      <c r="L93" s="663"/>
      <c r="M93" s="663"/>
      <c r="N93" s="663"/>
      <c r="O93" s="663"/>
      <c r="P93" s="663"/>
      <c r="Q93" s="663"/>
      <c r="R93" s="663"/>
      <c r="S93" s="663"/>
    </row>
    <row r="94" spans="1:19" ht="17" x14ac:dyDescent="0.15">
      <c r="A94" s="671" t="s">
        <v>76</v>
      </c>
      <c r="B94" s="86">
        <v>0</v>
      </c>
      <c r="C94" s="86">
        <v>0</v>
      </c>
      <c r="D94" s="663"/>
      <c r="E94" s="663"/>
      <c r="F94" s="663"/>
      <c r="G94" s="663"/>
      <c r="H94" s="663"/>
      <c r="I94" s="663"/>
      <c r="J94" s="663"/>
      <c r="K94" s="663"/>
      <c r="L94" s="663"/>
      <c r="M94" s="663"/>
      <c r="N94" s="663"/>
      <c r="O94" s="663"/>
      <c r="P94" s="663"/>
      <c r="Q94" s="663"/>
      <c r="R94" s="663"/>
      <c r="S94" s="663"/>
    </row>
    <row r="95" spans="1:19" ht="17" x14ac:dyDescent="0.15">
      <c r="A95" s="671" t="s">
        <v>148</v>
      </c>
      <c r="B95" s="86">
        <v>0</v>
      </c>
      <c r="C95" s="86">
        <v>0</v>
      </c>
      <c r="D95" s="663"/>
      <c r="E95" s="663"/>
      <c r="F95" s="663"/>
      <c r="G95" s="663"/>
      <c r="H95" s="663"/>
      <c r="I95" s="663"/>
      <c r="J95" s="663"/>
      <c r="K95" s="663"/>
      <c r="L95" s="663"/>
      <c r="M95" s="663"/>
      <c r="N95" s="663"/>
      <c r="O95" s="663"/>
      <c r="P95" s="663"/>
      <c r="Q95" s="663"/>
      <c r="R95" s="663"/>
      <c r="S95" s="663"/>
    </row>
    <row r="96" spans="1:19" ht="17" x14ac:dyDescent="0.15">
      <c r="A96" s="671" t="s">
        <v>77</v>
      </c>
      <c r="B96" s="86">
        <v>0</v>
      </c>
      <c r="C96" s="86">
        <v>0</v>
      </c>
      <c r="D96" s="663"/>
      <c r="E96" s="663"/>
      <c r="F96" s="663"/>
      <c r="G96" s="663"/>
      <c r="H96" s="663"/>
      <c r="I96" s="663"/>
      <c r="J96" s="663"/>
      <c r="K96" s="663"/>
      <c r="L96" s="663"/>
      <c r="M96" s="663"/>
      <c r="N96" s="663"/>
      <c r="O96" s="663"/>
      <c r="P96" s="663"/>
      <c r="Q96" s="663"/>
      <c r="R96" s="663"/>
      <c r="S96" s="663"/>
    </row>
    <row r="97" spans="1:19" ht="17" x14ac:dyDescent="0.15">
      <c r="A97" s="671" t="s">
        <v>149</v>
      </c>
      <c r="B97" s="86">
        <v>0</v>
      </c>
      <c r="C97" s="86">
        <v>0</v>
      </c>
      <c r="D97" s="663"/>
      <c r="E97" s="663"/>
      <c r="F97" s="663"/>
      <c r="G97" s="663"/>
      <c r="H97" s="663"/>
      <c r="I97" s="663"/>
      <c r="J97" s="663"/>
      <c r="K97" s="663"/>
      <c r="L97" s="663"/>
      <c r="M97" s="663"/>
      <c r="N97" s="663"/>
      <c r="O97" s="663"/>
      <c r="P97" s="663"/>
      <c r="Q97" s="663"/>
      <c r="R97" s="663"/>
      <c r="S97" s="663"/>
    </row>
    <row r="98" spans="1:19" ht="17" x14ac:dyDescent="0.15">
      <c r="A98" s="671" t="s">
        <v>150</v>
      </c>
      <c r="B98" s="86">
        <v>0</v>
      </c>
      <c r="C98" s="86">
        <v>0</v>
      </c>
      <c r="D98" s="663"/>
      <c r="E98" s="663"/>
      <c r="F98" s="663"/>
      <c r="G98" s="663"/>
      <c r="H98" s="663"/>
      <c r="I98" s="663"/>
      <c r="J98" s="663"/>
      <c r="K98" s="663"/>
      <c r="L98" s="663"/>
      <c r="M98" s="663"/>
      <c r="N98" s="663"/>
      <c r="O98" s="663"/>
      <c r="P98" s="663"/>
      <c r="Q98" s="663"/>
      <c r="R98" s="663"/>
      <c r="S98" s="663"/>
    </row>
    <row r="99" spans="1:19" ht="17" x14ac:dyDescent="0.15">
      <c r="A99" s="671" t="s">
        <v>151</v>
      </c>
      <c r="B99" s="86">
        <v>0</v>
      </c>
      <c r="C99" s="86">
        <v>0</v>
      </c>
      <c r="D99" s="663"/>
      <c r="E99" s="663"/>
      <c r="F99" s="663"/>
      <c r="G99" s="663"/>
      <c r="H99" s="663"/>
      <c r="I99" s="663"/>
      <c r="J99" s="663"/>
      <c r="K99" s="663"/>
      <c r="L99" s="663"/>
      <c r="M99" s="663"/>
      <c r="N99" s="663"/>
      <c r="O99" s="663"/>
      <c r="P99" s="663"/>
      <c r="Q99" s="663"/>
      <c r="R99" s="663"/>
      <c r="S99" s="663"/>
    </row>
    <row r="100" spans="1:19" ht="17" x14ac:dyDescent="0.15">
      <c r="A100" s="671" t="s">
        <v>152</v>
      </c>
      <c r="B100" s="86">
        <v>0</v>
      </c>
      <c r="C100" s="86">
        <v>0</v>
      </c>
      <c r="D100" s="663"/>
      <c r="E100" s="663"/>
      <c r="F100" s="663"/>
      <c r="G100" s="663"/>
      <c r="H100" s="663"/>
      <c r="I100" s="663"/>
      <c r="J100" s="663"/>
      <c r="K100" s="663"/>
      <c r="L100" s="663"/>
      <c r="M100" s="663"/>
      <c r="N100" s="663"/>
      <c r="O100" s="663"/>
      <c r="P100" s="663"/>
      <c r="Q100" s="663"/>
      <c r="R100" s="663"/>
      <c r="S100" s="663"/>
    </row>
    <row r="101" spans="1:19" ht="17" x14ac:dyDescent="0.15">
      <c r="A101" s="671" t="s">
        <v>153</v>
      </c>
      <c r="B101" s="86">
        <v>0</v>
      </c>
      <c r="C101" s="86">
        <v>0</v>
      </c>
      <c r="D101" s="663"/>
      <c r="E101" s="663"/>
      <c r="F101" s="663"/>
      <c r="G101" s="663"/>
      <c r="H101" s="663"/>
      <c r="I101" s="663"/>
      <c r="J101" s="663"/>
      <c r="K101" s="663"/>
      <c r="L101" s="663"/>
      <c r="M101" s="663"/>
      <c r="N101" s="663"/>
      <c r="O101" s="663"/>
      <c r="P101" s="663"/>
      <c r="Q101" s="663"/>
      <c r="R101" s="663"/>
      <c r="S101" s="663"/>
    </row>
    <row r="102" spans="1:19" ht="17" x14ac:dyDescent="0.15">
      <c r="A102" s="671" t="s">
        <v>78</v>
      </c>
      <c r="B102" s="86">
        <v>0</v>
      </c>
      <c r="C102" s="86">
        <v>0</v>
      </c>
      <c r="D102" s="663"/>
      <c r="E102" s="663"/>
      <c r="F102" s="663"/>
      <c r="G102" s="663"/>
      <c r="H102" s="663"/>
      <c r="I102" s="663"/>
      <c r="J102" s="663"/>
      <c r="K102" s="663"/>
      <c r="L102" s="663"/>
      <c r="M102" s="663"/>
      <c r="N102" s="663"/>
      <c r="O102" s="663"/>
      <c r="P102" s="663"/>
      <c r="Q102" s="663"/>
      <c r="R102" s="663"/>
      <c r="S102" s="663"/>
    </row>
    <row r="103" spans="1:19" ht="17" x14ac:dyDescent="0.15">
      <c r="A103" s="671" t="s">
        <v>79</v>
      </c>
      <c r="B103" s="86">
        <v>0</v>
      </c>
      <c r="C103" s="86">
        <v>0</v>
      </c>
      <c r="D103" s="663"/>
      <c r="E103" s="663"/>
      <c r="F103" s="663"/>
      <c r="G103" s="663"/>
      <c r="H103" s="663"/>
      <c r="I103" s="663"/>
      <c r="J103" s="663"/>
      <c r="K103" s="663"/>
      <c r="L103" s="663"/>
      <c r="M103" s="663"/>
      <c r="N103" s="663"/>
      <c r="O103" s="663"/>
      <c r="P103" s="663"/>
      <c r="Q103" s="663"/>
      <c r="R103" s="663"/>
      <c r="S103" s="663"/>
    </row>
    <row r="104" spans="1:19" ht="17" x14ac:dyDescent="0.15">
      <c r="A104" s="671" t="s">
        <v>154</v>
      </c>
      <c r="B104" s="86">
        <v>0</v>
      </c>
      <c r="C104" s="86">
        <v>0</v>
      </c>
      <c r="D104" s="663"/>
      <c r="E104" s="663"/>
      <c r="F104" s="663"/>
      <c r="G104" s="663"/>
      <c r="H104" s="663"/>
      <c r="I104" s="663"/>
      <c r="J104" s="663"/>
      <c r="K104" s="663"/>
      <c r="L104" s="663"/>
      <c r="M104" s="663"/>
      <c r="N104" s="663"/>
      <c r="O104" s="663"/>
      <c r="P104" s="663"/>
      <c r="Q104" s="663"/>
      <c r="R104" s="663"/>
      <c r="S104" s="663"/>
    </row>
    <row r="105" spans="1:19" ht="17" x14ac:dyDescent="0.15">
      <c r="A105" s="671" t="s">
        <v>155</v>
      </c>
      <c r="B105" s="86">
        <v>0</v>
      </c>
      <c r="C105" s="86">
        <v>0</v>
      </c>
      <c r="D105" s="663"/>
      <c r="E105" s="663"/>
      <c r="F105" s="663"/>
      <c r="G105" s="663"/>
      <c r="H105" s="663"/>
      <c r="I105" s="663"/>
      <c r="J105" s="663"/>
      <c r="K105" s="663"/>
      <c r="L105" s="663"/>
      <c r="M105" s="663"/>
      <c r="N105" s="663"/>
      <c r="O105" s="663"/>
      <c r="P105" s="663"/>
      <c r="Q105" s="663"/>
      <c r="R105" s="663"/>
      <c r="S105" s="663"/>
    </row>
    <row r="106" spans="1:19" ht="17" x14ac:dyDescent="0.15">
      <c r="A106" s="671" t="s">
        <v>156</v>
      </c>
      <c r="B106" s="86">
        <v>0</v>
      </c>
      <c r="C106" s="86">
        <v>0</v>
      </c>
      <c r="D106" s="663"/>
      <c r="E106" s="663"/>
      <c r="F106" s="663"/>
      <c r="G106" s="663"/>
      <c r="H106" s="663"/>
      <c r="I106" s="663"/>
      <c r="J106" s="663"/>
      <c r="K106" s="663"/>
      <c r="L106" s="663"/>
      <c r="M106" s="663"/>
      <c r="N106" s="663"/>
      <c r="O106" s="663"/>
      <c r="P106" s="663"/>
      <c r="Q106" s="663"/>
      <c r="R106" s="663"/>
      <c r="S106" s="663"/>
    </row>
    <row r="107" spans="1:19" ht="17" x14ac:dyDescent="0.15">
      <c r="A107" s="671" t="s">
        <v>80</v>
      </c>
      <c r="B107" s="86">
        <v>0</v>
      </c>
      <c r="C107" s="86">
        <v>0</v>
      </c>
      <c r="D107" s="663"/>
      <c r="E107" s="663"/>
      <c r="F107" s="663"/>
      <c r="G107" s="663"/>
      <c r="H107" s="663"/>
      <c r="I107" s="663"/>
      <c r="J107" s="663"/>
      <c r="K107" s="663"/>
      <c r="L107" s="663"/>
      <c r="M107" s="663"/>
      <c r="N107" s="663"/>
      <c r="O107" s="663"/>
      <c r="P107" s="663"/>
      <c r="Q107" s="663"/>
      <c r="R107" s="663"/>
      <c r="S107" s="663"/>
    </row>
    <row r="108" spans="1:19" ht="16" x14ac:dyDescent="0.15">
      <c r="A108" s="671"/>
      <c r="B108" s="672"/>
      <c r="C108" s="672"/>
      <c r="D108" s="663"/>
      <c r="E108" s="663"/>
      <c r="F108" s="663"/>
      <c r="G108" s="663"/>
      <c r="H108" s="663"/>
      <c r="I108" s="663"/>
      <c r="J108" s="663"/>
      <c r="K108" s="663"/>
      <c r="L108" s="663"/>
      <c r="M108" s="663"/>
      <c r="N108" s="663"/>
      <c r="O108" s="663"/>
      <c r="P108" s="663"/>
      <c r="Q108" s="663"/>
      <c r="R108" s="663"/>
      <c r="S108" s="663"/>
    </row>
    <row r="109" spans="1:19" x14ac:dyDescent="0.15">
      <c r="A109" s="678" t="s">
        <v>283</v>
      </c>
      <c r="B109" s="672"/>
      <c r="C109" s="672"/>
      <c r="D109" s="663"/>
      <c r="E109" s="663"/>
      <c r="F109" s="663"/>
      <c r="G109" s="663"/>
      <c r="H109" s="663"/>
      <c r="I109" s="663"/>
      <c r="J109" s="663"/>
      <c r="K109" s="663"/>
      <c r="L109" s="663"/>
      <c r="M109" s="663"/>
      <c r="N109" s="663"/>
      <c r="O109" s="663"/>
      <c r="P109" s="663"/>
      <c r="Q109" s="663"/>
      <c r="R109" s="663"/>
      <c r="S109" s="663"/>
    </row>
    <row r="110" spans="1:19" x14ac:dyDescent="0.15">
      <c r="A110" s="677" t="s">
        <v>290</v>
      </c>
      <c r="B110" s="156" t="s">
        <v>322</v>
      </c>
      <c r="C110" s="156" t="s">
        <v>321</v>
      </c>
      <c r="D110" s="663"/>
      <c r="E110" s="663"/>
      <c r="F110" s="663"/>
      <c r="G110" s="663"/>
      <c r="H110" s="663"/>
      <c r="I110" s="663"/>
      <c r="J110" s="663"/>
      <c r="K110" s="663"/>
      <c r="L110" s="663"/>
      <c r="M110" s="663"/>
      <c r="N110" s="663"/>
      <c r="O110" s="663"/>
      <c r="P110" s="663"/>
      <c r="Q110" s="663"/>
      <c r="R110" s="663"/>
      <c r="S110" s="663"/>
    </row>
    <row r="111" spans="1:19" ht="17" x14ac:dyDescent="0.15">
      <c r="A111" s="671" t="s">
        <v>76</v>
      </c>
      <c r="B111" s="86">
        <v>0</v>
      </c>
      <c r="C111" s="86">
        <v>0</v>
      </c>
      <c r="D111" s="663"/>
      <c r="E111" s="663"/>
      <c r="F111" s="663"/>
      <c r="G111" s="663"/>
      <c r="H111" s="663"/>
      <c r="I111" s="663"/>
      <c r="J111" s="663"/>
      <c r="K111" s="663"/>
      <c r="L111" s="663"/>
      <c r="M111" s="663"/>
      <c r="N111" s="663"/>
      <c r="O111" s="663"/>
      <c r="P111" s="663"/>
      <c r="Q111" s="663"/>
      <c r="R111" s="663"/>
      <c r="S111" s="663"/>
    </row>
    <row r="112" spans="1:19" ht="17" x14ac:dyDescent="0.15">
      <c r="A112" s="671" t="s">
        <v>148</v>
      </c>
      <c r="B112" s="86">
        <v>0</v>
      </c>
      <c r="C112" s="86">
        <v>0</v>
      </c>
      <c r="D112" s="663"/>
      <c r="E112" s="663"/>
      <c r="F112" s="663"/>
      <c r="G112" s="663"/>
      <c r="H112" s="663"/>
      <c r="I112" s="663"/>
      <c r="J112" s="663"/>
      <c r="K112" s="663"/>
      <c r="L112" s="663"/>
      <c r="M112" s="663"/>
      <c r="N112" s="663"/>
      <c r="O112" s="663"/>
      <c r="P112" s="663"/>
      <c r="Q112" s="663"/>
      <c r="R112" s="663"/>
      <c r="S112" s="663"/>
    </row>
    <row r="113" spans="1:19" ht="17" x14ac:dyDescent="0.15">
      <c r="A113" s="671" t="s">
        <v>77</v>
      </c>
      <c r="B113" s="86">
        <v>0</v>
      </c>
      <c r="C113" s="86">
        <v>0</v>
      </c>
      <c r="D113" s="663"/>
      <c r="E113" s="663"/>
      <c r="F113" s="663"/>
      <c r="G113" s="663"/>
      <c r="H113" s="663"/>
      <c r="I113" s="663"/>
      <c r="J113" s="663"/>
      <c r="K113" s="663"/>
      <c r="L113" s="663"/>
      <c r="M113" s="663"/>
      <c r="N113" s="663"/>
      <c r="O113" s="663"/>
      <c r="P113" s="663"/>
      <c r="Q113" s="663"/>
      <c r="R113" s="663"/>
      <c r="S113" s="663"/>
    </row>
    <row r="114" spans="1:19" ht="17" x14ac:dyDescent="0.15">
      <c r="A114" s="671" t="s">
        <v>149</v>
      </c>
      <c r="B114" s="86">
        <v>0</v>
      </c>
      <c r="C114" s="86">
        <v>0</v>
      </c>
      <c r="D114" s="663"/>
      <c r="E114" s="663"/>
      <c r="F114" s="663"/>
      <c r="G114" s="663"/>
      <c r="H114" s="663"/>
      <c r="I114" s="663"/>
      <c r="J114" s="663"/>
      <c r="K114" s="663"/>
      <c r="L114" s="663"/>
      <c r="M114" s="663"/>
      <c r="N114" s="663"/>
      <c r="O114" s="663"/>
      <c r="P114" s="663"/>
      <c r="Q114" s="663"/>
      <c r="R114" s="663"/>
      <c r="S114" s="663"/>
    </row>
    <row r="115" spans="1:19" ht="17" x14ac:dyDescent="0.15">
      <c r="A115" s="671" t="s">
        <v>150</v>
      </c>
      <c r="B115" s="86">
        <v>0</v>
      </c>
      <c r="C115" s="86">
        <v>0</v>
      </c>
      <c r="D115" s="663"/>
      <c r="E115" s="663"/>
      <c r="F115" s="663"/>
      <c r="G115" s="663"/>
      <c r="H115" s="663"/>
      <c r="I115" s="663"/>
      <c r="J115" s="663"/>
      <c r="K115" s="663"/>
      <c r="L115" s="663"/>
      <c r="M115" s="663"/>
      <c r="N115" s="663"/>
      <c r="O115" s="663"/>
      <c r="P115" s="663"/>
      <c r="Q115" s="663"/>
      <c r="R115" s="663"/>
      <c r="S115" s="663"/>
    </row>
    <row r="116" spans="1:19" ht="17" x14ac:dyDescent="0.15">
      <c r="A116" s="671" t="s">
        <v>151</v>
      </c>
      <c r="B116" s="86">
        <v>0</v>
      </c>
      <c r="C116" s="86">
        <v>0</v>
      </c>
      <c r="D116" s="663"/>
      <c r="E116" s="663"/>
      <c r="F116" s="663"/>
      <c r="G116" s="663"/>
      <c r="H116" s="663"/>
      <c r="I116" s="663"/>
      <c r="J116" s="663"/>
      <c r="K116" s="663"/>
      <c r="L116" s="663"/>
      <c r="M116" s="663"/>
      <c r="N116" s="663"/>
      <c r="O116" s="663"/>
      <c r="P116" s="663"/>
      <c r="Q116" s="663"/>
      <c r="R116" s="663"/>
      <c r="S116" s="663"/>
    </row>
    <row r="117" spans="1:19" ht="17" x14ac:dyDescent="0.15">
      <c r="A117" s="671" t="s">
        <v>152</v>
      </c>
      <c r="B117" s="86">
        <v>0</v>
      </c>
      <c r="C117" s="86">
        <v>0</v>
      </c>
      <c r="D117" s="663"/>
      <c r="E117" s="663"/>
      <c r="F117" s="663"/>
      <c r="G117" s="663"/>
      <c r="H117" s="663"/>
      <c r="I117" s="663"/>
      <c r="J117" s="663"/>
      <c r="K117" s="663"/>
      <c r="L117" s="663"/>
      <c r="M117" s="663"/>
      <c r="N117" s="663"/>
      <c r="O117" s="663"/>
      <c r="P117" s="663"/>
      <c r="Q117" s="663"/>
      <c r="R117" s="663"/>
      <c r="S117" s="663"/>
    </row>
    <row r="118" spans="1:19" ht="17" x14ac:dyDescent="0.15">
      <c r="A118" s="671" t="s">
        <v>153</v>
      </c>
      <c r="B118" s="86">
        <v>0</v>
      </c>
      <c r="C118" s="86">
        <v>0</v>
      </c>
      <c r="D118" s="663"/>
      <c r="E118" s="663"/>
      <c r="F118" s="663"/>
      <c r="G118" s="663"/>
      <c r="H118" s="663"/>
      <c r="I118" s="663"/>
      <c r="J118" s="663"/>
      <c r="K118" s="663"/>
      <c r="L118" s="663"/>
      <c r="M118" s="663"/>
      <c r="N118" s="663"/>
      <c r="O118" s="663"/>
      <c r="P118" s="663"/>
      <c r="Q118" s="663"/>
      <c r="R118" s="663"/>
      <c r="S118" s="663"/>
    </row>
    <row r="119" spans="1:19" ht="17" x14ac:dyDescent="0.15">
      <c r="A119" s="671" t="s">
        <v>78</v>
      </c>
      <c r="B119" s="86">
        <v>0</v>
      </c>
      <c r="C119" s="86">
        <v>0</v>
      </c>
      <c r="D119" s="663"/>
      <c r="E119" s="663"/>
      <c r="F119" s="663"/>
      <c r="G119" s="663"/>
      <c r="H119" s="663"/>
      <c r="I119" s="663"/>
      <c r="J119" s="663"/>
      <c r="K119" s="663"/>
      <c r="L119" s="663"/>
      <c r="M119" s="663"/>
      <c r="N119" s="663"/>
      <c r="O119" s="663"/>
      <c r="P119" s="663"/>
      <c r="Q119" s="663"/>
      <c r="R119" s="663"/>
      <c r="S119" s="663"/>
    </row>
    <row r="120" spans="1:19" ht="17" x14ac:dyDescent="0.15">
      <c r="A120" s="671" t="s">
        <v>79</v>
      </c>
      <c r="B120" s="86">
        <v>0</v>
      </c>
      <c r="C120" s="86">
        <v>0</v>
      </c>
      <c r="D120" s="663"/>
      <c r="E120" s="663"/>
      <c r="F120" s="663"/>
      <c r="G120" s="663"/>
      <c r="H120" s="663"/>
      <c r="I120" s="663"/>
      <c r="J120" s="663"/>
      <c r="K120" s="663"/>
      <c r="L120" s="663"/>
      <c r="M120" s="663"/>
      <c r="N120" s="663"/>
      <c r="O120" s="663"/>
      <c r="P120" s="663"/>
      <c r="Q120" s="663"/>
      <c r="R120" s="663"/>
      <c r="S120" s="663"/>
    </row>
    <row r="121" spans="1:19" ht="17" x14ac:dyDescent="0.15">
      <c r="A121" s="671" t="s">
        <v>154</v>
      </c>
      <c r="B121" s="86">
        <v>0</v>
      </c>
      <c r="C121" s="86">
        <v>0</v>
      </c>
      <c r="D121" s="663"/>
      <c r="E121" s="663"/>
      <c r="F121" s="663"/>
      <c r="G121" s="663"/>
      <c r="H121" s="663"/>
      <c r="I121" s="663"/>
      <c r="J121" s="663"/>
      <c r="K121" s="663"/>
      <c r="L121" s="663"/>
      <c r="M121" s="663"/>
      <c r="N121" s="663"/>
      <c r="O121" s="663"/>
      <c r="P121" s="663"/>
      <c r="Q121" s="663"/>
      <c r="R121" s="663"/>
      <c r="S121" s="663"/>
    </row>
    <row r="122" spans="1:19" ht="17" x14ac:dyDescent="0.15">
      <c r="A122" s="671" t="s">
        <v>155</v>
      </c>
      <c r="B122" s="86">
        <v>0</v>
      </c>
      <c r="C122" s="86">
        <v>0</v>
      </c>
      <c r="D122" s="663"/>
      <c r="E122" s="663"/>
      <c r="F122" s="663"/>
      <c r="G122" s="663"/>
      <c r="H122" s="663"/>
      <c r="I122" s="663"/>
      <c r="J122" s="663"/>
      <c r="K122" s="663"/>
      <c r="L122" s="663"/>
      <c r="M122" s="663"/>
      <c r="N122" s="663"/>
      <c r="O122" s="663"/>
      <c r="P122" s="663"/>
      <c r="Q122" s="663"/>
      <c r="R122" s="663"/>
      <c r="S122" s="663"/>
    </row>
    <row r="123" spans="1:19" ht="17" x14ac:dyDescent="0.15">
      <c r="A123" s="671" t="s">
        <v>156</v>
      </c>
      <c r="B123" s="86">
        <v>0</v>
      </c>
      <c r="C123" s="86">
        <v>0</v>
      </c>
      <c r="D123" s="663"/>
      <c r="E123" s="663"/>
      <c r="F123" s="663"/>
      <c r="G123" s="663"/>
      <c r="H123" s="663"/>
      <c r="I123" s="663"/>
      <c r="J123" s="663"/>
      <c r="K123" s="663"/>
      <c r="L123" s="663"/>
      <c r="M123" s="663"/>
      <c r="N123" s="663"/>
      <c r="O123" s="663"/>
      <c r="P123" s="663"/>
      <c r="Q123" s="663"/>
      <c r="R123" s="663"/>
      <c r="S123" s="663"/>
    </row>
    <row r="124" spans="1:19" ht="17" x14ac:dyDescent="0.15">
      <c r="A124" s="671" t="s">
        <v>80</v>
      </c>
      <c r="B124" s="86">
        <v>0</v>
      </c>
      <c r="C124" s="86">
        <v>0</v>
      </c>
      <c r="D124" s="663"/>
      <c r="E124" s="663"/>
      <c r="F124" s="663"/>
      <c r="G124" s="663"/>
      <c r="H124" s="663"/>
      <c r="I124" s="663"/>
      <c r="J124" s="663"/>
      <c r="K124" s="663"/>
      <c r="L124" s="663"/>
      <c r="M124" s="663"/>
      <c r="N124" s="663"/>
      <c r="O124" s="663"/>
      <c r="P124" s="663"/>
      <c r="Q124" s="663"/>
      <c r="R124" s="663"/>
      <c r="S124" s="663"/>
    </row>
    <row r="125" spans="1:19" ht="16" x14ac:dyDescent="0.15">
      <c r="A125" s="671"/>
      <c r="B125" s="672"/>
      <c r="C125" s="672"/>
      <c r="D125" s="663"/>
      <c r="E125" s="663"/>
      <c r="F125" s="663"/>
      <c r="G125" s="663"/>
      <c r="H125" s="663"/>
      <c r="I125" s="663"/>
      <c r="J125" s="663"/>
      <c r="K125" s="663"/>
      <c r="L125" s="663"/>
      <c r="M125" s="663"/>
      <c r="N125" s="663"/>
      <c r="O125" s="663"/>
      <c r="P125" s="663"/>
      <c r="Q125" s="663"/>
      <c r="R125" s="663"/>
      <c r="S125" s="663"/>
    </row>
    <row r="126" spans="1:19" x14ac:dyDescent="0.15">
      <c r="A126" s="678" t="s">
        <v>283</v>
      </c>
      <c r="B126" s="672"/>
      <c r="C126" s="672"/>
      <c r="D126" s="663"/>
      <c r="E126" s="663"/>
      <c r="F126" s="663"/>
      <c r="G126" s="663"/>
      <c r="H126" s="663"/>
      <c r="I126" s="663"/>
      <c r="J126" s="663"/>
      <c r="K126" s="663"/>
      <c r="L126" s="663"/>
      <c r="M126" s="663"/>
      <c r="N126" s="663"/>
      <c r="O126" s="663"/>
      <c r="P126" s="663"/>
      <c r="Q126" s="663"/>
      <c r="R126" s="663"/>
      <c r="S126" s="663"/>
    </row>
    <row r="127" spans="1:19" x14ac:dyDescent="0.15">
      <c r="A127" s="677" t="s">
        <v>291</v>
      </c>
      <c r="B127" s="156" t="s">
        <v>322</v>
      </c>
      <c r="C127" s="156" t="s">
        <v>321</v>
      </c>
      <c r="D127" s="663"/>
      <c r="E127" s="663"/>
      <c r="F127" s="663"/>
      <c r="G127" s="663"/>
      <c r="H127" s="663"/>
      <c r="I127" s="663"/>
      <c r="J127" s="663"/>
      <c r="K127" s="663"/>
      <c r="L127" s="663"/>
      <c r="M127" s="663"/>
      <c r="N127" s="663"/>
      <c r="O127" s="663"/>
      <c r="P127" s="663"/>
      <c r="Q127" s="663"/>
      <c r="R127" s="663"/>
      <c r="S127" s="663"/>
    </row>
    <row r="128" spans="1:19" ht="17" x14ac:dyDescent="0.15">
      <c r="A128" s="671" t="s">
        <v>76</v>
      </c>
      <c r="B128" s="86">
        <v>0</v>
      </c>
      <c r="C128" s="86">
        <v>0</v>
      </c>
      <c r="D128" s="663"/>
      <c r="E128" s="663"/>
      <c r="F128" s="663"/>
      <c r="G128" s="663"/>
      <c r="H128" s="663"/>
      <c r="I128" s="663"/>
      <c r="J128" s="663"/>
      <c r="K128" s="663"/>
      <c r="L128" s="663"/>
      <c r="M128" s="663"/>
      <c r="N128" s="663"/>
      <c r="O128" s="663"/>
      <c r="P128" s="663"/>
      <c r="Q128" s="663"/>
      <c r="R128" s="663"/>
      <c r="S128" s="663"/>
    </row>
    <row r="129" spans="1:19" ht="17" x14ac:dyDescent="0.15">
      <c r="A129" s="671" t="s">
        <v>148</v>
      </c>
      <c r="B129" s="86">
        <v>0</v>
      </c>
      <c r="C129" s="86">
        <v>0</v>
      </c>
      <c r="D129" s="663"/>
      <c r="E129" s="663"/>
      <c r="F129" s="663"/>
      <c r="G129" s="663"/>
      <c r="H129" s="663"/>
      <c r="I129" s="663"/>
      <c r="J129" s="663"/>
      <c r="K129" s="663"/>
      <c r="L129" s="663"/>
      <c r="M129" s="663"/>
      <c r="N129" s="663"/>
      <c r="O129" s="663"/>
      <c r="P129" s="663"/>
      <c r="Q129" s="663"/>
      <c r="R129" s="663"/>
      <c r="S129" s="663"/>
    </row>
    <row r="130" spans="1:19" ht="17" x14ac:dyDescent="0.15">
      <c r="A130" s="671" t="s">
        <v>77</v>
      </c>
      <c r="B130" s="86">
        <v>0</v>
      </c>
      <c r="C130" s="86">
        <v>0</v>
      </c>
      <c r="D130" s="663"/>
      <c r="E130" s="663"/>
      <c r="F130" s="663"/>
      <c r="G130" s="663"/>
      <c r="H130" s="663"/>
      <c r="I130" s="663"/>
      <c r="J130" s="663"/>
      <c r="K130" s="663"/>
      <c r="L130" s="663"/>
      <c r="M130" s="663"/>
      <c r="N130" s="663"/>
      <c r="O130" s="663"/>
      <c r="P130" s="663"/>
      <c r="Q130" s="663"/>
      <c r="R130" s="663"/>
      <c r="S130" s="663"/>
    </row>
    <row r="131" spans="1:19" ht="17" x14ac:dyDescent="0.15">
      <c r="A131" s="671" t="s">
        <v>149</v>
      </c>
      <c r="B131" s="86">
        <v>0</v>
      </c>
      <c r="C131" s="86">
        <v>0</v>
      </c>
      <c r="D131" s="663"/>
      <c r="E131" s="663"/>
      <c r="F131" s="663"/>
      <c r="G131" s="663"/>
      <c r="H131" s="663"/>
      <c r="I131" s="663"/>
      <c r="J131" s="663"/>
      <c r="K131" s="663"/>
      <c r="L131" s="663"/>
      <c r="M131" s="663"/>
      <c r="N131" s="663"/>
      <c r="O131" s="663"/>
      <c r="P131" s="663"/>
      <c r="Q131" s="663"/>
      <c r="R131" s="663"/>
      <c r="S131" s="663"/>
    </row>
    <row r="132" spans="1:19" ht="17" x14ac:dyDescent="0.15">
      <c r="A132" s="671" t="s">
        <v>150</v>
      </c>
      <c r="B132" s="86">
        <v>0</v>
      </c>
      <c r="C132" s="86">
        <v>0</v>
      </c>
      <c r="D132" s="663"/>
      <c r="E132" s="663"/>
      <c r="F132" s="663"/>
      <c r="G132" s="663"/>
      <c r="H132" s="663"/>
      <c r="I132" s="663"/>
      <c r="J132" s="663"/>
      <c r="K132" s="663"/>
      <c r="L132" s="663"/>
      <c r="M132" s="663"/>
      <c r="N132" s="663"/>
      <c r="O132" s="663"/>
      <c r="P132" s="663"/>
      <c r="Q132" s="663"/>
      <c r="R132" s="663"/>
      <c r="S132" s="663"/>
    </row>
    <row r="133" spans="1:19" ht="17" x14ac:dyDescent="0.15">
      <c r="A133" s="671" t="s">
        <v>151</v>
      </c>
      <c r="B133" s="86">
        <v>0</v>
      </c>
      <c r="C133" s="86">
        <v>0</v>
      </c>
      <c r="D133" s="663"/>
      <c r="E133" s="663"/>
      <c r="F133" s="663"/>
      <c r="G133" s="663"/>
      <c r="H133" s="663"/>
      <c r="I133" s="663"/>
      <c r="J133" s="663"/>
      <c r="K133" s="663"/>
      <c r="L133" s="663"/>
      <c r="M133" s="663"/>
      <c r="N133" s="663"/>
      <c r="O133" s="663"/>
      <c r="P133" s="663"/>
      <c r="Q133" s="663"/>
      <c r="R133" s="663"/>
      <c r="S133" s="663"/>
    </row>
    <row r="134" spans="1:19" ht="17" x14ac:dyDescent="0.15">
      <c r="A134" s="671" t="s">
        <v>152</v>
      </c>
      <c r="B134" s="86">
        <v>0</v>
      </c>
      <c r="C134" s="86">
        <v>0</v>
      </c>
      <c r="D134" s="663"/>
      <c r="E134" s="663"/>
      <c r="F134" s="663"/>
      <c r="G134" s="663"/>
      <c r="H134" s="663"/>
      <c r="I134" s="663"/>
      <c r="J134" s="663"/>
      <c r="K134" s="663"/>
      <c r="L134" s="663"/>
      <c r="M134" s="663"/>
      <c r="N134" s="663"/>
      <c r="O134" s="663"/>
      <c r="P134" s="663"/>
      <c r="Q134" s="663"/>
      <c r="R134" s="663"/>
      <c r="S134" s="663"/>
    </row>
    <row r="135" spans="1:19" ht="17" x14ac:dyDescent="0.15">
      <c r="A135" s="671" t="s">
        <v>153</v>
      </c>
      <c r="B135" s="86">
        <v>0</v>
      </c>
      <c r="C135" s="86">
        <v>0</v>
      </c>
      <c r="D135" s="663"/>
      <c r="E135" s="663"/>
      <c r="F135" s="663"/>
      <c r="G135" s="663"/>
      <c r="H135" s="663"/>
      <c r="I135" s="663"/>
      <c r="J135" s="663"/>
      <c r="K135" s="663"/>
      <c r="L135" s="663"/>
      <c r="M135" s="663"/>
      <c r="N135" s="663"/>
      <c r="O135" s="663"/>
      <c r="P135" s="663"/>
      <c r="Q135" s="663"/>
      <c r="R135" s="663"/>
      <c r="S135" s="663"/>
    </row>
    <row r="136" spans="1:19" ht="17" x14ac:dyDescent="0.15">
      <c r="A136" s="671" t="s">
        <v>78</v>
      </c>
      <c r="B136" s="86">
        <v>0</v>
      </c>
      <c r="C136" s="86">
        <v>0</v>
      </c>
      <c r="D136" s="663"/>
      <c r="E136" s="663"/>
      <c r="F136" s="663"/>
      <c r="G136" s="663"/>
      <c r="H136" s="663"/>
      <c r="I136" s="663"/>
      <c r="J136" s="663"/>
      <c r="K136" s="663"/>
      <c r="L136" s="663"/>
      <c r="M136" s="663"/>
      <c r="N136" s="663"/>
      <c r="O136" s="663"/>
      <c r="P136" s="663"/>
      <c r="Q136" s="663"/>
      <c r="R136" s="663"/>
      <c r="S136" s="663"/>
    </row>
    <row r="137" spans="1:19" ht="17" x14ac:dyDescent="0.15">
      <c r="A137" s="671" t="s">
        <v>79</v>
      </c>
      <c r="B137" s="86">
        <v>0</v>
      </c>
      <c r="C137" s="86">
        <v>0</v>
      </c>
      <c r="D137" s="663"/>
      <c r="E137" s="663"/>
      <c r="F137" s="663"/>
      <c r="G137" s="663"/>
      <c r="H137" s="663"/>
      <c r="I137" s="663"/>
      <c r="J137" s="663"/>
      <c r="K137" s="663"/>
      <c r="L137" s="663"/>
      <c r="M137" s="663"/>
      <c r="N137" s="663"/>
      <c r="O137" s="663"/>
      <c r="P137" s="663"/>
      <c r="Q137" s="663"/>
      <c r="R137" s="663"/>
      <c r="S137" s="663"/>
    </row>
    <row r="138" spans="1:19" ht="17" x14ac:dyDescent="0.15">
      <c r="A138" s="671" t="s">
        <v>154</v>
      </c>
      <c r="B138" s="86">
        <v>0</v>
      </c>
      <c r="C138" s="86">
        <v>0</v>
      </c>
      <c r="D138" s="663"/>
      <c r="E138" s="663"/>
      <c r="F138" s="663"/>
      <c r="G138" s="663"/>
      <c r="H138" s="663"/>
      <c r="I138" s="663"/>
      <c r="J138" s="663"/>
      <c r="K138" s="663"/>
      <c r="L138" s="663"/>
      <c r="M138" s="663"/>
      <c r="N138" s="663"/>
      <c r="O138" s="663"/>
      <c r="P138" s="663"/>
      <c r="Q138" s="663"/>
      <c r="R138" s="663"/>
      <c r="S138" s="663"/>
    </row>
    <row r="139" spans="1:19" ht="17" x14ac:dyDescent="0.15">
      <c r="A139" s="671" t="s">
        <v>155</v>
      </c>
      <c r="B139" s="86">
        <v>0</v>
      </c>
      <c r="C139" s="86">
        <v>0</v>
      </c>
      <c r="D139" s="663"/>
      <c r="E139" s="663"/>
      <c r="F139" s="663"/>
      <c r="G139" s="663"/>
      <c r="H139" s="663"/>
      <c r="I139" s="663"/>
      <c r="J139" s="663"/>
      <c r="K139" s="663"/>
      <c r="L139" s="663"/>
      <c r="M139" s="663"/>
      <c r="N139" s="663"/>
      <c r="O139" s="663"/>
      <c r="P139" s="663"/>
      <c r="Q139" s="663"/>
      <c r="R139" s="663"/>
      <c r="S139" s="663"/>
    </row>
    <row r="140" spans="1:19" ht="17" x14ac:dyDescent="0.15">
      <c r="A140" s="671" t="s">
        <v>156</v>
      </c>
      <c r="B140" s="86">
        <v>0</v>
      </c>
      <c r="C140" s="86">
        <v>0</v>
      </c>
      <c r="D140" s="663"/>
      <c r="E140" s="663"/>
      <c r="F140" s="663"/>
      <c r="G140" s="663"/>
      <c r="H140" s="663"/>
      <c r="I140" s="663"/>
      <c r="J140" s="663"/>
      <c r="K140" s="663"/>
      <c r="L140" s="663"/>
      <c r="M140" s="663"/>
      <c r="N140" s="663"/>
      <c r="O140" s="663"/>
      <c r="P140" s="663"/>
      <c r="Q140" s="663"/>
      <c r="R140" s="663"/>
      <c r="S140" s="663"/>
    </row>
    <row r="141" spans="1:19" ht="17" x14ac:dyDescent="0.15">
      <c r="A141" s="671" t="s">
        <v>80</v>
      </c>
      <c r="B141" s="86">
        <v>0</v>
      </c>
      <c r="C141" s="86">
        <v>0</v>
      </c>
      <c r="D141" s="663"/>
      <c r="E141" s="663"/>
      <c r="F141" s="663"/>
      <c r="G141" s="663"/>
      <c r="H141" s="663"/>
      <c r="I141" s="663"/>
      <c r="J141" s="663"/>
      <c r="K141" s="663"/>
      <c r="L141" s="663"/>
      <c r="M141" s="663"/>
      <c r="N141" s="663"/>
      <c r="O141" s="663"/>
      <c r="P141" s="663"/>
      <c r="Q141" s="663"/>
      <c r="R141" s="663"/>
      <c r="S141" s="663"/>
    </row>
    <row r="142" spans="1:19" x14ac:dyDescent="0.15">
      <c r="A142" s="663"/>
      <c r="B142" s="672"/>
      <c r="C142" s="672"/>
      <c r="D142" s="663"/>
      <c r="E142" s="663"/>
      <c r="F142" s="663"/>
      <c r="G142" s="663"/>
      <c r="H142" s="663"/>
      <c r="I142" s="663"/>
      <c r="J142" s="663"/>
      <c r="K142" s="663"/>
      <c r="L142" s="663"/>
      <c r="M142" s="663"/>
      <c r="N142" s="663"/>
      <c r="O142" s="663"/>
      <c r="P142" s="663"/>
      <c r="Q142" s="663"/>
      <c r="R142" s="663"/>
      <c r="S142" s="663"/>
    </row>
    <row r="143" spans="1:19" x14ac:dyDescent="0.15">
      <c r="A143" s="678" t="s">
        <v>283</v>
      </c>
      <c r="B143" s="672"/>
      <c r="C143" s="672"/>
      <c r="D143" s="663"/>
      <c r="E143" s="663"/>
      <c r="F143" s="663"/>
      <c r="G143" s="663"/>
      <c r="H143" s="663"/>
      <c r="I143" s="663"/>
      <c r="J143" s="663"/>
      <c r="K143" s="663"/>
      <c r="L143" s="663"/>
      <c r="M143" s="663"/>
      <c r="N143" s="663"/>
      <c r="O143" s="663"/>
      <c r="P143" s="663"/>
      <c r="Q143" s="663"/>
      <c r="R143" s="663"/>
      <c r="S143" s="663"/>
    </row>
    <row r="144" spans="1:19" x14ac:dyDescent="0.15">
      <c r="A144" s="677" t="s">
        <v>292</v>
      </c>
      <c r="B144" s="156" t="s">
        <v>322</v>
      </c>
      <c r="C144" s="156" t="s">
        <v>321</v>
      </c>
      <c r="D144" s="663"/>
      <c r="E144" s="663"/>
      <c r="F144" s="663"/>
      <c r="G144" s="663"/>
      <c r="H144" s="663"/>
      <c r="I144" s="663"/>
      <c r="J144" s="663"/>
      <c r="K144" s="663"/>
      <c r="L144" s="663"/>
      <c r="M144" s="663"/>
      <c r="N144" s="663"/>
      <c r="O144" s="663"/>
      <c r="P144" s="663"/>
      <c r="Q144" s="663"/>
      <c r="R144" s="663"/>
      <c r="S144" s="663"/>
    </row>
    <row r="145" spans="1:19" ht="17" x14ac:dyDescent="0.15">
      <c r="A145" s="671" t="s">
        <v>76</v>
      </c>
      <c r="B145" s="86">
        <v>0</v>
      </c>
      <c r="C145" s="86">
        <v>0</v>
      </c>
      <c r="D145" s="663"/>
      <c r="E145" s="663"/>
      <c r="F145" s="663"/>
      <c r="G145" s="663"/>
      <c r="H145" s="663"/>
      <c r="I145" s="663"/>
      <c r="J145" s="663"/>
      <c r="K145" s="663"/>
      <c r="L145" s="663"/>
      <c r="M145" s="663"/>
      <c r="N145" s="663"/>
      <c r="O145" s="663"/>
      <c r="P145" s="663"/>
      <c r="Q145" s="663"/>
      <c r="R145" s="663"/>
      <c r="S145" s="663"/>
    </row>
    <row r="146" spans="1:19" ht="17" x14ac:dyDescent="0.15">
      <c r="A146" s="671" t="s">
        <v>148</v>
      </c>
      <c r="B146" s="86">
        <v>0</v>
      </c>
      <c r="C146" s="86">
        <v>0</v>
      </c>
      <c r="D146" s="663"/>
      <c r="E146" s="663"/>
      <c r="F146" s="663"/>
      <c r="G146" s="663"/>
      <c r="H146" s="663"/>
      <c r="I146" s="663"/>
      <c r="J146" s="663"/>
      <c r="K146" s="663"/>
      <c r="L146" s="663"/>
      <c r="M146" s="663"/>
      <c r="N146" s="663"/>
      <c r="O146" s="663"/>
      <c r="P146" s="663"/>
      <c r="Q146" s="663"/>
      <c r="R146" s="663"/>
      <c r="S146" s="663"/>
    </row>
    <row r="147" spans="1:19" ht="17" x14ac:dyDescent="0.15">
      <c r="A147" s="671" t="s">
        <v>77</v>
      </c>
      <c r="B147" s="86">
        <v>0</v>
      </c>
      <c r="C147" s="86">
        <v>0</v>
      </c>
      <c r="D147" s="663"/>
      <c r="E147" s="663"/>
      <c r="F147" s="663"/>
      <c r="G147" s="663"/>
      <c r="H147" s="663"/>
      <c r="I147" s="663"/>
      <c r="J147" s="663"/>
      <c r="K147" s="663"/>
      <c r="L147" s="663"/>
      <c r="M147" s="663"/>
      <c r="N147" s="663"/>
      <c r="O147" s="663"/>
      <c r="P147" s="663"/>
      <c r="Q147" s="663"/>
      <c r="R147" s="663"/>
      <c r="S147" s="663"/>
    </row>
    <row r="148" spans="1:19" ht="17" x14ac:dyDescent="0.15">
      <c r="A148" s="671" t="s">
        <v>149</v>
      </c>
      <c r="B148" s="86">
        <v>0</v>
      </c>
      <c r="C148" s="86">
        <v>0</v>
      </c>
      <c r="D148" s="663"/>
      <c r="E148" s="663"/>
      <c r="F148" s="663"/>
      <c r="G148" s="663"/>
      <c r="H148" s="663"/>
      <c r="I148" s="663"/>
      <c r="J148" s="663"/>
      <c r="K148" s="663"/>
      <c r="L148" s="663"/>
      <c r="M148" s="663"/>
      <c r="N148" s="663"/>
      <c r="O148" s="663"/>
      <c r="P148" s="663"/>
      <c r="Q148" s="663"/>
      <c r="R148" s="663"/>
      <c r="S148" s="663"/>
    </row>
    <row r="149" spans="1:19" ht="17" x14ac:dyDescent="0.15">
      <c r="A149" s="671" t="s">
        <v>150</v>
      </c>
      <c r="B149" s="86">
        <v>0</v>
      </c>
      <c r="C149" s="86">
        <v>0</v>
      </c>
      <c r="D149" s="663"/>
      <c r="E149" s="663"/>
      <c r="F149" s="663"/>
      <c r="G149" s="663"/>
      <c r="H149" s="663"/>
      <c r="I149" s="663"/>
      <c r="J149" s="663"/>
      <c r="K149" s="663"/>
      <c r="L149" s="663"/>
      <c r="M149" s="663"/>
      <c r="N149" s="663"/>
      <c r="O149" s="663"/>
      <c r="P149" s="663"/>
      <c r="Q149" s="663"/>
      <c r="R149" s="663"/>
      <c r="S149" s="663"/>
    </row>
    <row r="150" spans="1:19" ht="17" x14ac:dyDescent="0.15">
      <c r="A150" s="671" t="s">
        <v>151</v>
      </c>
      <c r="B150" s="86">
        <v>0</v>
      </c>
      <c r="C150" s="86">
        <v>0</v>
      </c>
      <c r="D150" s="663"/>
      <c r="E150" s="663"/>
      <c r="F150" s="663"/>
      <c r="G150" s="663"/>
      <c r="H150" s="663"/>
      <c r="I150" s="663"/>
      <c r="J150" s="663"/>
      <c r="K150" s="663"/>
      <c r="L150" s="663"/>
      <c r="M150" s="663"/>
      <c r="N150" s="663"/>
      <c r="O150" s="663"/>
      <c r="P150" s="663"/>
      <c r="Q150" s="663"/>
      <c r="R150" s="663"/>
      <c r="S150" s="663"/>
    </row>
    <row r="151" spans="1:19" ht="17" x14ac:dyDescent="0.15">
      <c r="A151" s="671" t="s">
        <v>152</v>
      </c>
      <c r="B151" s="86">
        <v>0</v>
      </c>
      <c r="C151" s="86">
        <v>0</v>
      </c>
      <c r="D151" s="663"/>
      <c r="E151" s="663"/>
      <c r="F151" s="663"/>
      <c r="G151" s="663"/>
      <c r="H151" s="663"/>
      <c r="I151" s="663"/>
      <c r="J151" s="663"/>
      <c r="K151" s="663"/>
      <c r="L151" s="663"/>
      <c r="M151" s="663"/>
      <c r="N151" s="663"/>
      <c r="O151" s="663"/>
      <c r="P151" s="663"/>
      <c r="Q151" s="663"/>
      <c r="R151" s="663"/>
      <c r="S151" s="663"/>
    </row>
    <row r="152" spans="1:19" ht="17" x14ac:dyDescent="0.15">
      <c r="A152" s="671" t="s">
        <v>153</v>
      </c>
      <c r="B152" s="86">
        <v>0</v>
      </c>
      <c r="C152" s="86">
        <v>0</v>
      </c>
      <c r="D152" s="663"/>
      <c r="E152" s="663"/>
      <c r="F152" s="663"/>
      <c r="G152" s="663"/>
      <c r="H152" s="663"/>
      <c r="I152" s="663"/>
      <c r="J152" s="663"/>
      <c r="K152" s="663"/>
      <c r="L152" s="663"/>
      <c r="M152" s="663"/>
      <c r="N152" s="663"/>
      <c r="O152" s="663"/>
      <c r="P152" s="663"/>
      <c r="Q152" s="663"/>
      <c r="R152" s="663"/>
      <c r="S152" s="663"/>
    </row>
    <row r="153" spans="1:19" ht="17" x14ac:dyDescent="0.15">
      <c r="A153" s="671" t="s">
        <v>78</v>
      </c>
      <c r="B153" s="86">
        <v>0</v>
      </c>
      <c r="C153" s="86">
        <v>0</v>
      </c>
      <c r="D153" s="663"/>
      <c r="E153" s="663"/>
      <c r="F153" s="663"/>
      <c r="G153" s="663"/>
      <c r="H153" s="663"/>
      <c r="I153" s="663"/>
      <c r="J153" s="663"/>
      <c r="K153" s="663"/>
      <c r="L153" s="663"/>
      <c r="M153" s="663"/>
      <c r="N153" s="663"/>
      <c r="O153" s="663"/>
      <c r="P153" s="663"/>
      <c r="Q153" s="663"/>
      <c r="R153" s="663"/>
      <c r="S153" s="663"/>
    </row>
    <row r="154" spans="1:19" ht="17" x14ac:dyDescent="0.15">
      <c r="A154" s="671" t="s">
        <v>79</v>
      </c>
      <c r="B154" s="86">
        <v>0</v>
      </c>
      <c r="C154" s="86">
        <v>0</v>
      </c>
      <c r="D154" s="663"/>
      <c r="E154" s="663"/>
      <c r="F154" s="663"/>
      <c r="G154" s="663"/>
      <c r="H154" s="663"/>
      <c r="I154" s="663"/>
      <c r="J154" s="663"/>
      <c r="K154" s="663"/>
      <c r="L154" s="663"/>
      <c r="M154" s="663"/>
      <c r="N154" s="663"/>
      <c r="O154" s="663"/>
      <c r="P154" s="663"/>
      <c r="Q154" s="663"/>
      <c r="R154" s="663"/>
      <c r="S154" s="663"/>
    </row>
    <row r="155" spans="1:19" ht="17" x14ac:dyDescent="0.15">
      <c r="A155" s="671" t="s">
        <v>154</v>
      </c>
      <c r="B155" s="86">
        <v>0</v>
      </c>
      <c r="C155" s="86">
        <v>0</v>
      </c>
      <c r="D155" s="663"/>
      <c r="E155" s="663"/>
      <c r="F155" s="663"/>
      <c r="G155" s="663"/>
      <c r="H155" s="663"/>
      <c r="I155" s="663"/>
      <c r="J155" s="663"/>
      <c r="K155" s="663"/>
      <c r="L155" s="663"/>
      <c r="M155" s="663"/>
      <c r="N155" s="663"/>
      <c r="O155" s="663"/>
      <c r="P155" s="663"/>
      <c r="Q155" s="663"/>
      <c r="R155" s="663"/>
      <c r="S155" s="663"/>
    </row>
    <row r="156" spans="1:19" ht="17" x14ac:dyDescent="0.15">
      <c r="A156" s="671" t="s">
        <v>155</v>
      </c>
      <c r="B156" s="86">
        <v>0</v>
      </c>
      <c r="C156" s="86">
        <v>0</v>
      </c>
      <c r="D156" s="663"/>
      <c r="E156" s="663"/>
      <c r="F156" s="663"/>
      <c r="G156" s="663"/>
      <c r="H156" s="663"/>
      <c r="I156" s="663"/>
      <c r="J156" s="663"/>
      <c r="K156" s="663"/>
      <c r="L156" s="663"/>
      <c r="M156" s="663"/>
      <c r="N156" s="663"/>
      <c r="O156" s="663"/>
      <c r="P156" s="663"/>
      <c r="Q156" s="663"/>
      <c r="R156" s="663"/>
      <c r="S156" s="663"/>
    </row>
    <row r="157" spans="1:19" ht="17" x14ac:dyDescent="0.15">
      <c r="A157" s="671" t="s">
        <v>156</v>
      </c>
      <c r="B157" s="86">
        <v>0</v>
      </c>
      <c r="C157" s="86">
        <v>0</v>
      </c>
      <c r="D157" s="663"/>
      <c r="E157" s="663"/>
      <c r="F157" s="663"/>
      <c r="G157" s="663"/>
      <c r="H157" s="663"/>
      <c r="I157" s="663"/>
      <c r="J157" s="663"/>
      <c r="K157" s="663"/>
      <c r="L157" s="663"/>
      <c r="M157" s="663"/>
      <c r="N157" s="663"/>
      <c r="O157" s="663"/>
      <c r="P157" s="663"/>
      <c r="Q157" s="663"/>
      <c r="R157" s="663"/>
      <c r="S157" s="663"/>
    </row>
    <row r="158" spans="1:19" ht="17" x14ac:dyDescent="0.15">
      <c r="A158" s="671" t="s">
        <v>80</v>
      </c>
      <c r="B158" s="86">
        <v>0</v>
      </c>
      <c r="C158" s="86">
        <v>0</v>
      </c>
      <c r="D158" s="663"/>
      <c r="E158" s="663"/>
      <c r="F158" s="663"/>
      <c r="G158" s="663"/>
      <c r="H158" s="663"/>
      <c r="I158" s="663"/>
      <c r="J158" s="663"/>
      <c r="K158" s="663"/>
      <c r="L158" s="663"/>
      <c r="M158" s="663"/>
      <c r="N158" s="663"/>
      <c r="O158" s="663"/>
      <c r="P158" s="663"/>
      <c r="Q158" s="663"/>
      <c r="R158" s="663"/>
      <c r="S158" s="663"/>
    </row>
    <row r="159" spans="1:19" x14ac:dyDescent="0.15">
      <c r="A159" s="663"/>
      <c r="B159" s="663"/>
      <c r="C159" s="663"/>
      <c r="D159" s="663"/>
      <c r="E159" s="663"/>
      <c r="F159" s="663"/>
      <c r="G159" s="663"/>
      <c r="H159" s="663"/>
      <c r="I159" s="663"/>
      <c r="J159" s="663"/>
      <c r="K159" s="663"/>
      <c r="L159" s="663"/>
      <c r="M159" s="663"/>
      <c r="N159" s="663"/>
      <c r="O159" s="663"/>
      <c r="P159" s="663"/>
      <c r="Q159" s="663"/>
      <c r="R159" s="663"/>
      <c r="S159" s="663"/>
    </row>
    <row r="160" spans="1:19" x14ac:dyDescent="0.15">
      <c r="A160" s="679" t="s">
        <v>609</v>
      </c>
      <c r="B160" s="680"/>
      <c r="C160" s="680"/>
      <c r="D160" s="663"/>
      <c r="E160" s="663"/>
      <c r="F160" s="663"/>
      <c r="G160" s="663"/>
      <c r="H160" s="663"/>
      <c r="I160" s="663"/>
      <c r="J160" s="663"/>
      <c r="K160" s="663"/>
      <c r="L160" s="663"/>
      <c r="M160" s="663"/>
      <c r="N160" s="663"/>
      <c r="O160" s="663"/>
      <c r="P160" s="663"/>
      <c r="Q160" s="663"/>
      <c r="R160" s="663"/>
      <c r="S160" s="663"/>
    </row>
    <row r="161" spans="1:19" x14ac:dyDescent="0.15">
      <c r="A161" s="681" t="s">
        <v>632</v>
      </c>
      <c r="B161" s="279" t="s">
        <v>322</v>
      </c>
      <c r="C161" s="279" t="s">
        <v>321</v>
      </c>
      <c r="D161" s="663"/>
      <c r="E161" s="663"/>
      <c r="F161" s="663"/>
      <c r="G161" s="663"/>
      <c r="H161" s="663"/>
      <c r="I161" s="663"/>
      <c r="J161" s="663"/>
      <c r="K161" s="663"/>
      <c r="L161" s="663"/>
      <c r="M161" s="663"/>
      <c r="N161" s="663"/>
      <c r="O161" s="663"/>
      <c r="P161" s="663"/>
      <c r="Q161" s="663"/>
      <c r="R161" s="663"/>
      <c r="S161" s="663"/>
    </row>
    <row r="162" spans="1:19" ht="17" x14ac:dyDescent="0.15">
      <c r="A162" s="682" t="s">
        <v>76</v>
      </c>
      <c r="B162" s="280">
        <v>0</v>
      </c>
      <c r="C162" s="280">
        <v>0</v>
      </c>
      <c r="D162" s="663"/>
      <c r="E162" s="663"/>
      <c r="F162" s="663"/>
      <c r="G162" s="663"/>
      <c r="H162" s="663"/>
      <c r="I162" s="663"/>
      <c r="J162" s="663"/>
      <c r="K162" s="663"/>
      <c r="L162" s="663"/>
      <c r="M162" s="663"/>
      <c r="N162" s="663"/>
      <c r="O162" s="663"/>
      <c r="P162" s="663"/>
      <c r="Q162" s="663"/>
      <c r="R162" s="663"/>
      <c r="S162" s="663"/>
    </row>
    <row r="163" spans="1:19" ht="17" x14ac:dyDescent="0.15">
      <c r="A163" s="682" t="s">
        <v>148</v>
      </c>
      <c r="B163" s="280">
        <v>0</v>
      </c>
      <c r="C163" s="280">
        <v>0</v>
      </c>
      <c r="D163" s="663"/>
      <c r="E163" s="663"/>
      <c r="F163" s="663"/>
      <c r="G163" s="663"/>
      <c r="H163" s="663"/>
      <c r="I163" s="663"/>
      <c r="J163" s="663"/>
      <c r="K163" s="663"/>
      <c r="L163" s="663"/>
      <c r="M163" s="663"/>
      <c r="N163" s="663"/>
      <c r="O163" s="663"/>
      <c r="P163" s="663"/>
      <c r="Q163" s="663"/>
      <c r="R163" s="663"/>
      <c r="S163" s="663"/>
    </row>
    <row r="164" spans="1:19" ht="17" x14ac:dyDescent="0.15">
      <c r="A164" s="682" t="s">
        <v>77</v>
      </c>
      <c r="B164" s="280">
        <v>0</v>
      </c>
      <c r="C164" s="280">
        <v>0</v>
      </c>
      <c r="D164" s="663"/>
      <c r="E164" s="663"/>
      <c r="F164" s="663"/>
      <c r="G164" s="663"/>
      <c r="H164" s="663"/>
      <c r="I164" s="663"/>
      <c r="J164" s="663"/>
      <c r="K164" s="663"/>
      <c r="L164" s="663"/>
      <c r="M164" s="663"/>
      <c r="N164" s="663"/>
      <c r="O164" s="663"/>
      <c r="P164" s="663"/>
      <c r="Q164" s="663"/>
      <c r="R164" s="663"/>
      <c r="S164" s="663"/>
    </row>
    <row r="165" spans="1:19" ht="17" x14ac:dyDescent="0.15">
      <c r="A165" s="682" t="s">
        <v>149</v>
      </c>
      <c r="B165" s="280">
        <v>0</v>
      </c>
      <c r="C165" s="280">
        <v>0</v>
      </c>
      <c r="D165" s="663"/>
      <c r="E165" s="663"/>
      <c r="F165" s="663"/>
      <c r="G165" s="663"/>
      <c r="H165" s="663"/>
      <c r="I165" s="663"/>
      <c r="J165" s="663"/>
      <c r="K165" s="663"/>
      <c r="L165" s="663"/>
      <c r="M165" s="663"/>
      <c r="N165" s="663"/>
      <c r="O165" s="663"/>
      <c r="P165" s="663"/>
      <c r="Q165" s="663"/>
      <c r="R165" s="663"/>
      <c r="S165" s="663"/>
    </row>
    <row r="166" spans="1:19" ht="17" x14ac:dyDescent="0.15">
      <c r="A166" s="682" t="s">
        <v>150</v>
      </c>
      <c r="B166" s="280">
        <v>0</v>
      </c>
      <c r="C166" s="280">
        <v>0</v>
      </c>
      <c r="D166" s="663"/>
      <c r="E166" s="663"/>
      <c r="F166" s="663"/>
      <c r="G166" s="663"/>
      <c r="H166" s="663"/>
      <c r="I166" s="663"/>
      <c r="J166" s="663"/>
      <c r="K166" s="663"/>
      <c r="L166" s="663"/>
      <c r="M166" s="663"/>
      <c r="N166" s="663"/>
      <c r="O166" s="663"/>
      <c r="P166" s="663"/>
      <c r="Q166" s="663"/>
      <c r="R166" s="663"/>
      <c r="S166" s="663"/>
    </row>
    <row r="167" spans="1:19" ht="17" x14ac:dyDescent="0.15">
      <c r="A167" s="682" t="s">
        <v>151</v>
      </c>
      <c r="B167" s="280">
        <v>0</v>
      </c>
      <c r="C167" s="280">
        <v>0</v>
      </c>
      <c r="D167" s="663"/>
      <c r="E167" s="663"/>
      <c r="F167" s="663"/>
      <c r="G167" s="663"/>
      <c r="H167" s="663"/>
      <c r="I167" s="663"/>
      <c r="J167" s="663"/>
      <c r="K167" s="663"/>
      <c r="L167" s="663"/>
      <c r="M167" s="663"/>
      <c r="N167" s="663"/>
      <c r="O167" s="663"/>
      <c r="P167" s="663"/>
      <c r="Q167" s="663"/>
      <c r="R167" s="663"/>
      <c r="S167" s="663"/>
    </row>
    <row r="168" spans="1:19" ht="17" x14ac:dyDescent="0.15">
      <c r="A168" s="682" t="s">
        <v>152</v>
      </c>
      <c r="B168" s="280">
        <v>0</v>
      </c>
      <c r="C168" s="280">
        <v>0</v>
      </c>
      <c r="D168" s="663"/>
      <c r="E168" s="663"/>
      <c r="F168" s="663"/>
      <c r="G168" s="663"/>
      <c r="H168" s="663"/>
      <c r="I168" s="663"/>
      <c r="J168" s="663"/>
      <c r="K168" s="663"/>
      <c r="L168" s="663"/>
      <c r="M168" s="663"/>
      <c r="N168" s="663"/>
      <c r="O168" s="663"/>
      <c r="P168" s="663"/>
      <c r="Q168" s="663"/>
      <c r="R168" s="663"/>
      <c r="S168" s="663"/>
    </row>
    <row r="169" spans="1:19" ht="17" x14ac:dyDescent="0.15">
      <c r="A169" s="682" t="s">
        <v>153</v>
      </c>
      <c r="B169" s="280">
        <v>0</v>
      </c>
      <c r="C169" s="280">
        <v>0</v>
      </c>
      <c r="D169" s="663"/>
      <c r="E169" s="663"/>
      <c r="F169" s="663"/>
      <c r="G169" s="663"/>
      <c r="H169" s="663"/>
      <c r="I169" s="663"/>
      <c r="J169" s="663"/>
      <c r="K169" s="663"/>
      <c r="L169" s="663"/>
      <c r="M169" s="663"/>
      <c r="N169" s="663"/>
      <c r="O169" s="663"/>
      <c r="P169" s="663"/>
      <c r="Q169" s="663"/>
      <c r="R169" s="663"/>
      <c r="S169" s="663"/>
    </row>
    <row r="170" spans="1:19" ht="17" x14ac:dyDescent="0.15">
      <c r="A170" s="682" t="s">
        <v>78</v>
      </c>
      <c r="B170" s="280">
        <v>0</v>
      </c>
      <c r="C170" s="280">
        <v>0</v>
      </c>
      <c r="D170" s="663"/>
      <c r="E170" s="663"/>
      <c r="F170" s="663"/>
      <c r="G170" s="663"/>
      <c r="H170" s="663"/>
      <c r="I170" s="663"/>
      <c r="J170" s="663"/>
      <c r="K170" s="663"/>
      <c r="L170" s="663"/>
      <c r="M170" s="663"/>
      <c r="N170" s="663"/>
      <c r="O170" s="663"/>
      <c r="P170" s="663"/>
      <c r="Q170" s="663"/>
      <c r="R170" s="663"/>
      <c r="S170" s="663"/>
    </row>
    <row r="171" spans="1:19" ht="17" x14ac:dyDescent="0.15">
      <c r="A171" s="682" t="s">
        <v>79</v>
      </c>
      <c r="B171" s="280">
        <v>0</v>
      </c>
      <c r="C171" s="280">
        <v>0</v>
      </c>
      <c r="D171" s="663"/>
      <c r="E171" s="663"/>
      <c r="F171" s="663"/>
      <c r="G171" s="663"/>
      <c r="H171" s="663"/>
      <c r="I171" s="663"/>
      <c r="J171" s="663"/>
      <c r="K171" s="663"/>
      <c r="L171" s="663"/>
      <c r="M171" s="663"/>
      <c r="N171" s="663"/>
      <c r="O171" s="663"/>
      <c r="P171" s="663"/>
      <c r="Q171" s="663"/>
      <c r="R171" s="663"/>
      <c r="S171" s="663"/>
    </row>
    <row r="172" spans="1:19" ht="17" x14ac:dyDescent="0.15">
      <c r="A172" s="682" t="s">
        <v>154</v>
      </c>
      <c r="B172" s="280">
        <v>0</v>
      </c>
      <c r="C172" s="280">
        <v>0</v>
      </c>
      <c r="D172" s="663"/>
      <c r="E172" s="663"/>
      <c r="F172" s="663"/>
      <c r="G172" s="663"/>
      <c r="H172" s="663"/>
      <c r="I172" s="663"/>
      <c r="J172" s="663"/>
      <c r="K172" s="663"/>
      <c r="L172" s="663"/>
      <c r="M172" s="663"/>
      <c r="N172" s="663"/>
      <c r="O172" s="663"/>
      <c r="P172" s="663"/>
      <c r="Q172" s="663"/>
      <c r="R172" s="663"/>
      <c r="S172" s="663"/>
    </row>
    <row r="173" spans="1:19" ht="17" x14ac:dyDescent="0.15">
      <c r="A173" s="682" t="s">
        <v>155</v>
      </c>
      <c r="B173" s="280">
        <v>0</v>
      </c>
      <c r="C173" s="280">
        <v>0</v>
      </c>
      <c r="D173" s="663"/>
      <c r="E173" s="663"/>
      <c r="F173" s="663"/>
      <c r="G173" s="663"/>
      <c r="H173" s="663"/>
      <c r="I173" s="663"/>
      <c r="J173" s="663"/>
      <c r="K173" s="663"/>
      <c r="L173" s="663"/>
      <c r="M173" s="663"/>
      <c r="N173" s="663"/>
      <c r="O173" s="663"/>
      <c r="P173" s="663"/>
      <c r="Q173" s="663"/>
      <c r="R173" s="663"/>
      <c r="S173" s="663"/>
    </row>
    <row r="174" spans="1:19" ht="17" x14ac:dyDescent="0.15">
      <c r="A174" s="682" t="s">
        <v>156</v>
      </c>
      <c r="B174" s="280">
        <v>0</v>
      </c>
      <c r="C174" s="280">
        <v>0</v>
      </c>
      <c r="D174" s="663"/>
      <c r="E174" s="663"/>
      <c r="F174" s="663"/>
      <c r="G174" s="663"/>
      <c r="H174" s="663"/>
      <c r="I174" s="663"/>
      <c r="J174" s="663"/>
      <c r="K174" s="663"/>
      <c r="L174" s="663"/>
      <c r="M174" s="663"/>
      <c r="N174" s="663"/>
      <c r="O174" s="663"/>
      <c r="P174" s="663"/>
      <c r="Q174" s="663"/>
      <c r="R174" s="663"/>
      <c r="S174" s="663"/>
    </row>
    <row r="175" spans="1:19" ht="17" x14ac:dyDescent="0.15">
      <c r="A175" s="682" t="s">
        <v>80</v>
      </c>
      <c r="B175" s="280">
        <v>0</v>
      </c>
      <c r="C175" s="280">
        <v>0</v>
      </c>
      <c r="D175" s="663"/>
      <c r="E175" s="663"/>
      <c r="F175" s="663"/>
      <c r="G175" s="663"/>
      <c r="H175" s="663"/>
      <c r="I175" s="663"/>
      <c r="J175" s="663"/>
      <c r="K175" s="663"/>
      <c r="L175" s="663"/>
      <c r="M175" s="663"/>
      <c r="N175" s="663"/>
      <c r="O175" s="663"/>
      <c r="P175" s="663"/>
      <c r="Q175" s="663"/>
      <c r="R175" s="663"/>
      <c r="S175" s="663"/>
    </row>
    <row r="176" spans="1:19" ht="16" x14ac:dyDescent="0.15">
      <c r="A176" s="682"/>
      <c r="B176" s="680"/>
      <c r="C176" s="680"/>
      <c r="D176" s="663"/>
      <c r="E176" s="663"/>
      <c r="F176" s="663"/>
      <c r="G176" s="663"/>
      <c r="H176" s="663"/>
      <c r="I176" s="663"/>
      <c r="J176" s="663"/>
      <c r="K176" s="663"/>
      <c r="L176" s="663"/>
      <c r="M176" s="663"/>
      <c r="N176" s="663"/>
      <c r="O176" s="663"/>
      <c r="P176" s="663"/>
      <c r="Q176" s="663"/>
      <c r="R176" s="663"/>
      <c r="S176" s="663"/>
    </row>
    <row r="177" spans="1:19" x14ac:dyDescent="0.15">
      <c r="A177" s="679" t="s">
        <v>609</v>
      </c>
      <c r="B177" s="680"/>
      <c r="C177" s="680"/>
      <c r="D177" s="663"/>
      <c r="E177" s="663"/>
      <c r="F177" s="663"/>
      <c r="G177" s="663"/>
      <c r="H177" s="663"/>
      <c r="I177" s="663"/>
      <c r="J177" s="663"/>
      <c r="K177" s="663"/>
      <c r="L177" s="663"/>
      <c r="M177" s="663"/>
      <c r="N177" s="663"/>
      <c r="O177" s="663"/>
      <c r="P177" s="663"/>
      <c r="Q177" s="663"/>
      <c r="R177" s="663"/>
      <c r="S177" s="663"/>
    </row>
    <row r="178" spans="1:19" x14ac:dyDescent="0.15">
      <c r="A178" s="681" t="s">
        <v>633</v>
      </c>
      <c r="B178" s="279" t="s">
        <v>322</v>
      </c>
      <c r="C178" s="279" t="s">
        <v>321</v>
      </c>
      <c r="D178" s="663"/>
      <c r="E178" s="663"/>
      <c r="F178" s="663"/>
      <c r="G178" s="663"/>
      <c r="H178" s="663"/>
      <c r="I178" s="663"/>
      <c r="J178" s="663"/>
      <c r="K178" s="663"/>
      <c r="L178" s="663"/>
      <c r="M178" s="663"/>
      <c r="N178" s="663"/>
      <c r="O178" s="663"/>
      <c r="P178" s="663"/>
      <c r="Q178" s="663"/>
      <c r="R178" s="663"/>
      <c r="S178" s="663"/>
    </row>
    <row r="179" spans="1:19" ht="17" x14ac:dyDescent="0.15">
      <c r="A179" s="682" t="s">
        <v>76</v>
      </c>
      <c r="B179" s="280">
        <v>0</v>
      </c>
      <c r="C179" s="280">
        <v>0</v>
      </c>
      <c r="D179" s="663"/>
      <c r="E179" s="663"/>
      <c r="F179" s="663"/>
      <c r="G179" s="663"/>
      <c r="H179" s="663"/>
      <c r="I179" s="663"/>
      <c r="J179" s="663"/>
      <c r="K179" s="663"/>
      <c r="L179" s="663"/>
      <c r="M179" s="663"/>
      <c r="N179" s="663"/>
      <c r="O179" s="663"/>
      <c r="P179" s="663"/>
      <c r="Q179" s="663"/>
      <c r="R179" s="663"/>
      <c r="S179" s="663"/>
    </row>
    <row r="180" spans="1:19" ht="17" x14ac:dyDescent="0.15">
      <c r="A180" s="682" t="s">
        <v>148</v>
      </c>
      <c r="B180" s="280">
        <v>0</v>
      </c>
      <c r="C180" s="280">
        <v>0</v>
      </c>
      <c r="D180" s="663"/>
      <c r="E180" s="663"/>
      <c r="F180" s="663"/>
      <c r="G180" s="663"/>
      <c r="H180" s="663"/>
      <c r="I180" s="663"/>
      <c r="J180" s="663"/>
      <c r="K180" s="663"/>
      <c r="L180" s="663"/>
      <c r="M180" s="663"/>
      <c r="N180" s="663"/>
      <c r="O180" s="663"/>
      <c r="P180" s="663"/>
      <c r="Q180" s="663"/>
      <c r="R180" s="663"/>
      <c r="S180" s="663"/>
    </row>
    <row r="181" spans="1:19" ht="17" x14ac:dyDescent="0.15">
      <c r="A181" s="682" t="s">
        <v>77</v>
      </c>
      <c r="B181" s="280">
        <v>0</v>
      </c>
      <c r="C181" s="280">
        <v>0</v>
      </c>
      <c r="D181" s="663"/>
      <c r="E181" s="663"/>
      <c r="F181" s="663"/>
      <c r="G181" s="663"/>
      <c r="H181" s="663"/>
      <c r="I181" s="663"/>
      <c r="J181" s="663"/>
      <c r="K181" s="663"/>
      <c r="L181" s="663"/>
      <c r="M181" s="663"/>
      <c r="N181" s="663"/>
      <c r="O181" s="663"/>
      <c r="P181" s="663"/>
      <c r="Q181" s="663"/>
      <c r="R181" s="663"/>
      <c r="S181" s="663"/>
    </row>
    <row r="182" spans="1:19" ht="17" x14ac:dyDescent="0.15">
      <c r="A182" s="682" t="s">
        <v>149</v>
      </c>
      <c r="B182" s="280">
        <v>0</v>
      </c>
      <c r="C182" s="280">
        <v>0</v>
      </c>
      <c r="D182" s="663"/>
      <c r="E182" s="663"/>
      <c r="F182" s="663"/>
      <c r="G182" s="663"/>
      <c r="H182" s="663"/>
      <c r="I182" s="663"/>
      <c r="J182" s="663"/>
      <c r="K182" s="663"/>
      <c r="L182" s="663"/>
      <c r="M182" s="663"/>
      <c r="N182" s="663"/>
      <c r="O182" s="663"/>
      <c r="P182" s="663"/>
      <c r="Q182" s="663"/>
      <c r="R182" s="663"/>
      <c r="S182" s="663"/>
    </row>
    <row r="183" spans="1:19" ht="17" x14ac:dyDescent="0.15">
      <c r="A183" s="682" t="s">
        <v>150</v>
      </c>
      <c r="B183" s="280">
        <v>0</v>
      </c>
      <c r="C183" s="280">
        <v>0</v>
      </c>
      <c r="D183" s="663"/>
      <c r="E183" s="663"/>
      <c r="F183" s="663"/>
      <c r="G183" s="663"/>
      <c r="H183" s="663"/>
      <c r="I183" s="663"/>
      <c r="J183" s="663"/>
      <c r="K183" s="663"/>
      <c r="L183" s="663"/>
      <c r="M183" s="663"/>
      <c r="N183" s="663"/>
      <c r="O183" s="663"/>
      <c r="P183" s="663"/>
      <c r="Q183" s="663"/>
      <c r="R183" s="663"/>
      <c r="S183" s="663"/>
    </row>
    <row r="184" spans="1:19" ht="17" x14ac:dyDescent="0.15">
      <c r="A184" s="682" t="s">
        <v>151</v>
      </c>
      <c r="B184" s="280">
        <v>0</v>
      </c>
      <c r="C184" s="280">
        <v>0</v>
      </c>
      <c r="D184" s="663"/>
      <c r="E184" s="663"/>
      <c r="F184" s="663"/>
      <c r="G184" s="663"/>
      <c r="H184" s="663"/>
      <c r="I184" s="663"/>
      <c r="J184" s="663"/>
      <c r="K184" s="663"/>
      <c r="L184" s="663"/>
      <c r="M184" s="663"/>
      <c r="N184" s="663"/>
      <c r="O184" s="663"/>
      <c r="P184" s="663"/>
      <c r="Q184" s="663"/>
      <c r="R184" s="663"/>
      <c r="S184" s="663"/>
    </row>
    <row r="185" spans="1:19" ht="17" x14ac:dyDescent="0.15">
      <c r="A185" s="682" t="s">
        <v>152</v>
      </c>
      <c r="B185" s="280">
        <v>0</v>
      </c>
      <c r="C185" s="280">
        <v>0</v>
      </c>
      <c r="D185" s="663"/>
      <c r="E185" s="663"/>
      <c r="F185" s="663"/>
      <c r="G185" s="663"/>
      <c r="H185" s="663"/>
      <c r="I185" s="663"/>
      <c r="J185" s="663"/>
      <c r="K185" s="663"/>
      <c r="L185" s="663"/>
      <c r="M185" s="663"/>
      <c r="N185" s="663"/>
      <c r="O185" s="663"/>
      <c r="P185" s="663"/>
      <c r="Q185" s="663"/>
      <c r="R185" s="663"/>
      <c r="S185" s="663"/>
    </row>
    <row r="186" spans="1:19" ht="17" x14ac:dyDescent="0.15">
      <c r="A186" s="682" t="s">
        <v>153</v>
      </c>
      <c r="B186" s="280">
        <v>0</v>
      </c>
      <c r="C186" s="280">
        <v>0</v>
      </c>
      <c r="D186" s="663"/>
      <c r="E186" s="663"/>
      <c r="F186" s="663"/>
      <c r="G186" s="663"/>
      <c r="H186" s="663"/>
      <c r="I186" s="663"/>
      <c r="J186" s="663"/>
      <c r="K186" s="663"/>
      <c r="L186" s="663"/>
      <c r="M186" s="663"/>
      <c r="N186" s="663"/>
      <c r="O186" s="663"/>
      <c r="P186" s="663"/>
      <c r="Q186" s="663"/>
      <c r="R186" s="663"/>
      <c r="S186" s="663"/>
    </row>
    <row r="187" spans="1:19" ht="17" x14ac:dyDescent="0.15">
      <c r="A187" s="682" t="s">
        <v>78</v>
      </c>
      <c r="B187" s="280">
        <v>0</v>
      </c>
      <c r="C187" s="280">
        <v>0</v>
      </c>
      <c r="D187" s="663"/>
      <c r="E187" s="663"/>
      <c r="F187" s="663"/>
      <c r="G187" s="663"/>
      <c r="H187" s="663"/>
      <c r="I187" s="663"/>
      <c r="J187" s="663"/>
      <c r="K187" s="663"/>
      <c r="L187" s="663"/>
      <c r="M187" s="663"/>
      <c r="N187" s="663"/>
      <c r="O187" s="663"/>
      <c r="P187" s="663"/>
      <c r="Q187" s="663"/>
      <c r="R187" s="663"/>
      <c r="S187" s="663"/>
    </row>
    <row r="188" spans="1:19" ht="17" x14ac:dyDescent="0.15">
      <c r="A188" s="682" t="s">
        <v>79</v>
      </c>
      <c r="B188" s="280">
        <v>0</v>
      </c>
      <c r="C188" s="280">
        <v>0</v>
      </c>
      <c r="D188" s="663"/>
      <c r="E188" s="663"/>
      <c r="F188" s="663"/>
      <c r="G188" s="663"/>
      <c r="H188" s="663"/>
      <c r="I188" s="663"/>
      <c r="J188" s="663"/>
      <c r="K188" s="663"/>
      <c r="L188" s="663"/>
      <c r="M188" s="663"/>
      <c r="N188" s="663"/>
      <c r="O188" s="663"/>
      <c r="P188" s="663"/>
      <c r="Q188" s="663"/>
      <c r="R188" s="663"/>
      <c r="S188" s="663"/>
    </row>
    <row r="189" spans="1:19" ht="17" x14ac:dyDescent="0.15">
      <c r="A189" s="682" t="s">
        <v>154</v>
      </c>
      <c r="B189" s="280">
        <v>0</v>
      </c>
      <c r="C189" s="280">
        <v>0</v>
      </c>
      <c r="D189" s="663"/>
      <c r="E189" s="663"/>
      <c r="F189" s="663"/>
      <c r="G189" s="663"/>
      <c r="H189" s="663"/>
      <c r="I189" s="663"/>
      <c r="J189" s="663"/>
      <c r="K189" s="663"/>
      <c r="L189" s="663"/>
      <c r="M189" s="663"/>
      <c r="N189" s="663"/>
      <c r="O189" s="663"/>
      <c r="P189" s="663"/>
      <c r="Q189" s="663"/>
      <c r="R189" s="663"/>
      <c r="S189" s="663"/>
    </row>
    <row r="190" spans="1:19" ht="17" x14ac:dyDescent="0.15">
      <c r="A190" s="682" t="s">
        <v>155</v>
      </c>
      <c r="B190" s="280">
        <v>0</v>
      </c>
      <c r="C190" s="280">
        <v>0</v>
      </c>
      <c r="D190" s="663"/>
      <c r="E190" s="663"/>
      <c r="F190" s="663"/>
      <c r="G190" s="663"/>
      <c r="H190" s="663"/>
      <c r="I190" s="663"/>
      <c r="J190" s="663"/>
      <c r="K190" s="663"/>
      <c r="L190" s="663"/>
      <c r="M190" s="663"/>
      <c r="N190" s="663"/>
      <c r="O190" s="663"/>
      <c r="P190" s="663"/>
      <c r="Q190" s="663"/>
      <c r="R190" s="663"/>
      <c r="S190" s="663"/>
    </row>
    <row r="191" spans="1:19" ht="17" x14ac:dyDescent="0.15">
      <c r="A191" s="682" t="s">
        <v>156</v>
      </c>
      <c r="B191" s="280">
        <v>0</v>
      </c>
      <c r="C191" s="280">
        <v>0</v>
      </c>
      <c r="D191" s="663"/>
      <c r="E191" s="663"/>
      <c r="F191" s="663"/>
      <c r="G191" s="663"/>
      <c r="H191" s="663"/>
      <c r="I191" s="663"/>
      <c r="J191" s="663"/>
      <c r="K191" s="663"/>
      <c r="L191" s="663"/>
      <c r="M191" s="663"/>
      <c r="N191" s="663"/>
      <c r="O191" s="663"/>
      <c r="P191" s="663"/>
      <c r="Q191" s="663"/>
      <c r="R191" s="663"/>
      <c r="S191" s="663"/>
    </row>
    <row r="192" spans="1:19" ht="17" x14ac:dyDescent="0.15">
      <c r="A192" s="682" t="s">
        <v>80</v>
      </c>
      <c r="B192" s="280">
        <v>0</v>
      </c>
      <c r="C192" s="280">
        <v>0</v>
      </c>
      <c r="D192" s="663"/>
      <c r="E192" s="663"/>
      <c r="F192" s="663"/>
      <c r="G192" s="663"/>
      <c r="H192" s="663"/>
      <c r="I192" s="663"/>
      <c r="J192" s="663"/>
      <c r="K192" s="663"/>
      <c r="L192" s="663"/>
      <c r="M192" s="663"/>
      <c r="N192" s="663"/>
      <c r="O192" s="663"/>
      <c r="P192" s="663"/>
      <c r="Q192" s="663"/>
      <c r="R192" s="663"/>
      <c r="S192" s="663"/>
    </row>
    <row r="193" spans="1:19" x14ac:dyDescent="0.15">
      <c r="A193" s="683"/>
      <c r="B193" s="680"/>
      <c r="C193" s="680"/>
      <c r="D193" s="663"/>
      <c r="E193" s="663"/>
      <c r="F193" s="663"/>
      <c r="G193" s="663"/>
      <c r="H193" s="663"/>
      <c r="I193" s="663"/>
      <c r="J193" s="663"/>
      <c r="K193" s="663"/>
      <c r="L193" s="663"/>
      <c r="M193" s="663"/>
      <c r="N193" s="663"/>
      <c r="O193" s="663"/>
      <c r="P193" s="663"/>
      <c r="Q193" s="663"/>
      <c r="R193" s="663"/>
      <c r="S193" s="663"/>
    </row>
    <row r="194" spans="1:19" x14ac:dyDescent="0.15">
      <c r="A194" s="679" t="s">
        <v>609</v>
      </c>
      <c r="B194" s="680"/>
      <c r="C194" s="680"/>
      <c r="D194" s="663"/>
      <c r="E194" s="663"/>
      <c r="F194" s="663"/>
      <c r="G194" s="663"/>
      <c r="H194" s="663"/>
      <c r="I194" s="663"/>
      <c r="J194" s="663"/>
      <c r="K194" s="663"/>
      <c r="L194" s="663"/>
      <c r="M194" s="663"/>
      <c r="N194" s="663"/>
      <c r="O194" s="663"/>
      <c r="P194" s="663"/>
      <c r="Q194" s="663"/>
      <c r="R194" s="663"/>
      <c r="S194" s="663"/>
    </row>
    <row r="195" spans="1:19" x14ac:dyDescent="0.15">
      <c r="A195" s="681" t="s">
        <v>634</v>
      </c>
      <c r="B195" s="279" t="s">
        <v>322</v>
      </c>
      <c r="C195" s="279" t="s">
        <v>321</v>
      </c>
      <c r="D195" s="663"/>
      <c r="E195" s="663"/>
      <c r="F195" s="663"/>
      <c r="G195" s="663"/>
      <c r="H195" s="663"/>
      <c r="I195" s="663"/>
      <c r="J195" s="663"/>
      <c r="K195" s="663"/>
      <c r="L195" s="663"/>
      <c r="M195" s="663"/>
      <c r="N195" s="663"/>
      <c r="O195" s="663"/>
      <c r="P195" s="663"/>
      <c r="Q195" s="663"/>
      <c r="R195" s="663"/>
      <c r="S195" s="663"/>
    </row>
    <row r="196" spans="1:19" ht="17" x14ac:dyDescent="0.15">
      <c r="A196" s="682" t="s">
        <v>76</v>
      </c>
      <c r="B196" s="280">
        <v>0</v>
      </c>
      <c r="C196" s="280">
        <v>0</v>
      </c>
      <c r="D196" s="663"/>
      <c r="E196" s="663"/>
      <c r="F196" s="663"/>
      <c r="G196" s="663"/>
      <c r="H196" s="663"/>
      <c r="I196" s="663"/>
      <c r="J196" s="663"/>
      <c r="K196" s="663"/>
      <c r="L196" s="663"/>
      <c r="M196" s="663"/>
      <c r="N196" s="663"/>
      <c r="O196" s="663"/>
      <c r="P196" s="663"/>
      <c r="Q196" s="663"/>
      <c r="R196" s="663"/>
      <c r="S196" s="663"/>
    </row>
    <row r="197" spans="1:19" ht="17" x14ac:dyDescent="0.15">
      <c r="A197" s="682" t="s">
        <v>148</v>
      </c>
      <c r="B197" s="280">
        <v>0</v>
      </c>
      <c r="C197" s="280">
        <v>0</v>
      </c>
      <c r="D197" s="663"/>
      <c r="E197" s="663"/>
      <c r="F197" s="663"/>
      <c r="G197" s="663"/>
      <c r="H197" s="663"/>
      <c r="I197" s="663"/>
      <c r="J197" s="663"/>
      <c r="K197" s="663"/>
      <c r="L197" s="663"/>
      <c r="M197" s="663"/>
      <c r="N197" s="663"/>
      <c r="O197" s="663"/>
      <c r="P197" s="663"/>
      <c r="Q197" s="663"/>
      <c r="R197" s="663"/>
      <c r="S197" s="663"/>
    </row>
    <row r="198" spans="1:19" ht="17" x14ac:dyDescent="0.15">
      <c r="A198" s="682" t="s">
        <v>77</v>
      </c>
      <c r="B198" s="280">
        <v>0</v>
      </c>
      <c r="C198" s="280">
        <v>0</v>
      </c>
      <c r="D198" s="663"/>
      <c r="E198" s="663"/>
      <c r="F198" s="663"/>
      <c r="G198" s="663"/>
      <c r="H198" s="663"/>
      <c r="I198" s="663"/>
      <c r="J198" s="663"/>
      <c r="K198" s="663"/>
      <c r="L198" s="663"/>
      <c r="M198" s="663"/>
      <c r="N198" s="663"/>
      <c r="O198" s="663"/>
      <c r="P198" s="663"/>
      <c r="Q198" s="663"/>
      <c r="R198" s="663"/>
      <c r="S198" s="663"/>
    </row>
    <row r="199" spans="1:19" ht="17" x14ac:dyDescent="0.15">
      <c r="A199" s="682" t="s">
        <v>149</v>
      </c>
      <c r="B199" s="280">
        <v>0</v>
      </c>
      <c r="C199" s="280">
        <v>0</v>
      </c>
      <c r="D199" s="663"/>
      <c r="E199" s="663"/>
      <c r="F199" s="663"/>
      <c r="G199" s="663"/>
      <c r="H199" s="663"/>
      <c r="I199" s="663"/>
      <c r="J199" s="663"/>
      <c r="K199" s="663"/>
      <c r="L199" s="663"/>
      <c r="M199" s="663"/>
      <c r="N199" s="663"/>
      <c r="O199" s="663"/>
      <c r="P199" s="663"/>
      <c r="Q199" s="663"/>
      <c r="R199" s="663"/>
      <c r="S199" s="663"/>
    </row>
    <row r="200" spans="1:19" ht="17" x14ac:dyDescent="0.15">
      <c r="A200" s="682" t="s">
        <v>150</v>
      </c>
      <c r="B200" s="280">
        <v>0</v>
      </c>
      <c r="C200" s="280">
        <v>0</v>
      </c>
      <c r="D200" s="663"/>
      <c r="E200" s="663"/>
      <c r="F200" s="663"/>
      <c r="G200" s="663"/>
      <c r="H200" s="663"/>
      <c r="I200" s="663"/>
      <c r="J200" s="663"/>
      <c r="K200" s="663"/>
      <c r="L200" s="663"/>
      <c r="M200" s="663"/>
      <c r="N200" s="663"/>
      <c r="O200" s="663"/>
      <c r="P200" s="663"/>
      <c r="Q200" s="663"/>
      <c r="R200" s="663"/>
      <c r="S200" s="663"/>
    </row>
    <row r="201" spans="1:19" ht="17" x14ac:dyDescent="0.15">
      <c r="A201" s="682" t="s">
        <v>151</v>
      </c>
      <c r="B201" s="280">
        <v>0</v>
      </c>
      <c r="C201" s="280">
        <v>0</v>
      </c>
      <c r="D201" s="663"/>
      <c r="E201" s="663"/>
      <c r="F201" s="663"/>
      <c r="G201" s="663"/>
      <c r="H201" s="663"/>
      <c r="I201" s="663"/>
      <c r="J201" s="663"/>
      <c r="K201" s="663"/>
      <c r="L201" s="663"/>
      <c r="M201" s="663"/>
      <c r="N201" s="663"/>
      <c r="O201" s="663"/>
      <c r="P201" s="663"/>
      <c r="Q201" s="663"/>
      <c r="R201" s="663"/>
      <c r="S201" s="663"/>
    </row>
    <row r="202" spans="1:19" ht="17" x14ac:dyDescent="0.15">
      <c r="A202" s="682" t="s">
        <v>152</v>
      </c>
      <c r="B202" s="280">
        <v>0</v>
      </c>
      <c r="C202" s="280">
        <v>0</v>
      </c>
      <c r="D202" s="663"/>
      <c r="E202" s="663"/>
      <c r="F202" s="663"/>
      <c r="G202" s="663"/>
      <c r="H202" s="663"/>
      <c r="I202" s="663"/>
      <c r="J202" s="663"/>
      <c r="K202" s="663"/>
      <c r="L202" s="663"/>
      <c r="M202" s="663"/>
      <c r="N202" s="663"/>
      <c r="O202" s="663"/>
      <c r="P202" s="663"/>
      <c r="Q202" s="663"/>
      <c r="R202" s="663"/>
      <c r="S202" s="663"/>
    </row>
    <row r="203" spans="1:19" ht="17" x14ac:dyDescent="0.15">
      <c r="A203" s="682" t="s">
        <v>153</v>
      </c>
      <c r="B203" s="280">
        <v>0</v>
      </c>
      <c r="C203" s="280">
        <v>0</v>
      </c>
      <c r="D203" s="663"/>
      <c r="E203" s="663"/>
      <c r="F203" s="663"/>
      <c r="G203" s="663"/>
      <c r="H203" s="663"/>
      <c r="I203" s="663"/>
      <c r="J203" s="663"/>
      <c r="K203" s="663"/>
      <c r="L203" s="663"/>
      <c r="M203" s="663"/>
      <c r="N203" s="663"/>
      <c r="O203" s="663"/>
      <c r="P203" s="663"/>
      <c r="Q203" s="663"/>
      <c r="R203" s="663"/>
      <c r="S203" s="663"/>
    </row>
    <row r="204" spans="1:19" ht="17" x14ac:dyDescent="0.15">
      <c r="A204" s="682" t="s">
        <v>78</v>
      </c>
      <c r="B204" s="280">
        <v>0</v>
      </c>
      <c r="C204" s="280">
        <v>0</v>
      </c>
      <c r="D204" s="663"/>
      <c r="E204" s="663"/>
      <c r="F204" s="663"/>
      <c r="G204" s="663"/>
      <c r="H204" s="663"/>
      <c r="I204" s="663"/>
      <c r="J204" s="663"/>
      <c r="K204" s="663"/>
      <c r="L204" s="663"/>
      <c r="M204" s="663"/>
      <c r="N204" s="663"/>
      <c r="O204" s="663"/>
      <c r="P204" s="663"/>
      <c r="Q204" s="663"/>
      <c r="R204" s="663"/>
      <c r="S204" s="663"/>
    </row>
    <row r="205" spans="1:19" ht="17" x14ac:dyDescent="0.15">
      <c r="A205" s="682" t="s">
        <v>79</v>
      </c>
      <c r="B205" s="280">
        <v>0</v>
      </c>
      <c r="C205" s="280">
        <v>0</v>
      </c>
      <c r="D205" s="663"/>
      <c r="E205" s="663"/>
      <c r="F205" s="663"/>
      <c r="G205" s="663"/>
      <c r="H205" s="663"/>
      <c r="I205" s="663"/>
      <c r="J205" s="663"/>
      <c r="K205" s="663"/>
      <c r="L205" s="663"/>
      <c r="M205" s="663"/>
      <c r="N205" s="663"/>
      <c r="O205" s="663"/>
      <c r="P205" s="663"/>
      <c r="Q205" s="663"/>
      <c r="R205" s="663"/>
      <c r="S205" s="663"/>
    </row>
    <row r="206" spans="1:19" ht="17" x14ac:dyDescent="0.15">
      <c r="A206" s="682" t="s">
        <v>154</v>
      </c>
      <c r="B206" s="280">
        <v>0</v>
      </c>
      <c r="C206" s="280">
        <v>0</v>
      </c>
      <c r="D206" s="663"/>
      <c r="E206" s="663"/>
      <c r="F206" s="663"/>
      <c r="G206" s="663"/>
      <c r="H206" s="663"/>
      <c r="I206" s="663"/>
      <c r="J206" s="663"/>
      <c r="K206" s="663"/>
      <c r="L206" s="663"/>
      <c r="M206" s="663"/>
      <c r="N206" s="663"/>
      <c r="O206" s="663"/>
      <c r="P206" s="663"/>
      <c r="Q206" s="663"/>
      <c r="R206" s="663"/>
      <c r="S206" s="663"/>
    </row>
    <row r="207" spans="1:19" ht="17" x14ac:dyDescent="0.15">
      <c r="A207" s="682" t="s">
        <v>155</v>
      </c>
      <c r="B207" s="280">
        <v>0</v>
      </c>
      <c r="C207" s="280">
        <v>0</v>
      </c>
      <c r="D207" s="663"/>
      <c r="E207" s="663"/>
      <c r="F207" s="663"/>
      <c r="G207" s="663"/>
      <c r="H207" s="663"/>
      <c r="I207" s="663"/>
      <c r="J207" s="663"/>
      <c r="K207" s="663"/>
      <c r="L207" s="663"/>
      <c r="M207" s="663"/>
      <c r="N207" s="663"/>
      <c r="O207" s="663"/>
      <c r="P207" s="663"/>
      <c r="Q207" s="663"/>
      <c r="R207" s="663"/>
      <c r="S207" s="663"/>
    </row>
    <row r="208" spans="1:19" ht="17" x14ac:dyDescent="0.15">
      <c r="A208" s="682" t="s">
        <v>156</v>
      </c>
      <c r="B208" s="280">
        <v>0</v>
      </c>
      <c r="C208" s="280">
        <v>0</v>
      </c>
      <c r="D208" s="663"/>
      <c r="E208" s="663"/>
      <c r="F208" s="663"/>
      <c r="G208" s="663"/>
      <c r="H208" s="663"/>
      <c r="I208" s="663"/>
      <c r="J208" s="663"/>
      <c r="K208" s="663"/>
      <c r="L208" s="663"/>
      <c r="M208" s="663"/>
      <c r="N208" s="663"/>
      <c r="O208" s="663"/>
      <c r="P208" s="663"/>
      <c r="Q208" s="663"/>
      <c r="R208" s="663"/>
      <c r="S208" s="663"/>
    </row>
    <row r="209" spans="1:19" ht="17" x14ac:dyDescent="0.15">
      <c r="A209" s="682" t="s">
        <v>80</v>
      </c>
      <c r="B209" s="280">
        <v>0</v>
      </c>
      <c r="C209" s="280">
        <v>0</v>
      </c>
      <c r="D209" s="663"/>
      <c r="E209" s="663"/>
      <c r="F209" s="663"/>
      <c r="G209" s="663"/>
      <c r="H209" s="663"/>
      <c r="I209" s="663"/>
      <c r="J209" s="663"/>
      <c r="K209" s="663"/>
      <c r="L209" s="663"/>
      <c r="M209" s="663"/>
      <c r="N209" s="663"/>
      <c r="O209" s="663"/>
      <c r="P209" s="663"/>
      <c r="Q209" s="663"/>
      <c r="R209" s="663"/>
      <c r="S209" s="663"/>
    </row>
    <row r="210" spans="1:19" x14ac:dyDescent="0.15">
      <c r="A210" s="663"/>
      <c r="B210" s="663"/>
      <c r="C210" s="663"/>
      <c r="D210" s="663"/>
      <c r="E210" s="663"/>
      <c r="F210" s="663"/>
      <c r="G210" s="663"/>
      <c r="H210" s="663"/>
      <c r="I210" s="663"/>
      <c r="J210" s="663"/>
      <c r="K210" s="663"/>
      <c r="L210" s="663"/>
      <c r="M210" s="663"/>
      <c r="N210" s="663"/>
      <c r="O210" s="663"/>
      <c r="P210" s="663"/>
      <c r="Q210" s="663"/>
      <c r="R210" s="663"/>
      <c r="S210" s="663"/>
    </row>
    <row r="211" spans="1:19" x14ac:dyDescent="0.15">
      <c r="A211" s="663"/>
      <c r="B211" s="663"/>
      <c r="C211" s="663"/>
      <c r="D211" s="663"/>
      <c r="E211" s="663"/>
      <c r="F211" s="663"/>
      <c r="G211" s="663"/>
      <c r="H211" s="663"/>
      <c r="I211" s="663"/>
      <c r="J211" s="663"/>
      <c r="K211" s="663"/>
      <c r="L211" s="663"/>
      <c r="M211" s="663"/>
      <c r="N211" s="663"/>
      <c r="O211" s="663"/>
      <c r="P211" s="663"/>
      <c r="Q211" s="663"/>
      <c r="R211" s="663"/>
      <c r="S211" s="663"/>
    </row>
    <row r="212" spans="1:19" x14ac:dyDescent="0.15">
      <c r="A212" s="663"/>
      <c r="B212" s="663"/>
      <c r="C212" s="663"/>
      <c r="D212" s="663"/>
      <c r="E212" s="663"/>
      <c r="F212" s="663"/>
      <c r="G212" s="663"/>
      <c r="H212" s="663"/>
      <c r="I212" s="663"/>
      <c r="J212" s="663"/>
      <c r="K212" s="663"/>
      <c r="L212" s="663"/>
      <c r="M212" s="663"/>
      <c r="N212" s="663"/>
      <c r="O212" s="663"/>
      <c r="P212" s="663"/>
      <c r="Q212" s="663"/>
      <c r="R212" s="663"/>
      <c r="S212" s="663"/>
    </row>
    <row r="213" spans="1:19" x14ac:dyDescent="0.15">
      <c r="A213" s="663"/>
      <c r="B213" s="663"/>
      <c r="C213" s="663"/>
      <c r="D213" s="663"/>
      <c r="E213" s="663"/>
      <c r="F213" s="663"/>
      <c r="G213" s="663"/>
      <c r="H213" s="663"/>
      <c r="I213" s="663"/>
      <c r="J213" s="663"/>
      <c r="K213" s="663"/>
      <c r="L213" s="663"/>
      <c r="M213" s="663"/>
      <c r="N213" s="663"/>
      <c r="O213" s="663"/>
      <c r="P213" s="663"/>
      <c r="Q213" s="663"/>
      <c r="R213" s="663"/>
      <c r="S213" s="663"/>
    </row>
    <row r="214" spans="1:19" x14ac:dyDescent="0.15">
      <c r="A214" s="663"/>
      <c r="B214" s="663"/>
      <c r="C214" s="663"/>
      <c r="D214" s="663"/>
      <c r="E214" s="663"/>
      <c r="F214" s="663"/>
      <c r="G214" s="663"/>
      <c r="H214" s="663"/>
      <c r="I214" s="663"/>
      <c r="J214" s="663"/>
      <c r="K214" s="663"/>
      <c r="L214" s="663"/>
      <c r="M214" s="663"/>
      <c r="N214" s="663"/>
      <c r="O214" s="663"/>
      <c r="P214" s="663"/>
      <c r="Q214" s="663"/>
      <c r="R214" s="663"/>
      <c r="S214" s="663"/>
    </row>
    <row r="215" spans="1:19" x14ac:dyDescent="0.15">
      <c r="A215" s="663"/>
      <c r="B215" s="663"/>
      <c r="C215" s="663"/>
      <c r="D215" s="663"/>
      <c r="E215" s="663"/>
      <c r="F215" s="663"/>
      <c r="G215" s="663"/>
      <c r="H215" s="663"/>
      <c r="I215" s="663"/>
      <c r="J215" s="663"/>
      <c r="K215" s="663"/>
      <c r="L215" s="663"/>
      <c r="M215" s="663"/>
      <c r="N215" s="663"/>
      <c r="O215" s="663"/>
      <c r="P215" s="663"/>
      <c r="Q215" s="663"/>
      <c r="R215" s="663"/>
      <c r="S215" s="663"/>
    </row>
    <row r="216" spans="1:19" x14ac:dyDescent="0.15">
      <c r="A216" s="663"/>
      <c r="B216" s="663"/>
      <c r="C216" s="663"/>
      <c r="D216" s="663"/>
      <c r="E216" s="663"/>
      <c r="F216" s="663"/>
      <c r="G216" s="663"/>
      <c r="H216" s="663"/>
      <c r="I216" s="663"/>
      <c r="J216" s="663"/>
      <c r="K216" s="663"/>
      <c r="L216" s="663"/>
      <c r="M216" s="663"/>
      <c r="N216" s="663"/>
      <c r="O216" s="663"/>
      <c r="P216" s="663"/>
      <c r="Q216" s="663"/>
      <c r="R216" s="663"/>
      <c r="S216" s="663"/>
    </row>
    <row r="217" spans="1:19" x14ac:dyDescent="0.15">
      <c r="A217" s="663"/>
      <c r="B217" s="663"/>
      <c r="C217" s="663"/>
      <c r="D217" s="663"/>
      <c r="E217" s="663"/>
      <c r="F217" s="663"/>
      <c r="G217" s="663"/>
      <c r="H217" s="663"/>
      <c r="I217" s="663"/>
      <c r="J217" s="663"/>
      <c r="K217" s="663"/>
      <c r="L217" s="663"/>
      <c r="M217" s="663"/>
      <c r="N217" s="663"/>
      <c r="O217" s="663"/>
      <c r="P217" s="663"/>
      <c r="Q217" s="663"/>
      <c r="R217" s="663"/>
      <c r="S217" s="663"/>
    </row>
    <row r="218" spans="1:19" x14ac:dyDescent="0.15">
      <c r="A218" s="663"/>
      <c r="B218" s="663"/>
      <c r="C218" s="663"/>
      <c r="D218" s="663"/>
      <c r="E218" s="663"/>
      <c r="F218" s="663"/>
      <c r="G218" s="663"/>
      <c r="H218" s="663"/>
      <c r="I218" s="663"/>
      <c r="J218" s="663"/>
      <c r="K218" s="663"/>
      <c r="L218" s="663"/>
      <c r="M218" s="663"/>
      <c r="N218" s="663"/>
      <c r="O218" s="663"/>
      <c r="P218" s="663"/>
      <c r="Q218" s="663"/>
      <c r="R218" s="663"/>
      <c r="S218" s="663"/>
    </row>
    <row r="219" spans="1:19" x14ac:dyDescent="0.15">
      <c r="A219" s="663"/>
      <c r="B219" s="663"/>
      <c r="C219" s="663"/>
      <c r="D219" s="663"/>
      <c r="E219" s="663"/>
      <c r="F219" s="663"/>
      <c r="G219" s="663"/>
      <c r="H219" s="663"/>
      <c r="I219" s="663"/>
      <c r="J219" s="663"/>
      <c r="K219" s="663"/>
      <c r="L219" s="663"/>
      <c r="M219" s="663"/>
      <c r="N219" s="663"/>
      <c r="O219" s="663"/>
      <c r="P219" s="663"/>
      <c r="Q219" s="663"/>
      <c r="R219" s="663"/>
      <c r="S219" s="663"/>
    </row>
    <row r="220" spans="1:19" x14ac:dyDescent="0.15">
      <c r="A220" s="663"/>
      <c r="B220" s="663"/>
      <c r="C220" s="663"/>
      <c r="D220" s="663"/>
      <c r="E220" s="663"/>
      <c r="F220" s="663"/>
      <c r="G220" s="663"/>
      <c r="H220" s="663"/>
      <c r="I220" s="663"/>
      <c r="J220" s="663"/>
      <c r="K220" s="663"/>
      <c r="L220" s="663"/>
      <c r="M220" s="663"/>
      <c r="N220" s="663"/>
      <c r="O220" s="663"/>
      <c r="P220" s="663"/>
      <c r="Q220" s="663"/>
      <c r="R220" s="663"/>
      <c r="S220" s="663"/>
    </row>
    <row r="221" spans="1:19" x14ac:dyDescent="0.15">
      <c r="A221" s="663"/>
      <c r="B221" s="663"/>
      <c r="C221" s="663"/>
      <c r="D221" s="663"/>
      <c r="E221" s="663"/>
      <c r="F221" s="663"/>
      <c r="G221" s="663"/>
      <c r="H221" s="663"/>
      <c r="I221" s="663"/>
      <c r="J221" s="663"/>
      <c r="K221" s="663"/>
      <c r="L221" s="663"/>
      <c r="M221" s="663"/>
      <c r="N221" s="663"/>
      <c r="O221" s="663"/>
      <c r="P221" s="663"/>
      <c r="Q221" s="663"/>
      <c r="R221" s="663"/>
      <c r="S221" s="663"/>
    </row>
    <row r="222" spans="1:19" x14ac:dyDescent="0.15">
      <c r="A222" s="663"/>
      <c r="B222" s="663"/>
      <c r="C222" s="663"/>
      <c r="D222" s="663"/>
      <c r="E222" s="663"/>
      <c r="F222" s="663"/>
      <c r="G222" s="663"/>
      <c r="H222" s="663"/>
      <c r="I222" s="663"/>
      <c r="J222" s="663"/>
      <c r="K222" s="663"/>
      <c r="L222" s="663"/>
      <c r="M222" s="663"/>
      <c r="N222" s="663"/>
      <c r="O222" s="663"/>
      <c r="P222" s="663"/>
      <c r="Q222" s="663"/>
      <c r="R222" s="663"/>
      <c r="S222" s="663"/>
    </row>
    <row r="223" spans="1:19" x14ac:dyDescent="0.15">
      <c r="A223" s="663"/>
      <c r="B223" s="663"/>
      <c r="C223" s="663"/>
      <c r="D223" s="663"/>
      <c r="E223" s="663"/>
      <c r="F223" s="663"/>
      <c r="G223" s="663"/>
      <c r="H223" s="663"/>
      <c r="I223" s="663"/>
      <c r="J223" s="663"/>
      <c r="K223" s="663"/>
      <c r="L223" s="663"/>
      <c r="M223" s="663"/>
      <c r="N223" s="663"/>
      <c r="O223" s="663"/>
      <c r="P223" s="663"/>
      <c r="Q223" s="663"/>
      <c r="R223" s="663"/>
      <c r="S223" s="663"/>
    </row>
    <row r="224" spans="1:19" x14ac:dyDescent="0.15">
      <c r="A224" s="663"/>
      <c r="B224" s="663"/>
      <c r="C224" s="663"/>
      <c r="D224" s="663"/>
      <c r="E224" s="663"/>
      <c r="F224" s="663"/>
      <c r="G224" s="663"/>
      <c r="H224" s="663"/>
      <c r="I224" s="663"/>
      <c r="J224" s="663"/>
      <c r="K224" s="663"/>
      <c r="L224" s="663"/>
      <c r="M224" s="663"/>
      <c r="N224" s="663"/>
      <c r="O224" s="663"/>
      <c r="P224" s="663"/>
      <c r="Q224" s="663"/>
      <c r="R224" s="663"/>
      <c r="S224" s="663"/>
    </row>
    <row r="225" spans="1:19" x14ac:dyDescent="0.15">
      <c r="A225" s="663"/>
      <c r="B225" s="663"/>
      <c r="C225" s="663"/>
      <c r="D225" s="663"/>
      <c r="E225" s="663"/>
      <c r="F225" s="663"/>
      <c r="G225" s="663"/>
      <c r="H225" s="663"/>
      <c r="I225" s="663"/>
      <c r="J225" s="663"/>
      <c r="K225" s="663"/>
      <c r="L225" s="663"/>
      <c r="M225" s="663"/>
      <c r="N225" s="663"/>
      <c r="O225" s="663"/>
      <c r="P225" s="663"/>
      <c r="Q225" s="663"/>
      <c r="R225" s="663"/>
      <c r="S225" s="663"/>
    </row>
    <row r="226" spans="1:19" x14ac:dyDescent="0.15">
      <c r="A226" s="663"/>
      <c r="B226" s="663"/>
      <c r="C226" s="663"/>
      <c r="D226" s="663"/>
      <c r="E226" s="663"/>
      <c r="F226" s="663"/>
      <c r="G226" s="663"/>
      <c r="H226" s="663"/>
      <c r="I226" s="663"/>
      <c r="J226" s="663"/>
      <c r="K226" s="663"/>
      <c r="L226" s="663"/>
      <c r="M226" s="663"/>
      <c r="N226" s="663"/>
      <c r="O226" s="663"/>
      <c r="P226" s="663"/>
      <c r="Q226" s="663"/>
      <c r="R226" s="663"/>
      <c r="S226" s="663"/>
    </row>
    <row r="227" spans="1:19" x14ac:dyDescent="0.15">
      <c r="A227" s="663"/>
      <c r="B227" s="663"/>
      <c r="C227" s="663"/>
      <c r="D227" s="663"/>
      <c r="E227" s="663"/>
      <c r="F227" s="663"/>
      <c r="G227" s="663"/>
      <c r="H227" s="663"/>
      <c r="I227" s="663"/>
      <c r="J227" s="663"/>
      <c r="K227" s="663"/>
      <c r="L227" s="663"/>
      <c r="M227" s="663"/>
      <c r="N227" s="663"/>
      <c r="O227" s="663"/>
      <c r="P227" s="663"/>
      <c r="Q227" s="663"/>
      <c r="R227" s="663"/>
      <c r="S227" s="663"/>
    </row>
    <row r="228" spans="1:19" x14ac:dyDescent="0.15">
      <c r="A228" s="663"/>
      <c r="B228" s="663"/>
      <c r="C228" s="663"/>
      <c r="D228" s="663"/>
      <c r="E228" s="663"/>
      <c r="F228" s="663"/>
      <c r="G228" s="663"/>
      <c r="H228" s="663"/>
      <c r="I228" s="663"/>
      <c r="J228" s="663"/>
      <c r="K228" s="663"/>
      <c r="L228" s="663"/>
      <c r="M228" s="663"/>
      <c r="N228" s="663"/>
      <c r="O228" s="663"/>
      <c r="P228" s="663"/>
      <c r="Q228" s="663"/>
      <c r="R228" s="663"/>
      <c r="S228" s="663"/>
    </row>
    <row r="229" spans="1:19" x14ac:dyDescent="0.15">
      <c r="A229" s="663"/>
      <c r="B229" s="663"/>
      <c r="C229" s="663"/>
      <c r="D229" s="663"/>
      <c r="E229" s="663"/>
      <c r="F229" s="663"/>
      <c r="G229" s="663"/>
      <c r="H229" s="663"/>
      <c r="I229" s="663"/>
      <c r="J229" s="663"/>
      <c r="K229" s="663"/>
      <c r="L229" s="663"/>
      <c r="M229" s="663"/>
      <c r="N229" s="663"/>
      <c r="O229" s="663"/>
      <c r="P229" s="663"/>
      <c r="Q229" s="663"/>
      <c r="R229" s="663"/>
      <c r="S229" s="663"/>
    </row>
    <row r="230" spans="1:19" x14ac:dyDescent="0.15">
      <c r="A230" s="663"/>
      <c r="B230" s="663"/>
      <c r="C230" s="663"/>
      <c r="D230" s="663"/>
      <c r="E230" s="663"/>
      <c r="F230" s="663"/>
      <c r="G230" s="663"/>
      <c r="H230" s="663"/>
      <c r="I230" s="663"/>
      <c r="J230" s="663"/>
      <c r="K230" s="663"/>
      <c r="L230" s="663"/>
      <c r="M230" s="663"/>
      <c r="N230" s="663"/>
      <c r="O230" s="663"/>
      <c r="P230" s="663"/>
      <c r="Q230" s="663"/>
      <c r="R230" s="663"/>
      <c r="S230" s="663"/>
    </row>
    <row r="231" spans="1:19" x14ac:dyDescent="0.15">
      <c r="A231" s="663"/>
      <c r="B231" s="663"/>
      <c r="C231" s="663"/>
      <c r="D231" s="663"/>
      <c r="E231" s="663"/>
      <c r="F231" s="663"/>
      <c r="G231" s="663"/>
      <c r="H231" s="663"/>
      <c r="I231" s="663"/>
      <c r="J231" s="663"/>
      <c r="K231" s="663"/>
      <c r="L231" s="663"/>
      <c r="M231" s="663"/>
      <c r="N231" s="663"/>
      <c r="O231" s="663"/>
      <c r="P231" s="663"/>
      <c r="Q231" s="663"/>
      <c r="R231" s="663"/>
      <c r="S231" s="663"/>
    </row>
    <row r="232" spans="1:19" x14ac:dyDescent="0.15">
      <c r="A232" s="663"/>
      <c r="B232" s="663"/>
      <c r="C232" s="663"/>
      <c r="D232" s="663"/>
      <c r="E232" s="663"/>
      <c r="F232" s="663"/>
      <c r="G232" s="663"/>
      <c r="H232" s="663"/>
      <c r="I232" s="663"/>
      <c r="J232" s="663"/>
      <c r="K232" s="663"/>
      <c r="L232" s="663"/>
      <c r="M232" s="663"/>
      <c r="N232" s="663"/>
      <c r="O232" s="663"/>
      <c r="P232" s="663"/>
      <c r="Q232" s="663"/>
      <c r="R232" s="663"/>
      <c r="S232" s="663"/>
    </row>
    <row r="233" spans="1:19" x14ac:dyDescent="0.15">
      <c r="A233" s="663"/>
      <c r="B233" s="663"/>
      <c r="C233" s="663"/>
      <c r="D233" s="663"/>
      <c r="E233" s="663"/>
      <c r="F233" s="663"/>
      <c r="G233" s="663"/>
      <c r="H233" s="663"/>
      <c r="I233" s="663"/>
      <c r="J233" s="663"/>
      <c r="K233" s="663"/>
      <c r="L233" s="663"/>
      <c r="M233" s="663"/>
      <c r="N233" s="663"/>
      <c r="O233" s="663"/>
      <c r="P233" s="663"/>
      <c r="Q233" s="663"/>
      <c r="R233" s="663"/>
      <c r="S233" s="663"/>
    </row>
    <row r="234" spans="1:19" x14ac:dyDescent="0.15">
      <c r="A234" s="663"/>
      <c r="B234" s="663"/>
      <c r="C234" s="663"/>
      <c r="D234" s="663"/>
      <c r="E234" s="663"/>
      <c r="F234" s="663"/>
      <c r="G234" s="663"/>
      <c r="H234" s="663"/>
      <c r="I234" s="663"/>
      <c r="J234" s="663"/>
      <c r="K234" s="663"/>
      <c r="L234" s="663"/>
      <c r="M234" s="663"/>
      <c r="N234" s="663"/>
      <c r="O234" s="663"/>
      <c r="P234" s="663"/>
      <c r="Q234" s="663"/>
      <c r="R234" s="663"/>
      <c r="S234" s="663"/>
    </row>
    <row r="235" spans="1:19" x14ac:dyDescent="0.15">
      <c r="A235" s="663"/>
      <c r="B235" s="663"/>
      <c r="C235" s="663"/>
      <c r="D235" s="663"/>
      <c r="E235" s="663"/>
      <c r="F235" s="663"/>
      <c r="G235" s="663"/>
      <c r="H235" s="663"/>
      <c r="I235" s="663"/>
      <c r="J235" s="663"/>
      <c r="K235" s="663"/>
      <c r="L235" s="663"/>
      <c r="M235" s="663"/>
      <c r="N235" s="663"/>
      <c r="O235" s="663"/>
      <c r="P235" s="663"/>
      <c r="Q235" s="663"/>
      <c r="R235" s="663"/>
      <c r="S235" s="663"/>
    </row>
    <row r="236" spans="1:19" x14ac:dyDescent="0.15">
      <c r="A236" s="663"/>
      <c r="B236" s="663"/>
      <c r="C236" s="663"/>
      <c r="D236" s="663"/>
      <c r="E236" s="663"/>
      <c r="F236" s="663"/>
      <c r="G236" s="663"/>
      <c r="H236" s="663"/>
      <c r="I236" s="663"/>
      <c r="J236" s="663"/>
      <c r="K236" s="663"/>
      <c r="L236" s="663"/>
      <c r="M236" s="663"/>
      <c r="N236" s="663"/>
      <c r="O236" s="663"/>
      <c r="P236" s="663"/>
      <c r="Q236" s="663"/>
      <c r="R236" s="663"/>
      <c r="S236" s="663"/>
    </row>
    <row r="237" spans="1:19" x14ac:dyDescent="0.15">
      <c r="A237" s="663"/>
      <c r="B237" s="663"/>
      <c r="C237" s="663"/>
      <c r="D237" s="663"/>
      <c r="E237" s="663"/>
      <c r="F237" s="663"/>
      <c r="G237" s="663"/>
      <c r="H237" s="663"/>
      <c r="I237" s="663"/>
      <c r="J237" s="663"/>
      <c r="K237" s="663"/>
      <c r="L237" s="663"/>
      <c r="M237" s="663"/>
      <c r="N237" s="663"/>
      <c r="O237" s="663"/>
      <c r="P237" s="663"/>
      <c r="Q237" s="663"/>
      <c r="R237" s="663"/>
      <c r="S237" s="663"/>
    </row>
    <row r="238" spans="1:19" x14ac:dyDescent="0.15">
      <c r="A238" s="663"/>
      <c r="B238" s="663"/>
      <c r="C238" s="663"/>
      <c r="D238" s="663"/>
      <c r="E238" s="663"/>
      <c r="F238" s="663"/>
      <c r="G238" s="663"/>
      <c r="H238" s="663"/>
      <c r="I238" s="663"/>
      <c r="J238" s="663"/>
      <c r="K238" s="663"/>
      <c r="L238" s="663"/>
      <c r="M238" s="663"/>
      <c r="N238" s="663"/>
      <c r="O238" s="663"/>
      <c r="P238" s="663"/>
      <c r="Q238" s="663"/>
      <c r="R238" s="663"/>
      <c r="S238" s="663"/>
    </row>
    <row r="239" spans="1:19" x14ac:dyDescent="0.15">
      <c r="A239" s="663"/>
      <c r="B239" s="663"/>
      <c r="C239" s="663"/>
      <c r="D239" s="663"/>
      <c r="E239" s="663"/>
      <c r="F239" s="663"/>
      <c r="G239" s="663"/>
      <c r="H239" s="663"/>
      <c r="I239" s="663"/>
      <c r="J239" s="663"/>
      <c r="K239" s="663"/>
      <c r="L239" s="663"/>
      <c r="M239" s="663"/>
      <c r="N239" s="663"/>
      <c r="O239" s="663"/>
      <c r="P239" s="663"/>
      <c r="Q239" s="663"/>
      <c r="R239" s="663"/>
      <c r="S239" s="663"/>
    </row>
    <row r="240" spans="1:19" x14ac:dyDescent="0.15">
      <c r="A240" s="146"/>
      <c r="B240" s="146"/>
    </row>
    <row r="241" spans="1:2" x14ac:dyDescent="0.15">
      <c r="A241" s="146"/>
      <c r="B241" s="146"/>
    </row>
    <row r="242" spans="1:2" x14ac:dyDescent="0.15">
      <c r="A242" s="146"/>
      <c r="B242" s="146"/>
    </row>
    <row r="243" spans="1:2" x14ac:dyDescent="0.15">
      <c r="A243" s="146"/>
      <c r="B243" s="146"/>
    </row>
    <row r="244" spans="1:2" x14ac:dyDescent="0.15">
      <c r="A244" s="146"/>
      <c r="B244" s="146"/>
    </row>
    <row r="245" spans="1:2" x14ac:dyDescent="0.15">
      <c r="A245" s="146"/>
      <c r="B245" s="146"/>
    </row>
    <row r="246" spans="1:2" x14ac:dyDescent="0.15">
      <c r="A246" s="146"/>
      <c r="B246" s="146"/>
    </row>
    <row r="247" spans="1:2" x14ac:dyDescent="0.15">
      <c r="A247" s="146"/>
      <c r="B247" s="146"/>
    </row>
    <row r="248" spans="1:2" x14ac:dyDescent="0.15">
      <c r="A248" s="146"/>
      <c r="B248" s="146"/>
    </row>
    <row r="249" spans="1:2" x14ac:dyDescent="0.15">
      <c r="A249" s="146"/>
      <c r="B249" s="146"/>
    </row>
    <row r="250" spans="1:2" x14ac:dyDescent="0.15">
      <c r="A250" s="146"/>
      <c r="B250" s="146"/>
    </row>
    <row r="251" spans="1:2" x14ac:dyDescent="0.15">
      <c r="A251" s="146"/>
      <c r="B251" s="146"/>
    </row>
    <row r="252" spans="1:2" x14ac:dyDescent="0.15">
      <c r="A252" s="146"/>
      <c r="B252" s="146"/>
    </row>
    <row r="253" spans="1:2" x14ac:dyDescent="0.15">
      <c r="A253" s="146"/>
      <c r="B253" s="146"/>
    </row>
    <row r="254" spans="1:2" x14ac:dyDescent="0.15">
      <c r="A254" s="146"/>
      <c r="B254" s="146"/>
    </row>
    <row r="255" spans="1:2" x14ac:dyDescent="0.15">
      <c r="A255" s="146"/>
      <c r="B255" s="146"/>
    </row>
    <row r="256" spans="1:2" x14ac:dyDescent="0.15">
      <c r="A256" s="146"/>
      <c r="B256" s="146"/>
    </row>
    <row r="257" spans="1:2" x14ac:dyDescent="0.15">
      <c r="A257" s="146"/>
      <c r="B257" s="146"/>
    </row>
    <row r="258" spans="1:2" x14ac:dyDescent="0.15">
      <c r="A258" s="146"/>
      <c r="B258" s="146"/>
    </row>
    <row r="259" spans="1:2" x14ac:dyDescent="0.15">
      <c r="A259" s="146"/>
      <c r="B259" s="146"/>
    </row>
    <row r="260" spans="1:2" x14ac:dyDescent="0.15">
      <c r="A260" s="146"/>
      <c r="B260" s="146"/>
    </row>
    <row r="261" spans="1:2" x14ac:dyDescent="0.15">
      <c r="A261" s="146"/>
      <c r="B261" s="146"/>
    </row>
    <row r="262" spans="1:2" x14ac:dyDescent="0.15">
      <c r="A262" s="146"/>
      <c r="B262" s="146"/>
    </row>
    <row r="263" spans="1:2" x14ac:dyDescent="0.15">
      <c r="A263" s="146"/>
      <c r="B263" s="146"/>
    </row>
    <row r="264" spans="1:2" x14ac:dyDescent="0.15">
      <c r="A264" s="146"/>
      <c r="B264" s="146"/>
    </row>
    <row r="265" spans="1:2" x14ac:dyDescent="0.15">
      <c r="A265" s="146"/>
      <c r="B265" s="146"/>
    </row>
    <row r="266" spans="1:2" x14ac:dyDescent="0.15">
      <c r="A266" s="146"/>
      <c r="B266" s="146"/>
    </row>
    <row r="267" spans="1:2" x14ac:dyDescent="0.15">
      <c r="A267" s="146"/>
      <c r="B267" s="146"/>
    </row>
    <row r="268" spans="1:2" x14ac:dyDescent="0.15">
      <c r="A268" s="146"/>
      <c r="B268" s="146"/>
    </row>
    <row r="269" spans="1:2" x14ac:dyDescent="0.15">
      <c r="A269" s="146"/>
      <c r="B269" s="146"/>
    </row>
    <row r="270" spans="1:2" x14ac:dyDescent="0.15">
      <c r="A270" s="146"/>
      <c r="B270" s="146"/>
    </row>
    <row r="271" spans="1:2" x14ac:dyDescent="0.15">
      <c r="A271" s="146"/>
      <c r="B271" s="146"/>
    </row>
    <row r="272" spans="1:2" x14ac:dyDescent="0.15">
      <c r="A272" s="146"/>
      <c r="B272" s="146"/>
    </row>
    <row r="273" spans="1:2" x14ac:dyDescent="0.15">
      <c r="A273" s="146"/>
      <c r="B273" s="146"/>
    </row>
    <row r="274" spans="1:2" x14ac:dyDescent="0.15">
      <c r="A274" s="146"/>
      <c r="B274" s="146"/>
    </row>
    <row r="275" spans="1:2" x14ac:dyDescent="0.15">
      <c r="A275" s="146"/>
      <c r="B275" s="146"/>
    </row>
    <row r="276" spans="1:2" x14ac:dyDescent="0.15">
      <c r="A276" s="146"/>
      <c r="B276" s="146"/>
    </row>
    <row r="277" spans="1:2" x14ac:dyDescent="0.15">
      <c r="A277" s="146"/>
      <c r="B277" s="146"/>
    </row>
    <row r="278" spans="1:2" x14ac:dyDescent="0.15">
      <c r="A278" s="146"/>
      <c r="B278" s="146"/>
    </row>
    <row r="279" spans="1:2" x14ac:dyDescent="0.15">
      <c r="A279" s="146"/>
      <c r="B279" s="146"/>
    </row>
    <row r="280" spans="1:2" x14ac:dyDescent="0.15">
      <c r="A280" s="146"/>
      <c r="B280" s="146"/>
    </row>
    <row r="281" spans="1:2" x14ac:dyDescent="0.15">
      <c r="A281" s="146"/>
      <c r="B281" s="146"/>
    </row>
    <row r="282" spans="1:2" x14ac:dyDescent="0.15">
      <c r="A282" s="146"/>
      <c r="B282" s="146"/>
    </row>
    <row r="283" spans="1:2" x14ac:dyDescent="0.15">
      <c r="A283" s="146"/>
      <c r="B283" s="146"/>
    </row>
    <row r="284" spans="1:2" x14ac:dyDescent="0.15">
      <c r="A284" s="146"/>
      <c r="B284" s="146"/>
    </row>
    <row r="285" spans="1:2" x14ac:dyDescent="0.15">
      <c r="A285" s="146"/>
      <c r="B285" s="146"/>
    </row>
    <row r="286" spans="1:2" x14ac:dyDescent="0.15">
      <c r="A286" s="146"/>
      <c r="B286" s="146"/>
    </row>
    <row r="287" spans="1:2" x14ac:dyDescent="0.15">
      <c r="A287" s="146"/>
      <c r="B287" s="146"/>
    </row>
    <row r="288" spans="1:2" x14ac:dyDescent="0.15">
      <c r="A288" s="146"/>
      <c r="B288" s="146"/>
    </row>
    <row r="289" spans="1:2" x14ac:dyDescent="0.15">
      <c r="A289" s="146"/>
      <c r="B289" s="146"/>
    </row>
    <row r="290" spans="1:2" x14ac:dyDescent="0.15">
      <c r="A290" s="146"/>
      <c r="B290" s="146"/>
    </row>
    <row r="291" spans="1:2" x14ac:dyDescent="0.15">
      <c r="A291" s="146"/>
      <c r="B291" s="146"/>
    </row>
    <row r="292" spans="1:2" x14ac:dyDescent="0.15">
      <c r="A292" s="146"/>
      <c r="B292" s="146"/>
    </row>
    <row r="293" spans="1:2" x14ac:dyDescent="0.15">
      <c r="A293" s="146"/>
      <c r="B293" s="146"/>
    </row>
    <row r="294" spans="1:2" x14ac:dyDescent="0.15">
      <c r="A294" s="146"/>
      <c r="B294" s="146"/>
    </row>
    <row r="295" spans="1:2" x14ac:dyDescent="0.15">
      <c r="A295" s="146"/>
      <c r="B295" s="146"/>
    </row>
    <row r="296" spans="1:2" x14ac:dyDescent="0.15">
      <c r="A296" s="146"/>
      <c r="B296" s="146"/>
    </row>
    <row r="297" spans="1:2" x14ac:dyDescent="0.15">
      <c r="A297" s="146"/>
      <c r="B297" s="146"/>
    </row>
    <row r="298" spans="1:2" x14ac:dyDescent="0.15">
      <c r="A298" s="146"/>
      <c r="B298" s="146"/>
    </row>
    <row r="299" spans="1:2" x14ac:dyDescent="0.15">
      <c r="A299" s="146"/>
      <c r="B299" s="146"/>
    </row>
    <row r="300" spans="1:2" x14ac:dyDescent="0.15">
      <c r="A300" s="146"/>
      <c r="B300" s="146"/>
    </row>
    <row r="301" spans="1:2" x14ac:dyDescent="0.15">
      <c r="A301" s="146"/>
      <c r="B301" s="146"/>
    </row>
    <row r="302" spans="1:2" x14ac:dyDescent="0.15">
      <c r="A302" s="146"/>
      <c r="B302" s="146"/>
    </row>
    <row r="303" spans="1:2" x14ac:dyDescent="0.15">
      <c r="A303" s="146"/>
      <c r="B303" s="146"/>
    </row>
    <row r="304" spans="1:2" x14ac:dyDescent="0.15">
      <c r="A304" s="146"/>
      <c r="B304" s="146"/>
    </row>
    <row r="305" spans="1:2" x14ac:dyDescent="0.15">
      <c r="A305" s="146"/>
      <c r="B305" s="146"/>
    </row>
    <row r="306" spans="1:2" x14ac:dyDescent="0.15">
      <c r="A306" s="146"/>
      <c r="B306" s="146"/>
    </row>
    <row r="307" spans="1:2" x14ac:dyDescent="0.15">
      <c r="A307" s="146"/>
      <c r="B307" s="146"/>
    </row>
    <row r="308" spans="1:2" x14ac:dyDescent="0.15">
      <c r="A308" s="146"/>
      <c r="B308" s="146"/>
    </row>
    <row r="309" spans="1:2" x14ac:dyDescent="0.15">
      <c r="A309" s="146"/>
      <c r="B309" s="146"/>
    </row>
    <row r="310" spans="1:2" x14ac:dyDescent="0.15">
      <c r="A310" s="146"/>
      <c r="B310" s="146"/>
    </row>
    <row r="311" spans="1:2" x14ac:dyDescent="0.15">
      <c r="A311" s="146"/>
      <c r="B311" s="146"/>
    </row>
    <row r="312" spans="1:2" x14ac:dyDescent="0.15">
      <c r="A312" s="146"/>
      <c r="B312" s="146"/>
    </row>
    <row r="313" spans="1:2" x14ac:dyDescent="0.15">
      <c r="A313" s="146"/>
      <c r="B313" s="146"/>
    </row>
    <row r="314" spans="1:2" x14ac:dyDescent="0.15">
      <c r="A314" s="146"/>
      <c r="B314" s="146"/>
    </row>
    <row r="315" spans="1:2" x14ac:dyDescent="0.15">
      <c r="A315" s="146"/>
      <c r="B315" s="146"/>
    </row>
    <row r="316" spans="1:2" x14ac:dyDescent="0.15">
      <c r="A316" s="146"/>
      <c r="B316" s="146"/>
    </row>
    <row r="317" spans="1:2" x14ac:dyDescent="0.15">
      <c r="A317" s="146"/>
      <c r="B317" s="146"/>
    </row>
    <row r="318" spans="1:2" x14ac:dyDescent="0.15">
      <c r="A318" s="146"/>
      <c r="B318" s="146"/>
    </row>
    <row r="319" spans="1:2" x14ac:dyDescent="0.15">
      <c r="A319" s="146"/>
      <c r="B319" s="146"/>
    </row>
    <row r="320" spans="1:2" x14ac:dyDescent="0.15">
      <c r="A320" s="146"/>
      <c r="B320" s="146"/>
    </row>
    <row r="321" spans="1:2" x14ac:dyDescent="0.15">
      <c r="A321" s="146"/>
      <c r="B321" s="146"/>
    </row>
    <row r="322" spans="1:2" x14ac:dyDescent="0.15">
      <c r="A322" s="146"/>
      <c r="B322" s="146"/>
    </row>
    <row r="323" spans="1:2" x14ac:dyDescent="0.15">
      <c r="A323" s="146"/>
      <c r="B323" s="146"/>
    </row>
    <row r="324" spans="1:2" x14ac:dyDescent="0.15">
      <c r="A324" s="146"/>
      <c r="B324" s="146"/>
    </row>
    <row r="325" spans="1:2" x14ac:dyDescent="0.15">
      <c r="A325" s="146"/>
      <c r="B325" s="146"/>
    </row>
    <row r="326" spans="1:2" x14ac:dyDescent="0.15">
      <c r="A326" s="146"/>
      <c r="B326" s="146"/>
    </row>
    <row r="327" spans="1:2" x14ac:dyDescent="0.15">
      <c r="A327" s="146"/>
      <c r="B327" s="146"/>
    </row>
    <row r="328" spans="1:2" x14ac:dyDescent="0.15">
      <c r="A328" s="146"/>
      <c r="B328" s="146"/>
    </row>
    <row r="329" spans="1:2" x14ac:dyDescent="0.15">
      <c r="A329" s="146"/>
      <c r="B329" s="146"/>
    </row>
    <row r="330" spans="1:2" x14ac:dyDescent="0.15">
      <c r="A330" s="146"/>
      <c r="B330" s="146"/>
    </row>
    <row r="331" spans="1:2" x14ac:dyDescent="0.15">
      <c r="A331" s="146"/>
      <c r="B331" s="146"/>
    </row>
    <row r="332" spans="1:2" x14ac:dyDescent="0.15">
      <c r="A332" s="146"/>
      <c r="B332" s="146"/>
    </row>
    <row r="333" spans="1:2" x14ac:dyDescent="0.15">
      <c r="A333" s="146"/>
      <c r="B333" s="146"/>
    </row>
    <row r="334" spans="1:2" x14ac:dyDescent="0.15">
      <c r="A334" s="146"/>
      <c r="B334" s="146"/>
    </row>
    <row r="335" spans="1:2" x14ac:dyDescent="0.15">
      <c r="A335" s="146"/>
      <c r="B335" s="146"/>
    </row>
    <row r="336" spans="1:2" x14ac:dyDescent="0.15">
      <c r="A336" s="146"/>
      <c r="B336" s="146"/>
    </row>
    <row r="337" spans="1:2" x14ac:dyDescent="0.15">
      <c r="A337" s="146"/>
      <c r="B337" s="146"/>
    </row>
    <row r="338" spans="1:2" x14ac:dyDescent="0.15">
      <c r="A338" s="146"/>
      <c r="B338" s="146"/>
    </row>
    <row r="339" spans="1:2" x14ac:dyDescent="0.15">
      <c r="A339" s="146"/>
      <c r="B339" s="146"/>
    </row>
    <row r="340" spans="1:2" x14ac:dyDescent="0.15">
      <c r="A340" s="146"/>
      <c r="B340" s="146"/>
    </row>
    <row r="341" spans="1:2" x14ac:dyDescent="0.15">
      <c r="A341" s="146"/>
      <c r="B341" s="146"/>
    </row>
    <row r="342" spans="1:2" x14ac:dyDescent="0.15">
      <c r="A342" s="146"/>
      <c r="B342" s="146"/>
    </row>
    <row r="343" spans="1:2" x14ac:dyDescent="0.15">
      <c r="A343" s="146"/>
      <c r="B343" s="146"/>
    </row>
    <row r="344" spans="1:2" x14ac:dyDescent="0.15">
      <c r="A344" s="146"/>
      <c r="B344" s="146"/>
    </row>
    <row r="345" spans="1:2" x14ac:dyDescent="0.15">
      <c r="A345" s="146"/>
      <c r="B345" s="146"/>
    </row>
    <row r="346" spans="1:2" x14ac:dyDescent="0.15">
      <c r="A346" s="146"/>
      <c r="B346" s="146"/>
    </row>
    <row r="347" spans="1:2" x14ac:dyDescent="0.15">
      <c r="A347" s="146"/>
      <c r="B347" s="146"/>
    </row>
    <row r="348" spans="1:2" x14ac:dyDescent="0.15">
      <c r="A348" s="146"/>
      <c r="B348" s="146"/>
    </row>
    <row r="349" spans="1:2" x14ac:dyDescent="0.15">
      <c r="A349" s="146"/>
      <c r="B349" s="146"/>
    </row>
    <row r="350" spans="1:2" x14ac:dyDescent="0.15">
      <c r="A350" s="146"/>
      <c r="B350" s="146"/>
    </row>
    <row r="351" spans="1:2" x14ac:dyDescent="0.15">
      <c r="A351" s="146"/>
      <c r="B351" s="146"/>
    </row>
    <row r="352" spans="1:2" x14ac:dyDescent="0.15">
      <c r="A352" s="146"/>
      <c r="B352" s="146"/>
    </row>
    <row r="353" spans="1:2" x14ac:dyDescent="0.15">
      <c r="A353" s="146"/>
      <c r="B353" s="146"/>
    </row>
    <row r="354" spans="1:2" x14ac:dyDescent="0.15">
      <c r="A354" s="146"/>
      <c r="B354" s="146"/>
    </row>
    <row r="355" spans="1:2" x14ac:dyDescent="0.15">
      <c r="A355" s="146"/>
      <c r="B355" s="146"/>
    </row>
    <row r="356" spans="1:2" x14ac:dyDescent="0.15">
      <c r="A356" s="146"/>
      <c r="B356" s="146"/>
    </row>
    <row r="357" spans="1:2" x14ac:dyDescent="0.15">
      <c r="A357" s="146"/>
      <c r="B357" s="146"/>
    </row>
    <row r="358" spans="1:2" x14ac:dyDescent="0.15">
      <c r="A358" s="146"/>
      <c r="B358" s="146"/>
    </row>
    <row r="359" spans="1:2" x14ac:dyDescent="0.15">
      <c r="A359" s="146"/>
      <c r="B359" s="146"/>
    </row>
    <row r="360" spans="1:2" x14ac:dyDescent="0.15">
      <c r="A360" s="146"/>
      <c r="B360" s="146"/>
    </row>
    <row r="361" spans="1:2" x14ac:dyDescent="0.15">
      <c r="A361" s="146"/>
      <c r="B361" s="146"/>
    </row>
    <row r="362" spans="1:2" x14ac:dyDescent="0.15">
      <c r="A362" s="146"/>
      <c r="B362" s="146"/>
    </row>
    <row r="363" spans="1:2" x14ac:dyDescent="0.15">
      <c r="A363" s="146"/>
      <c r="B363" s="146"/>
    </row>
    <row r="364" spans="1:2" x14ac:dyDescent="0.15">
      <c r="A364" s="146"/>
      <c r="B364" s="146"/>
    </row>
    <row r="365" spans="1:2" x14ac:dyDescent="0.15">
      <c r="A365" s="146"/>
      <c r="B365" s="146"/>
    </row>
    <row r="366" spans="1:2" x14ac:dyDescent="0.15">
      <c r="A366" s="146"/>
      <c r="B366" s="146"/>
    </row>
    <row r="367" spans="1:2" x14ac:dyDescent="0.15">
      <c r="A367" s="146"/>
      <c r="B367" s="146"/>
    </row>
    <row r="368" spans="1:2" x14ac:dyDescent="0.15">
      <c r="A368" s="146"/>
      <c r="B368" s="146"/>
    </row>
    <row r="369" spans="1:2" x14ac:dyDescent="0.15">
      <c r="A369" s="146"/>
      <c r="B369" s="146"/>
    </row>
    <row r="370" spans="1:2" x14ac:dyDescent="0.15">
      <c r="A370" s="146"/>
      <c r="B370" s="146"/>
    </row>
    <row r="371" spans="1:2" x14ac:dyDescent="0.15">
      <c r="A371" s="146"/>
      <c r="B371" s="146"/>
    </row>
    <row r="372" spans="1:2" x14ac:dyDescent="0.15">
      <c r="A372" s="146"/>
      <c r="B372" s="146"/>
    </row>
    <row r="373" spans="1:2" x14ac:dyDescent="0.15">
      <c r="A373" s="146"/>
      <c r="B373" s="146"/>
    </row>
    <row r="374" spans="1:2" x14ac:dyDescent="0.15">
      <c r="A374" s="146"/>
      <c r="B374" s="146"/>
    </row>
    <row r="375" spans="1:2" x14ac:dyDescent="0.15">
      <c r="A375" s="146"/>
      <c r="B375" s="146"/>
    </row>
    <row r="376" spans="1:2" x14ac:dyDescent="0.15">
      <c r="A376" s="146"/>
      <c r="B376" s="146"/>
    </row>
    <row r="377" spans="1:2" x14ac:dyDescent="0.15">
      <c r="A377" s="146"/>
      <c r="B377" s="146"/>
    </row>
    <row r="378" spans="1:2" x14ac:dyDescent="0.15">
      <c r="A378" s="146"/>
      <c r="B378" s="146"/>
    </row>
    <row r="379" spans="1:2" x14ac:dyDescent="0.15">
      <c r="A379" s="146"/>
      <c r="B379" s="146"/>
    </row>
    <row r="380" spans="1:2" x14ac:dyDescent="0.15">
      <c r="A380" s="146"/>
      <c r="B380" s="146"/>
    </row>
    <row r="381" spans="1:2" x14ac:dyDescent="0.15">
      <c r="A381" s="146"/>
      <c r="B381" s="146"/>
    </row>
    <row r="382" spans="1:2" x14ac:dyDescent="0.15">
      <c r="A382" s="146"/>
      <c r="B382" s="146"/>
    </row>
    <row r="383" spans="1:2" x14ac:dyDescent="0.15">
      <c r="A383" s="146"/>
      <c r="B383" s="146"/>
    </row>
    <row r="384" spans="1:2" x14ac:dyDescent="0.15">
      <c r="A384" s="146"/>
      <c r="B384" s="146"/>
    </row>
    <row r="385" spans="1:2" x14ac:dyDescent="0.15">
      <c r="A385" s="146"/>
      <c r="B385" s="146"/>
    </row>
    <row r="386" spans="1:2" x14ac:dyDescent="0.15">
      <c r="A386" s="146"/>
      <c r="B386" s="146"/>
    </row>
    <row r="387" spans="1:2" x14ac:dyDescent="0.15">
      <c r="A387" s="146"/>
      <c r="B387" s="146"/>
    </row>
    <row r="388" spans="1:2" x14ac:dyDescent="0.15">
      <c r="A388" s="146"/>
      <c r="B388" s="146"/>
    </row>
    <row r="389" spans="1:2" x14ac:dyDescent="0.15">
      <c r="A389" s="146"/>
      <c r="B389" s="146"/>
    </row>
    <row r="390" spans="1:2" x14ac:dyDescent="0.15">
      <c r="A390" s="146"/>
      <c r="B390" s="146"/>
    </row>
    <row r="391" spans="1:2" x14ac:dyDescent="0.15">
      <c r="A391" s="146"/>
      <c r="B391" s="146"/>
    </row>
    <row r="392" spans="1:2" x14ac:dyDescent="0.15">
      <c r="A392" s="146"/>
      <c r="B392" s="146"/>
    </row>
    <row r="393" spans="1:2" x14ac:dyDescent="0.15">
      <c r="A393" s="146"/>
      <c r="B393" s="146"/>
    </row>
    <row r="394" spans="1:2" x14ac:dyDescent="0.15">
      <c r="A394" s="146"/>
      <c r="B394" s="146"/>
    </row>
    <row r="395" spans="1:2" x14ac:dyDescent="0.15">
      <c r="A395" s="146"/>
      <c r="B395" s="146"/>
    </row>
    <row r="396" spans="1:2" x14ac:dyDescent="0.15">
      <c r="A396" s="146"/>
      <c r="B396" s="146"/>
    </row>
    <row r="397" spans="1:2" x14ac:dyDescent="0.15">
      <c r="A397" s="146"/>
      <c r="B397" s="146"/>
    </row>
    <row r="398" spans="1:2" x14ac:dyDescent="0.15">
      <c r="A398" s="146"/>
      <c r="B398" s="146"/>
    </row>
    <row r="399" spans="1:2" x14ac:dyDescent="0.15">
      <c r="A399" s="146"/>
      <c r="B399" s="146"/>
    </row>
    <row r="400" spans="1:2" x14ac:dyDescent="0.15">
      <c r="A400" s="146"/>
      <c r="B400" s="146"/>
    </row>
    <row r="401" spans="1:2" x14ac:dyDescent="0.15">
      <c r="A401" s="146"/>
      <c r="B401" s="146"/>
    </row>
    <row r="402" spans="1:2" x14ac:dyDescent="0.15">
      <c r="A402" s="146"/>
      <c r="B402" s="146"/>
    </row>
    <row r="403" spans="1:2" x14ac:dyDescent="0.15">
      <c r="A403" s="146"/>
      <c r="B403" s="146"/>
    </row>
    <row r="404" spans="1:2" x14ac:dyDescent="0.15">
      <c r="A404" s="146"/>
      <c r="B404" s="146"/>
    </row>
    <row r="405" spans="1:2" x14ac:dyDescent="0.15">
      <c r="A405" s="146"/>
      <c r="B405" s="146"/>
    </row>
    <row r="406" spans="1:2" x14ac:dyDescent="0.15">
      <c r="A406" s="146"/>
      <c r="B406" s="146"/>
    </row>
    <row r="407" spans="1:2" x14ac:dyDescent="0.15">
      <c r="A407" s="146"/>
      <c r="B407" s="146"/>
    </row>
    <row r="408" spans="1:2" x14ac:dyDescent="0.15">
      <c r="A408" s="146"/>
      <c r="B408" s="146"/>
    </row>
    <row r="409" spans="1:2" x14ac:dyDescent="0.15">
      <c r="A409" s="146"/>
      <c r="B409" s="146"/>
    </row>
    <row r="410" spans="1:2" x14ac:dyDescent="0.15">
      <c r="A410" s="146"/>
      <c r="B410" s="146"/>
    </row>
    <row r="411" spans="1:2" x14ac:dyDescent="0.15">
      <c r="A411" s="146"/>
      <c r="B411" s="146"/>
    </row>
    <row r="412" spans="1:2" x14ac:dyDescent="0.15">
      <c r="A412" s="146"/>
      <c r="B412" s="146"/>
    </row>
    <row r="413" spans="1:2" x14ac:dyDescent="0.15">
      <c r="A413" s="146"/>
      <c r="B413" s="146"/>
    </row>
    <row r="414" spans="1:2" x14ac:dyDescent="0.15">
      <c r="A414" s="146"/>
      <c r="B414" s="146"/>
    </row>
    <row r="415" spans="1:2" x14ac:dyDescent="0.15">
      <c r="A415" s="146"/>
      <c r="B415" s="146"/>
    </row>
    <row r="416" spans="1:2" x14ac:dyDescent="0.15">
      <c r="A416" s="146"/>
      <c r="B416" s="146"/>
    </row>
    <row r="417" spans="1:2" x14ac:dyDescent="0.15">
      <c r="A417" s="146"/>
      <c r="B417" s="146"/>
    </row>
    <row r="418" spans="1:2" x14ac:dyDescent="0.15">
      <c r="A418" s="146"/>
      <c r="B418" s="146"/>
    </row>
    <row r="419" spans="1:2" x14ac:dyDescent="0.15">
      <c r="A419" s="146"/>
      <c r="B419" s="146"/>
    </row>
    <row r="420" spans="1:2" x14ac:dyDescent="0.15">
      <c r="A420" s="146"/>
      <c r="B420" s="146"/>
    </row>
    <row r="421" spans="1:2" x14ac:dyDescent="0.15">
      <c r="A421" s="146"/>
      <c r="B421" s="146"/>
    </row>
    <row r="422" spans="1:2" x14ac:dyDescent="0.15">
      <c r="A422" s="146"/>
      <c r="B422" s="146"/>
    </row>
    <row r="423" spans="1:2" x14ac:dyDescent="0.15">
      <c r="A423" s="146"/>
      <c r="B423" s="146"/>
    </row>
    <row r="424" spans="1:2" x14ac:dyDescent="0.15">
      <c r="A424" s="146"/>
      <c r="B424" s="146"/>
    </row>
    <row r="425" spans="1:2" x14ac:dyDescent="0.15">
      <c r="A425" s="146"/>
      <c r="B425" s="146"/>
    </row>
    <row r="426" spans="1:2" x14ac:dyDescent="0.15">
      <c r="A426" s="146"/>
      <c r="B426" s="146"/>
    </row>
    <row r="427" spans="1:2" x14ac:dyDescent="0.15">
      <c r="A427" s="146"/>
      <c r="B427" s="146"/>
    </row>
    <row r="428" spans="1:2" x14ac:dyDescent="0.15">
      <c r="A428" s="146"/>
      <c r="B428" s="146"/>
    </row>
    <row r="429" spans="1:2" x14ac:dyDescent="0.15">
      <c r="A429" s="146"/>
      <c r="B429" s="146"/>
    </row>
    <row r="430" spans="1:2" x14ac:dyDescent="0.15">
      <c r="A430" s="146"/>
      <c r="B430" s="146"/>
    </row>
    <row r="431" spans="1:2" x14ac:dyDescent="0.15">
      <c r="A431" s="146"/>
      <c r="B431" s="146"/>
    </row>
    <row r="432" spans="1:2" x14ac:dyDescent="0.15">
      <c r="A432" s="146"/>
      <c r="B432" s="146"/>
    </row>
    <row r="433" spans="1:2" x14ac:dyDescent="0.15">
      <c r="A433" s="146"/>
      <c r="B433" s="146"/>
    </row>
    <row r="434" spans="1:2" x14ac:dyDescent="0.15">
      <c r="A434" s="146"/>
      <c r="B434" s="146"/>
    </row>
    <row r="435" spans="1:2" x14ac:dyDescent="0.15">
      <c r="A435" s="146"/>
      <c r="B435" s="146"/>
    </row>
    <row r="436" spans="1:2" x14ac:dyDescent="0.15">
      <c r="A436" s="146"/>
      <c r="B436" s="146"/>
    </row>
    <row r="437" spans="1:2" x14ac:dyDescent="0.15">
      <c r="A437" s="146"/>
      <c r="B437" s="146"/>
    </row>
    <row r="438" spans="1:2" x14ac:dyDescent="0.15">
      <c r="A438" s="146"/>
      <c r="B438" s="146"/>
    </row>
    <row r="439" spans="1:2" x14ac:dyDescent="0.15">
      <c r="A439" s="146"/>
      <c r="B439" s="146"/>
    </row>
    <row r="440" spans="1:2" x14ac:dyDescent="0.15">
      <c r="A440" s="146"/>
      <c r="B440" s="146"/>
    </row>
    <row r="441" spans="1:2" x14ac:dyDescent="0.15">
      <c r="A441" s="146"/>
      <c r="B441" s="146"/>
    </row>
    <row r="442" spans="1:2" x14ac:dyDescent="0.15">
      <c r="A442" s="146"/>
      <c r="B442" s="146"/>
    </row>
    <row r="443" spans="1:2" x14ac:dyDescent="0.15">
      <c r="A443" s="146"/>
      <c r="B443" s="146"/>
    </row>
    <row r="444" spans="1:2" x14ac:dyDescent="0.15">
      <c r="A444" s="146"/>
      <c r="B444" s="146"/>
    </row>
    <row r="445" spans="1:2" x14ac:dyDescent="0.15">
      <c r="A445" s="146"/>
      <c r="B445" s="146"/>
    </row>
    <row r="446" spans="1:2" x14ac:dyDescent="0.15">
      <c r="A446" s="146"/>
      <c r="B446" s="146"/>
    </row>
    <row r="447" spans="1:2" x14ac:dyDescent="0.15">
      <c r="A447" s="146"/>
      <c r="B447" s="146"/>
    </row>
    <row r="448" spans="1:2" x14ac:dyDescent="0.15">
      <c r="A448" s="146"/>
      <c r="B448" s="146"/>
    </row>
    <row r="449" spans="1:2" x14ac:dyDescent="0.15">
      <c r="A449" s="146"/>
      <c r="B449" s="146"/>
    </row>
    <row r="450" spans="1:2" x14ac:dyDescent="0.15">
      <c r="A450" s="146"/>
      <c r="B450" s="146"/>
    </row>
    <row r="451" spans="1:2" x14ac:dyDescent="0.15">
      <c r="A451" s="146"/>
      <c r="B451" s="146"/>
    </row>
    <row r="452" spans="1:2" x14ac:dyDescent="0.15">
      <c r="A452" s="146"/>
      <c r="B452" s="146"/>
    </row>
    <row r="453" spans="1:2" x14ac:dyDescent="0.15">
      <c r="A453" s="146"/>
      <c r="B453" s="146"/>
    </row>
    <row r="454" spans="1:2" x14ac:dyDescent="0.15">
      <c r="A454" s="146"/>
      <c r="B454" s="146"/>
    </row>
    <row r="455" spans="1:2" x14ac:dyDescent="0.15">
      <c r="A455" s="146"/>
      <c r="B455" s="146"/>
    </row>
    <row r="456" spans="1:2" x14ac:dyDescent="0.15">
      <c r="A456" s="146"/>
      <c r="B456" s="146"/>
    </row>
    <row r="457" spans="1:2" x14ac:dyDescent="0.15">
      <c r="A457" s="146"/>
      <c r="B457" s="146"/>
    </row>
    <row r="458" spans="1:2" x14ac:dyDescent="0.15">
      <c r="A458" s="146"/>
      <c r="B458" s="146"/>
    </row>
    <row r="459" spans="1:2" x14ac:dyDescent="0.15">
      <c r="A459" s="146"/>
      <c r="B459" s="146"/>
    </row>
    <row r="460" spans="1:2" x14ac:dyDescent="0.15">
      <c r="A460" s="146"/>
      <c r="B460" s="146"/>
    </row>
    <row r="461" spans="1:2" x14ac:dyDescent="0.15">
      <c r="A461" s="146"/>
      <c r="B461" s="146"/>
    </row>
    <row r="462" spans="1:2" x14ac:dyDescent="0.15">
      <c r="A462" s="146"/>
      <c r="B462" s="146"/>
    </row>
    <row r="463" spans="1:2" x14ac:dyDescent="0.15">
      <c r="A463" s="146"/>
      <c r="B463" s="146"/>
    </row>
    <row r="464" spans="1:2" x14ac:dyDescent="0.15">
      <c r="A464" s="146"/>
      <c r="B464" s="146"/>
    </row>
    <row r="465" spans="1:2" x14ac:dyDescent="0.15">
      <c r="A465" s="146"/>
      <c r="B465" s="146"/>
    </row>
    <row r="466" spans="1:2" x14ac:dyDescent="0.15">
      <c r="A466" s="146"/>
      <c r="B466" s="146"/>
    </row>
    <row r="467" spans="1:2" x14ac:dyDescent="0.15">
      <c r="A467" s="146"/>
      <c r="B467" s="146"/>
    </row>
    <row r="468" spans="1:2" x14ac:dyDescent="0.15">
      <c r="A468" s="146"/>
      <c r="B468" s="146"/>
    </row>
    <row r="469" spans="1:2" x14ac:dyDescent="0.15">
      <c r="A469" s="146"/>
      <c r="B469" s="146"/>
    </row>
    <row r="470" spans="1:2" x14ac:dyDescent="0.15">
      <c r="A470" s="146"/>
      <c r="B470" s="146"/>
    </row>
    <row r="471" spans="1:2" x14ac:dyDescent="0.15">
      <c r="A471" s="146"/>
      <c r="B471" s="146"/>
    </row>
    <row r="472" spans="1:2" x14ac:dyDescent="0.15">
      <c r="A472" s="146"/>
      <c r="B472" s="146"/>
    </row>
    <row r="473" spans="1:2" x14ac:dyDescent="0.15">
      <c r="A473" s="146"/>
      <c r="B473" s="146"/>
    </row>
    <row r="474" spans="1:2" x14ac:dyDescent="0.15">
      <c r="A474" s="146"/>
      <c r="B474" s="146"/>
    </row>
    <row r="475" spans="1:2" x14ac:dyDescent="0.15">
      <c r="A475" s="146"/>
      <c r="B475" s="146"/>
    </row>
    <row r="476" spans="1:2" x14ac:dyDescent="0.15">
      <c r="A476" s="146"/>
      <c r="B476" s="146"/>
    </row>
    <row r="477" spans="1:2" x14ac:dyDescent="0.15">
      <c r="A477" s="146"/>
      <c r="B477" s="146"/>
    </row>
    <row r="478" spans="1:2" x14ac:dyDescent="0.15">
      <c r="A478" s="146"/>
      <c r="B478" s="146"/>
    </row>
    <row r="479" spans="1:2" x14ac:dyDescent="0.15">
      <c r="A479" s="146"/>
      <c r="B479" s="146"/>
    </row>
    <row r="480" spans="1:2" x14ac:dyDescent="0.15">
      <c r="A480" s="146"/>
      <c r="B480" s="146"/>
    </row>
    <row r="481" spans="1:2" x14ac:dyDescent="0.15">
      <c r="A481" s="146"/>
      <c r="B481" s="146"/>
    </row>
    <row r="482" spans="1:2" x14ac:dyDescent="0.15">
      <c r="A482" s="146"/>
      <c r="B482" s="146"/>
    </row>
    <row r="483" spans="1:2" x14ac:dyDescent="0.15">
      <c r="A483" s="146"/>
      <c r="B483" s="146"/>
    </row>
    <row r="484" spans="1:2" x14ac:dyDescent="0.15">
      <c r="A484" s="146"/>
      <c r="B484" s="146"/>
    </row>
    <row r="485" spans="1:2" x14ac:dyDescent="0.15">
      <c r="A485" s="146"/>
      <c r="B485" s="146"/>
    </row>
    <row r="486" spans="1:2" x14ac:dyDescent="0.15">
      <c r="A486" s="146"/>
      <c r="B486" s="146"/>
    </row>
    <row r="487" spans="1:2" x14ac:dyDescent="0.15">
      <c r="A487" s="146"/>
      <c r="B487" s="146"/>
    </row>
    <row r="488" spans="1:2" x14ac:dyDescent="0.15">
      <c r="A488" s="146"/>
      <c r="B488" s="146"/>
    </row>
    <row r="489" spans="1:2" x14ac:dyDescent="0.15">
      <c r="A489" s="146"/>
      <c r="B489" s="146"/>
    </row>
    <row r="490" spans="1:2" x14ac:dyDescent="0.15">
      <c r="A490" s="146"/>
      <c r="B490" s="146"/>
    </row>
    <row r="491" spans="1:2" x14ac:dyDescent="0.15">
      <c r="A491" s="146"/>
      <c r="B491" s="146"/>
    </row>
    <row r="492" spans="1:2" x14ac:dyDescent="0.15">
      <c r="A492" s="146"/>
      <c r="B492" s="146"/>
    </row>
    <row r="493" spans="1:2" x14ac:dyDescent="0.15">
      <c r="A493" s="146"/>
      <c r="B493" s="146"/>
    </row>
    <row r="494" spans="1:2" x14ac:dyDescent="0.15">
      <c r="A494" s="146"/>
      <c r="B494" s="146"/>
    </row>
    <row r="495" spans="1:2" x14ac:dyDescent="0.15">
      <c r="A495" s="146"/>
      <c r="B495" s="146"/>
    </row>
    <row r="496" spans="1:2" x14ac:dyDescent="0.15">
      <c r="A496" s="146"/>
      <c r="B496" s="146"/>
    </row>
    <row r="497" spans="1:2" x14ac:dyDescent="0.15">
      <c r="A497" s="146"/>
      <c r="B497" s="146"/>
    </row>
    <row r="498" spans="1:2" x14ac:dyDescent="0.15">
      <c r="A498" s="146"/>
      <c r="B498" s="146"/>
    </row>
    <row r="499" spans="1:2" x14ac:dyDescent="0.15">
      <c r="A499" s="146"/>
      <c r="B499" s="146"/>
    </row>
    <row r="500" spans="1:2" x14ac:dyDescent="0.15">
      <c r="A500" s="146"/>
      <c r="B500" s="146"/>
    </row>
    <row r="501" spans="1:2" x14ac:dyDescent="0.15">
      <c r="A501" s="146"/>
      <c r="B501" s="146"/>
    </row>
    <row r="502" spans="1:2" x14ac:dyDescent="0.15">
      <c r="A502" s="146"/>
      <c r="B502" s="146"/>
    </row>
    <row r="503" spans="1:2" x14ac:dyDescent="0.15">
      <c r="A503" s="146"/>
      <c r="B503" s="146"/>
    </row>
    <row r="504" spans="1:2" x14ac:dyDescent="0.15">
      <c r="A504" s="146"/>
      <c r="B504" s="146"/>
    </row>
    <row r="505" spans="1:2" x14ac:dyDescent="0.15">
      <c r="A505" s="146"/>
      <c r="B505" s="146"/>
    </row>
    <row r="506" spans="1:2" x14ac:dyDescent="0.15">
      <c r="A506" s="146"/>
      <c r="B506" s="146"/>
    </row>
    <row r="507" spans="1:2" x14ac:dyDescent="0.15">
      <c r="A507" s="146"/>
      <c r="B507" s="146"/>
    </row>
    <row r="508" spans="1:2" x14ac:dyDescent="0.15">
      <c r="A508" s="146"/>
      <c r="B508" s="146"/>
    </row>
    <row r="509" spans="1:2" x14ac:dyDescent="0.15">
      <c r="A509" s="146"/>
      <c r="B509" s="146"/>
    </row>
    <row r="510" spans="1:2" x14ac:dyDescent="0.15">
      <c r="A510" s="146"/>
      <c r="B510" s="146"/>
    </row>
    <row r="511" spans="1:2" x14ac:dyDescent="0.15">
      <c r="A511" s="146"/>
      <c r="B511" s="146"/>
    </row>
    <row r="512" spans="1:2" x14ac:dyDescent="0.15">
      <c r="A512" s="146"/>
      <c r="B512" s="146"/>
    </row>
    <row r="513" spans="1:2" x14ac:dyDescent="0.15">
      <c r="A513" s="146"/>
      <c r="B513" s="146"/>
    </row>
    <row r="514" spans="1:2" x14ac:dyDescent="0.15">
      <c r="A514" s="146"/>
      <c r="B514" s="146"/>
    </row>
    <row r="515" spans="1:2" x14ac:dyDescent="0.15">
      <c r="A515" s="146"/>
      <c r="B515" s="146"/>
    </row>
    <row r="516" spans="1:2" x14ac:dyDescent="0.15">
      <c r="A516" s="146"/>
      <c r="B516" s="146"/>
    </row>
    <row r="517" spans="1:2" x14ac:dyDescent="0.15">
      <c r="A517" s="146"/>
      <c r="B517" s="146"/>
    </row>
    <row r="518" spans="1:2" x14ac:dyDescent="0.15">
      <c r="A518" s="146"/>
      <c r="B518" s="146"/>
    </row>
    <row r="519" spans="1:2" x14ac:dyDescent="0.15">
      <c r="A519" s="146"/>
      <c r="B519" s="146"/>
    </row>
    <row r="520" spans="1:2" x14ac:dyDescent="0.15">
      <c r="A520" s="146"/>
      <c r="B520" s="146"/>
    </row>
    <row r="521" spans="1:2" x14ac:dyDescent="0.15">
      <c r="A521" s="146"/>
      <c r="B521" s="146"/>
    </row>
    <row r="522" spans="1:2" x14ac:dyDescent="0.15">
      <c r="A522" s="146"/>
      <c r="B522" s="146"/>
    </row>
    <row r="523" spans="1:2" x14ac:dyDescent="0.15">
      <c r="A523" s="146"/>
      <c r="B523" s="146"/>
    </row>
    <row r="524" spans="1:2" x14ac:dyDescent="0.15">
      <c r="A524" s="146"/>
      <c r="B524" s="146"/>
    </row>
    <row r="525" spans="1:2" x14ac:dyDescent="0.15">
      <c r="A525" s="146"/>
      <c r="B525" s="146"/>
    </row>
    <row r="526" spans="1:2" x14ac:dyDescent="0.15">
      <c r="A526" s="146"/>
      <c r="B526" s="146"/>
    </row>
    <row r="527" spans="1:2" x14ac:dyDescent="0.15">
      <c r="A527" s="146"/>
      <c r="B527" s="146"/>
    </row>
    <row r="528" spans="1:2" x14ac:dyDescent="0.15">
      <c r="A528" s="146"/>
      <c r="B528" s="146"/>
    </row>
    <row r="529" spans="1:2" x14ac:dyDescent="0.15">
      <c r="A529" s="146"/>
      <c r="B529" s="146"/>
    </row>
    <row r="530" spans="1:2" x14ac:dyDescent="0.15">
      <c r="A530" s="146"/>
      <c r="B530" s="146"/>
    </row>
    <row r="531" spans="1:2" x14ac:dyDescent="0.15">
      <c r="A531" s="146"/>
      <c r="B531" s="146"/>
    </row>
    <row r="532" spans="1:2" x14ac:dyDescent="0.15">
      <c r="A532" s="146"/>
      <c r="B532" s="146"/>
    </row>
    <row r="533" spans="1:2" x14ac:dyDescent="0.15">
      <c r="A533" s="146"/>
      <c r="B533" s="146"/>
    </row>
    <row r="534" spans="1:2" x14ac:dyDescent="0.15">
      <c r="A534" s="146"/>
      <c r="B534" s="146"/>
    </row>
    <row r="535" spans="1:2" x14ac:dyDescent="0.15">
      <c r="A535" s="146"/>
      <c r="B535" s="146"/>
    </row>
    <row r="536" spans="1:2" x14ac:dyDescent="0.15">
      <c r="A536" s="146"/>
      <c r="B536" s="146"/>
    </row>
    <row r="537" spans="1:2" x14ac:dyDescent="0.15">
      <c r="A537" s="146"/>
      <c r="B537" s="146"/>
    </row>
    <row r="538" spans="1:2" x14ac:dyDescent="0.15">
      <c r="A538" s="146"/>
      <c r="B538" s="146"/>
    </row>
    <row r="539" spans="1:2" x14ac:dyDescent="0.15">
      <c r="A539" s="146"/>
      <c r="B539" s="146"/>
    </row>
    <row r="540" spans="1:2" x14ac:dyDescent="0.15">
      <c r="A540" s="146"/>
      <c r="B540" s="146"/>
    </row>
    <row r="541" spans="1:2" x14ac:dyDescent="0.15">
      <c r="A541" s="146"/>
      <c r="B541" s="146"/>
    </row>
    <row r="542" spans="1:2" x14ac:dyDescent="0.15">
      <c r="A542" s="146"/>
      <c r="B542" s="146"/>
    </row>
    <row r="543" spans="1:2" x14ac:dyDescent="0.15">
      <c r="A543" s="146"/>
      <c r="B543" s="146"/>
    </row>
    <row r="682" spans="15:15" ht="17" x14ac:dyDescent="0.15">
      <c r="O682" s="145" t="s">
        <v>24</v>
      </c>
    </row>
    <row r="683" spans="15:15" ht="17" x14ac:dyDescent="0.15">
      <c r="O683" s="145" t="s">
        <v>25</v>
      </c>
    </row>
    <row r="684" spans="15:15" ht="17" x14ac:dyDescent="0.15">
      <c r="O684" s="145" t="s">
        <v>26</v>
      </c>
    </row>
    <row r="685" spans="15:15" ht="17" x14ac:dyDescent="0.15">
      <c r="O685" s="145" t="s">
        <v>27</v>
      </c>
    </row>
    <row r="686" spans="15:15" ht="17" x14ac:dyDescent="0.15">
      <c r="O686" s="145" t="s">
        <v>28</v>
      </c>
    </row>
    <row r="687" spans="15:15" ht="17" x14ac:dyDescent="0.15">
      <c r="O687" s="145" t="s">
        <v>29</v>
      </c>
    </row>
    <row r="688" spans="15:15" ht="17" x14ac:dyDescent="0.15">
      <c r="O688" s="145" t="s">
        <v>30</v>
      </c>
    </row>
    <row r="689" spans="15:15" ht="17" x14ac:dyDescent="0.15">
      <c r="O689" s="145" t="s">
        <v>31</v>
      </c>
    </row>
    <row r="690" spans="15:15" ht="17" x14ac:dyDescent="0.15">
      <c r="O690" s="145" t="s">
        <v>32</v>
      </c>
    </row>
    <row r="691" spans="15:15" ht="17" x14ac:dyDescent="0.15">
      <c r="O691" s="145" t="s">
        <v>33</v>
      </c>
    </row>
    <row r="692" spans="15:15" ht="17" x14ac:dyDescent="0.15">
      <c r="O692" s="145" t="s">
        <v>34</v>
      </c>
    </row>
    <row r="693" spans="15:15" ht="17" x14ac:dyDescent="0.15">
      <c r="O693" s="145" t="s">
        <v>35</v>
      </c>
    </row>
    <row r="694" spans="15:15" ht="17" x14ac:dyDescent="0.15">
      <c r="O694" s="145" t="s">
        <v>36</v>
      </c>
    </row>
    <row r="695" spans="15:15" ht="17" x14ac:dyDescent="0.15">
      <c r="O695" s="145" t="s">
        <v>37</v>
      </c>
    </row>
    <row r="696" spans="15:15" ht="17" x14ac:dyDescent="0.15">
      <c r="O696" s="145" t="s">
        <v>38</v>
      </c>
    </row>
    <row r="697" spans="15:15" ht="17" x14ac:dyDescent="0.15">
      <c r="O697" s="145" t="s">
        <v>39</v>
      </c>
    </row>
    <row r="698" spans="15:15" ht="17" x14ac:dyDescent="0.15">
      <c r="O698" s="145" t="s">
        <v>40</v>
      </c>
    </row>
    <row r="699" spans="15:15" ht="17" x14ac:dyDescent="0.15">
      <c r="O699" s="145" t="s">
        <v>41</v>
      </c>
    </row>
    <row r="700" spans="15:15" ht="17" x14ac:dyDescent="0.15">
      <c r="O700" s="145" t="s">
        <v>42</v>
      </c>
    </row>
    <row r="701" spans="15:15" ht="17" x14ac:dyDescent="0.15">
      <c r="O701" s="145" t="s">
        <v>43</v>
      </c>
    </row>
    <row r="702" spans="15:15" ht="17" x14ac:dyDescent="0.15">
      <c r="O702" s="145" t="s">
        <v>44</v>
      </c>
    </row>
    <row r="703" spans="15:15" ht="17" x14ac:dyDescent="0.15">
      <c r="O703" s="145" t="s">
        <v>45</v>
      </c>
    </row>
    <row r="704" spans="15:15" ht="17" x14ac:dyDescent="0.15">
      <c r="O704" s="145" t="s">
        <v>46</v>
      </c>
    </row>
    <row r="705" spans="15:15" ht="17" x14ac:dyDescent="0.15">
      <c r="O705" s="145" t="s">
        <v>47</v>
      </c>
    </row>
    <row r="706" spans="15:15" ht="17" x14ac:dyDescent="0.15">
      <c r="O706" s="145" t="s">
        <v>48</v>
      </c>
    </row>
    <row r="707" spans="15:15" ht="17" x14ac:dyDescent="0.15">
      <c r="O707" s="145" t="s">
        <v>49</v>
      </c>
    </row>
    <row r="708" spans="15:15" ht="17" x14ac:dyDescent="0.15">
      <c r="O708" s="145" t="s">
        <v>50</v>
      </c>
    </row>
    <row r="709" spans="15:15" ht="17" x14ac:dyDescent="0.15">
      <c r="O709" s="145" t="s">
        <v>51</v>
      </c>
    </row>
    <row r="710" spans="15:15" ht="17" x14ac:dyDescent="0.15">
      <c r="O710" s="145" t="s">
        <v>52</v>
      </c>
    </row>
    <row r="711" spans="15:15" ht="17" x14ac:dyDescent="0.15">
      <c r="O711" s="145" t="s">
        <v>53</v>
      </c>
    </row>
    <row r="712" spans="15:15" ht="17" x14ac:dyDescent="0.15">
      <c r="O712" s="145" t="s">
        <v>54</v>
      </c>
    </row>
    <row r="713" spans="15:15" ht="17" x14ac:dyDescent="0.15">
      <c r="O713" s="145" t="s">
        <v>55</v>
      </c>
    </row>
    <row r="714" spans="15:15" ht="17" x14ac:dyDescent="0.15">
      <c r="O714" s="145" t="s">
        <v>56</v>
      </c>
    </row>
    <row r="715" spans="15:15" ht="17" x14ac:dyDescent="0.15">
      <c r="O715" s="145" t="s">
        <v>57</v>
      </c>
    </row>
    <row r="716" spans="15:15" ht="17" x14ac:dyDescent="0.15">
      <c r="O716" s="145" t="s">
        <v>58</v>
      </c>
    </row>
    <row r="717" spans="15:15" ht="17" x14ac:dyDescent="0.15">
      <c r="O717" s="145" t="s">
        <v>59</v>
      </c>
    </row>
    <row r="718" spans="15:15" ht="17" x14ac:dyDescent="0.15">
      <c r="O718" s="145" t="s">
        <v>60</v>
      </c>
    </row>
    <row r="719" spans="15:15" ht="17" x14ac:dyDescent="0.15">
      <c r="O719" s="145" t="s">
        <v>61</v>
      </c>
    </row>
    <row r="720" spans="15:15" ht="17" x14ac:dyDescent="0.15">
      <c r="O720" s="145" t="s">
        <v>62</v>
      </c>
    </row>
    <row r="721" spans="15:15" ht="17" x14ac:dyDescent="0.15">
      <c r="O721" s="145" t="s">
        <v>63</v>
      </c>
    </row>
    <row r="722" spans="15:15" ht="17" x14ac:dyDescent="0.15">
      <c r="O722" s="145" t="s">
        <v>64</v>
      </c>
    </row>
    <row r="723" spans="15:15" ht="17" x14ac:dyDescent="0.15">
      <c r="O723" s="145" t="s">
        <v>65</v>
      </c>
    </row>
    <row r="724" spans="15:15" ht="17" x14ac:dyDescent="0.15">
      <c r="O724" s="145" t="s">
        <v>66</v>
      </c>
    </row>
    <row r="725" spans="15:15" ht="17" x14ac:dyDescent="0.15">
      <c r="O725" s="145" t="s">
        <v>67</v>
      </c>
    </row>
    <row r="726" spans="15:15" ht="17" x14ac:dyDescent="0.15">
      <c r="O726" s="145" t="s">
        <v>68</v>
      </c>
    </row>
    <row r="727" spans="15:15" ht="17" x14ac:dyDescent="0.15">
      <c r="O727" s="145" t="s">
        <v>69</v>
      </c>
    </row>
    <row r="728" spans="15:15" ht="17" x14ac:dyDescent="0.15">
      <c r="O728" s="145" t="s">
        <v>70</v>
      </c>
    </row>
    <row r="729" spans="15:15" ht="17" x14ac:dyDescent="0.15">
      <c r="O729" s="145" t="s">
        <v>71</v>
      </c>
    </row>
    <row r="730" spans="15:15" ht="17" x14ac:dyDescent="0.15">
      <c r="O730" s="145" t="s">
        <v>72</v>
      </c>
    </row>
    <row r="731" spans="15:15" ht="17" x14ac:dyDescent="0.15">
      <c r="O731" s="145" t="s">
        <v>73</v>
      </c>
    </row>
    <row r="732" spans="15:15" ht="17" x14ac:dyDescent="0.15">
      <c r="O732" s="145" t="s">
        <v>74</v>
      </c>
    </row>
  </sheetData>
  <sheetProtection algorithmName="SHA-512" hashValue="pjIV+CVuIPHO5q6Laxk70e51DonAlVq5ZPfd3BfZIZqsjJ2QWrs+L7NFstgwGuFBpHmPVAtB0TKxVDafi88Bkg==" saltValue="qqzE26blPgM332o37HLQ7g==" spinCount="100000" sheet="1" objects="1" scenarios="1"/>
  <phoneticPr fontId="0" type="noConversion"/>
  <dataValidations count="1">
    <dataValidation type="list" allowBlank="1" showInputMessage="1" showErrorMessage="1" sqref="B5" xr:uid="{00000000-0002-0000-0500-000000000000}">
      <formula1>$O$682:$O$732</formula1>
    </dataValidation>
  </dataValidations>
  <pageMargins left="0.75" right="0.75" top="1" bottom="1" header="0.5" footer="0.5"/>
  <pageSetup orientation="portrait" horizontalDpi="360" verticalDpi="0"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BG297"/>
  <sheetViews>
    <sheetView zoomScale="85" zoomScaleNormal="100" workbookViewId="0">
      <selection activeCell="D40" sqref="D40"/>
    </sheetView>
  </sheetViews>
  <sheetFormatPr baseColWidth="10" defaultColWidth="8.83203125" defaultRowHeight="13" x14ac:dyDescent="0.15"/>
  <cols>
    <col min="1" max="1" width="161.33203125" customWidth="1"/>
    <col min="2" max="2" width="18.6640625" style="278" customWidth="1"/>
    <col min="3" max="3" width="54.33203125" customWidth="1"/>
    <col min="4" max="4" width="16.33203125" customWidth="1"/>
    <col min="5" max="5" width="14.6640625" bestFit="1" customWidth="1"/>
    <col min="6" max="6" width="14.33203125" bestFit="1" customWidth="1"/>
    <col min="7" max="7" width="12.33203125" customWidth="1"/>
    <col min="8" max="8" width="13" customWidth="1"/>
    <col min="9" max="9" width="12" customWidth="1"/>
    <col min="10" max="11" width="12.6640625" customWidth="1"/>
    <col min="13" max="13" width="12.6640625" customWidth="1"/>
    <col min="14" max="14" width="12.33203125" customWidth="1"/>
    <col min="15" max="15" width="14" bestFit="1" customWidth="1"/>
    <col min="16" max="16" width="15" bestFit="1" customWidth="1"/>
    <col min="17" max="17" width="15" customWidth="1"/>
    <col min="18" max="19" width="15.1640625" bestFit="1" customWidth="1"/>
    <col min="20" max="20" width="11.1640625" bestFit="1" customWidth="1"/>
    <col min="21" max="21" width="12.1640625" bestFit="1" customWidth="1"/>
    <col min="23" max="23" width="9.33203125" customWidth="1"/>
    <col min="24" max="24" width="11.6640625" customWidth="1"/>
    <col min="28" max="28" width="12.6640625" customWidth="1"/>
    <col min="29" max="29" width="9.33203125" bestFit="1" customWidth="1"/>
    <col min="40" max="40" width="9.33203125" customWidth="1"/>
    <col min="49" max="49" width="13.33203125" bestFit="1" customWidth="1"/>
  </cols>
  <sheetData>
    <row r="1" spans="1:52" x14ac:dyDescent="0.15">
      <c r="A1" s="157"/>
      <c r="B1" s="157"/>
      <c r="S1" t="s">
        <v>446</v>
      </c>
    </row>
    <row r="2" spans="1:52" x14ac:dyDescent="0.15">
      <c r="A2" s="157"/>
      <c r="B2" s="157"/>
      <c r="K2" s="10" t="s">
        <v>184</v>
      </c>
      <c r="S2" s="14">
        <v>0</v>
      </c>
      <c r="U2" t="s">
        <v>447</v>
      </c>
      <c r="V2" s="14">
        <v>0.17456747180786419</v>
      </c>
    </row>
    <row r="3" spans="1:52" x14ac:dyDescent="0.15">
      <c r="A3" s="157"/>
      <c r="B3" s="157"/>
      <c r="H3" t="s">
        <v>504</v>
      </c>
      <c r="I3">
        <f>E5</f>
        <v>300</v>
      </c>
      <c r="J3" t="s">
        <v>449</v>
      </c>
      <c r="K3" s="10">
        <f>E5</f>
        <v>300</v>
      </c>
      <c r="O3" t="s">
        <v>444</v>
      </c>
      <c r="R3" s="10">
        <f>IF('STEP 3 - Edit Project Data'!_xlnm.Print_Area&lt;2000,O5,HLOOKUP('STEP 3 - Edit Project Data'!_xlnm.Print_Area,O4:AS5,N5))</f>
        <v>1940</v>
      </c>
    </row>
    <row r="4" spans="1:52" x14ac:dyDescent="0.15">
      <c r="A4" s="157"/>
      <c r="B4" s="157"/>
      <c r="D4" t="s">
        <v>162</v>
      </c>
      <c r="E4" s="10" t="s">
        <v>215</v>
      </c>
      <c r="F4" s="251" t="s">
        <v>623</v>
      </c>
      <c r="H4" s="35" t="s">
        <v>505</v>
      </c>
      <c r="I4">
        <f>I$3*AM30</f>
        <v>48.195386609782368</v>
      </c>
      <c r="J4" t="s">
        <v>413</v>
      </c>
      <c r="K4" s="100">
        <f>K$3*AP56</f>
        <v>10.799999999999999</v>
      </c>
      <c r="L4" s="10"/>
      <c r="O4">
        <v>2000</v>
      </c>
      <c r="P4">
        <v>2001</v>
      </c>
      <c r="Q4">
        <v>2002</v>
      </c>
      <c r="R4">
        <v>2003</v>
      </c>
      <c r="S4">
        <v>2004</v>
      </c>
      <c r="T4">
        <v>2005</v>
      </c>
      <c r="U4">
        <v>2006</v>
      </c>
      <c r="V4">
        <v>2007</v>
      </c>
      <c r="W4">
        <v>2008</v>
      </c>
      <c r="X4">
        <v>2009</v>
      </c>
      <c r="Y4">
        <v>2010</v>
      </c>
      <c r="Z4">
        <v>2011</v>
      </c>
      <c r="AA4">
        <v>2012</v>
      </c>
      <c r="AB4">
        <v>2013</v>
      </c>
      <c r="AC4">
        <v>2014</v>
      </c>
      <c r="AD4">
        <v>2015</v>
      </c>
      <c r="AE4">
        <v>2016</v>
      </c>
      <c r="AF4">
        <v>2017</v>
      </c>
      <c r="AG4">
        <v>2018</v>
      </c>
      <c r="AH4">
        <v>2019</v>
      </c>
      <c r="AI4">
        <v>2020</v>
      </c>
      <c r="AJ4">
        <v>2021</v>
      </c>
      <c r="AK4">
        <v>2022</v>
      </c>
      <c r="AL4">
        <v>2023</v>
      </c>
      <c r="AM4">
        <v>2024</v>
      </c>
      <c r="AN4">
        <v>2025</v>
      </c>
      <c r="AO4">
        <f>AN4+1</f>
        <v>2026</v>
      </c>
      <c r="AP4">
        <v>2027</v>
      </c>
      <c r="AQ4">
        <v>2028</v>
      </c>
      <c r="AR4">
        <v>2029</v>
      </c>
      <c r="AS4">
        <v>2030</v>
      </c>
    </row>
    <row r="5" spans="1:52" ht="23" x14ac:dyDescent="0.25">
      <c r="A5" s="159" t="s">
        <v>418</v>
      </c>
      <c r="B5" s="159"/>
      <c r="D5" s="10">
        <f>ROUNDUP('STEP 3 - Edit Project Data'!B16*1000/'STEP 3 - Edit Project Data'!B18,0)</f>
        <v>120</v>
      </c>
      <c r="E5" s="10">
        <f>'STEP 3 - Edit Project Data'!B16</f>
        <v>300</v>
      </c>
      <c r="F5" s="316">
        <v>1453</v>
      </c>
      <c r="G5" s="198"/>
      <c r="H5" s="35" t="s">
        <v>506</v>
      </c>
      <c r="I5">
        <f>I$3*AM31</f>
        <v>48.195386609782368</v>
      </c>
      <c r="J5" t="s">
        <v>411</v>
      </c>
      <c r="K5" s="100">
        <f>K$3*AP57</f>
        <v>1.5999999999999999</v>
      </c>
      <c r="L5" s="10"/>
      <c r="N5">
        <v>2</v>
      </c>
      <c r="O5">
        <v>1284.3037204522097</v>
      </c>
      <c r="P5">
        <v>1031.2445956368742</v>
      </c>
      <c r="Q5">
        <v>1225.1043412685979</v>
      </c>
      <c r="R5">
        <v>1134.7082720604471</v>
      </c>
      <c r="S5">
        <v>1075.4007471364907</v>
      </c>
      <c r="T5">
        <v>1235.6878182978105</v>
      </c>
      <c r="U5">
        <v>1495.5576742673609</v>
      </c>
      <c r="V5">
        <v>1689.0285489154605</v>
      </c>
      <c r="W5">
        <v>2042.9707112898295</v>
      </c>
      <c r="X5">
        <f t="shared" ref="X5:AS5" si="0">W5*(1+$S2)</f>
        <v>2042.9707112898295</v>
      </c>
      <c r="Y5">
        <f t="shared" si="0"/>
        <v>2042.9707112898295</v>
      </c>
      <c r="Z5">
        <f t="shared" si="0"/>
        <v>2042.9707112898295</v>
      </c>
      <c r="AA5">
        <v>1940</v>
      </c>
      <c r="AB5">
        <f t="shared" si="0"/>
        <v>1940</v>
      </c>
      <c r="AC5">
        <f t="shared" si="0"/>
        <v>1940</v>
      </c>
      <c r="AD5">
        <f t="shared" si="0"/>
        <v>1940</v>
      </c>
      <c r="AE5">
        <f t="shared" si="0"/>
        <v>1940</v>
      </c>
      <c r="AF5">
        <f t="shared" si="0"/>
        <v>1940</v>
      </c>
      <c r="AG5">
        <f t="shared" si="0"/>
        <v>1940</v>
      </c>
      <c r="AH5">
        <f t="shared" si="0"/>
        <v>1940</v>
      </c>
      <c r="AI5">
        <f t="shared" si="0"/>
        <v>1940</v>
      </c>
      <c r="AJ5">
        <f t="shared" si="0"/>
        <v>1940</v>
      </c>
      <c r="AK5">
        <f t="shared" si="0"/>
        <v>1940</v>
      </c>
      <c r="AL5">
        <f t="shared" si="0"/>
        <v>1940</v>
      </c>
      <c r="AM5">
        <f t="shared" si="0"/>
        <v>1940</v>
      </c>
      <c r="AN5">
        <f t="shared" si="0"/>
        <v>1940</v>
      </c>
      <c r="AO5">
        <f t="shared" si="0"/>
        <v>1940</v>
      </c>
      <c r="AP5">
        <f t="shared" si="0"/>
        <v>1940</v>
      </c>
      <c r="AQ5">
        <f t="shared" si="0"/>
        <v>1940</v>
      </c>
      <c r="AR5">
        <f t="shared" si="0"/>
        <v>1940</v>
      </c>
      <c r="AS5">
        <f t="shared" si="0"/>
        <v>1940</v>
      </c>
    </row>
    <row r="6" spans="1:52" x14ac:dyDescent="0.15">
      <c r="A6" s="157"/>
      <c r="B6" s="157"/>
      <c r="H6" s="35" t="s">
        <v>507</v>
      </c>
      <c r="I6">
        <f>I$3*AM32</f>
        <v>53.0149252707606</v>
      </c>
      <c r="J6" t="s">
        <v>412</v>
      </c>
      <c r="K6" s="100">
        <f>K$3*AP58</f>
        <v>1.2</v>
      </c>
      <c r="L6" s="10"/>
    </row>
    <row r="7" spans="1:52" ht="16" x14ac:dyDescent="0.2">
      <c r="A7" s="160" t="s">
        <v>419</v>
      </c>
      <c r="B7" s="160"/>
      <c r="D7" s="10" t="s">
        <v>77</v>
      </c>
      <c r="F7" s="182" t="s">
        <v>642</v>
      </c>
      <c r="H7" s="35" t="s">
        <v>549</v>
      </c>
      <c r="I7">
        <f>I$3*AM33</f>
        <v>35.594301509674679</v>
      </c>
      <c r="J7" t="s">
        <v>16</v>
      </c>
      <c r="K7" s="10">
        <f>SUM(K4:K6)</f>
        <v>13.599999999999998</v>
      </c>
      <c r="L7" s="10"/>
      <c r="P7" t="s">
        <v>482</v>
      </c>
      <c r="R7" s="28">
        <f>HLOOKUP('STEP 3 - Edit Project Data'!B13,Multipliers!D229:BE231,3)</f>
        <v>0.9926013241519136</v>
      </c>
      <c r="AM7" s="138"/>
      <c r="AN7" s="138" t="s">
        <v>486</v>
      </c>
      <c r="AO7" s="138"/>
      <c r="AP7" s="138"/>
    </row>
    <row r="8" spans="1:52" ht="15" customHeight="1" x14ac:dyDescent="0.2">
      <c r="A8" s="161"/>
      <c r="B8" s="161"/>
      <c r="D8" s="10" t="s">
        <v>195</v>
      </c>
      <c r="E8" s="10" t="s">
        <v>196</v>
      </c>
      <c r="F8" s="299" t="s">
        <v>664</v>
      </c>
      <c r="G8" s="299" t="s">
        <v>663</v>
      </c>
      <c r="H8" s="283" t="s">
        <v>643</v>
      </c>
      <c r="I8">
        <f>SUM(I4:I7)</f>
        <v>185</v>
      </c>
      <c r="P8" t="s">
        <v>483</v>
      </c>
      <c r="Q8" s="153"/>
      <c r="R8" s="10">
        <f>Y46</f>
        <v>1937.8410960455683</v>
      </c>
      <c r="AI8" t="s">
        <v>475</v>
      </c>
      <c r="AL8">
        <f>IF('STEP 3 - Edit Project Data'!_xlnm.Print_Area&lt;=2003,AK9,AK10)</f>
        <v>1500</v>
      </c>
      <c r="AN8" s="221" t="s">
        <v>490</v>
      </c>
      <c r="AO8" s="214">
        <f>25+Z119</f>
        <v>24.975745799998688</v>
      </c>
      <c r="AP8" s="203" t="s">
        <v>484</v>
      </c>
    </row>
    <row r="9" spans="1:52" ht="16" x14ac:dyDescent="0.2">
      <c r="A9" s="160" t="s">
        <v>420</v>
      </c>
      <c r="B9" s="160"/>
      <c r="D9" s="45">
        <f>'STEP 3 - Edit Project Data'!B20</f>
        <v>1308.9554000000001</v>
      </c>
      <c r="E9" s="45">
        <f>+D9*'STEP 3 - Edit Project Data'!B16*1000</f>
        <v>392686620</v>
      </c>
      <c r="F9" s="67">
        <f>'STEP 3 - Edit Project Data'!B21</f>
        <v>44</v>
      </c>
      <c r="G9" s="67">
        <v>44</v>
      </c>
      <c r="H9" s="10">
        <v>2300</v>
      </c>
      <c r="L9" s="153"/>
      <c r="AI9" t="s">
        <v>477</v>
      </c>
      <c r="AK9" s="201">
        <v>700</v>
      </c>
      <c r="AN9" s="221" t="s">
        <v>485</v>
      </c>
      <c r="AO9" s="214">
        <f>20+Z119</f>
        <v>19.975745799998688</v>
      </c>
      <c r="AP9" s="203" t="str">
        <f>AP8</f>
        <v>per KW</v>
      </c>
    </row>
    <row r="10" spans="1:52" ht="16" x14ac:dyDescent="0.2">
      <c r="A10" s="160"/>
      <c r="B10" s="160"/>
      <c r="D10" s="14"/>
      <c r="E10" s="10"/>
      <c r="L10" s="153"/>
      <c r="AI10" t="s">
        <v>480</v>
      </c>
      <c r="AK10">
        <v>1500</v>
      </c>
    </row>
    <row r="11" spans="1:52" ht="16" x14ac:dyDescent="0.2">
      <c r="A11" s="160" t="s">
        <v>421</v>
      </c>
      <c r="B11" s="160"/>
      <c r="C11" s="47" t="s">
        <v>1</v>
      </c>
      <c r="D11" s="17" t="s">
        <v>225</v>
      </c>
      <c r="E11" s="1"/>
    </row>
    <row r="12" spans="1:52" x14ac:dyDescent="0.15">
      <c r="A12" s="157"/>
      <c r="B12" s="157"/>
      <c r="D12" s="87"/>
      <c r="E12" s="87"/>
      <c r="F12" s="87"/>
      <c r="H12" s="11" t="s">
        <v>346</v>
      </c>
      <c r="I12" s="11" t="s">
        <v>343</v>
      </c>
      <c r="J12" s="11" t="s">
        <v>344</v>
      </c>
      <c r="K12" s="11" t="s">
        <v>345</v>
      </c>
    </row>
    <row r="13" spans="1:52" x14ac:dyDescent="0.15">
      <c r="A13" s="157"/>
      <c r="B13" s="157"/>
      <c r="H13" s="101">
        <v>30000</v>
      </c>
      <c r="I13" s="101">
        <v>100000</v>
      </c>
      <c r="J13" s="101">
        <v>300000</v>
      </c>
      <c r="K13" s="11">
        <v>400000</v>
      </c>
      <c r="M13" s="11">
        <f>'STEP 3 - Edit Project Data'!B14</f>
        <v>0</v>
      </c>
    </row>
    <row r="14" spans="1:52" ht="14" x14ac:dyDescent="0.15">
      <c r="A14" s="157"/>
      <c r="B14" s="157"/>
      <c r="C14" s="3" t="s">
        <v>17</v>
      </c>
      <c r="D14" s="11" t="s">
        <v>133</v>
      </c>
      <c r="E14" s="11" t="s">
        <v>309</v>
      </c>
      <c r="F14" s="11" t="s">
        <v>223</v>
      </c>
      <c r="G14" s="11" t="s">
        <v>341</v>
      </c>
      <c r="H14" s="11" t="s">
        <v>342</v>
      </c>
      <c r="I14" s="11" t="s">
        <v>342</v>
      </c>
      <c r="J14" s="11" t="s">
        <v>342</v>
      </c>
      <c r="K14" s="11" t="s">
        <v>342</v>
      </c>
      <c r="O14">
        <v>30000</v>
      </c>
    </row>
    <row r="15" spans="1:52" x14ac:dyDescent="0.15">
      <c r="A15" s="157"/>
      <c r="B15" s="157"/>
      <c r="E15" s="11" t="s">
        <v>310</v>
      </c>
      <c r="F15" s="11" t="s">
        <v>224</v>
      </c>
      <c r="G15" s="30" t="s">
        <v>18</v>
      </c>
      <c r="H15" s="30" t="s">
        <v>18</v>
      </c>
      <c r="I15" s="30" t="s">
        <v>18</v>
      </c>
      <c r="J15" s="30" t="s">
        <v>18</v>
      </c>
      <c r="K15" s="30" t="s">
        <v>18</v>
      </c>
      <c r="O15">
        <v>100000</v>
      </c>
      <c r="R15">
        <v>300000</v>
      </c>
      <c r="U15">
        <v>400000</v>
      </c>
      <c r="V15" s="14">
        <v>0.99970000000000003</v>
      </c>
      <c r="W15">
        <f>E46</f>
        <v>1290.6133260191643</v>
      </c>
    </row>
    <row r="16" spans="1:52" x14ac:dyDescent="0.15">
      <c r="A16" s="157"/>
      <c r="B16" s="157"/>
      <c r="C16" s="185" t="s">
        <v>453</v>
      </c>
      <c r="E16" s="11"/>
      <c r="F16" s="11"/>
      <c r="G16" s="30"/>
      <c r="H16" s="30"/>
      <c r="I16" s="30"/>
      <c r="J16" s="30"/>
      <c r="K16" s="30"/>
      <c r="U16" s="313"/>
      <c r="V16" s="192"/>
      <c r="AQ16" s="38"/>
      <c r="AZ16" s="283" t="s">
        <v>839</v>
      </c>
    </row>
    <row r="17" spans="1:59" x14ac:dyDescent="0.15">
      <c r="A17" s="157"/>
      <c r="B17" s="157"/>
      <c r="C17" s="2" t="s">
        <v>2</v>
      </c>
      <c r="E17" s="11"/>
      <c r="F17" s="11"/>
      <c r="G17" s="30"/>
      <c r="H17" s="30"/>
      <c r="I17" s="30"/>
      <c r="J17" s="30"/>
      <c r="K17" s="30"/>
      <c r="V17" s="42"/>
      <c r="W17" s="16" t="s">
        <v>223</v>
      </c>
      <c r="X17" s="16" t="s">
        <v>472</v>
      </c>
      <c r="Y17" s="16" t="s">
        <v>481</v>
      </c>
      <c r="Z17" s="16" t="s">
        <v>223</v>
      </c>
      <c r="AE17" s="16"/>
      <c r="BA17" s="283" t="s">
        <v>840</v>
      </c>
    </row>
    <row r="18" spans="1:59" x14ac:dyDescent="0.15">
      <c r="A18" s="157"/>
      <c r="B18" s="157"/>
      <c r="C18" s="2" t="s">
        <v>3</v>
      </c>
      <c r="D18" s="8">
        <f>'STEP 2 - Cost Information'!D5+'STEP 2 - Cost Information'!D12+'STEP 2 - Cost Information'!D13+'STEP 2 - Cost Information'!D15+'STEP 2 - Cost Information'!D16+'STEP 2 - Cost Information'!D18+'STEP 2 - Cost Information'!D20+'STEP 2 - Cost Information'!D21+'STEP 2 - Cost Information'!D23+'STEP 2 - Cost Information'!D24+'STEP 2 - Cost Information'!D26+'STEP 2 - Cost Information'!D27+'STEP 2 - Cost Information'!D28+('STEP 2 - Cost Information'!D42*0.61)</f>
        <v>18560959.539846696</v>
      </c>
      <c r="E18" s="45">
        <f>F18*D$9</f>
        <v>61.869865132822326</v>
      </c>
      <c r="F18" s="208">
        <f>D18/E$9</f>
        <v>4.7266595281109137E-2</v>
      </c>
      <c r="G18" s="7">
        <f>IF('STEP 3 - Edit Project Data'!$B$13="UNITED STATES",1,0.9)</f>
        <v>0.9</v>
      </c>
      <c r="H18" s="58">
        <v>3.8277680140597542E-2</v>
      </c>
      <c r="I18" s="58">
        <v>0.12147627416520212</v>
      </c>
      <c r="J18" s="107">
        <v>0.9</v>
      </c>
      <c r="K18" s="58">
        <v>0.9</v>
      </c>
      <c r="M18" s="38">
        <f>(M$13-H$13)/(I$13-H$13)</f>
        <v>-0.42857142857142855</v>
      </c>
      <c r="N18" s="58">
        <f>+I18-H18</f>
        <v>8.3198594024604583E-2</v>
      </c>
      <c r="O18" s="58">
        <f>H18+(N18*M18)</f>
        <v>2.621139844338434E-3</v>
      </c>
      <c r="P18" s="141">
        <f>(M$13-I$13)/(J$13-I$13)</f>
        <v>-0.5</v>
      </c>
      <c r="Q18" s="58">
        <f>J18-I18</f>
        <v>0.7785237258347979</v>
      </c>
      <c r="R18" s="58">
        <f>I18+(P18*Q18)</f>
        <v>-0.26778558875219682</v>
      </c>
      <c r="S18" s="141">
        <f>IF((M$13-J$13)/(K$13-J$13)&gt;1,1,(M$13-J$13)/(K$13-J$13))</f>
        <v>-3</v>
      </c>
      <c r="T18" s="58">
        <f>K18-J18</f>
        <v>0</v>
      </c>
      <c r="U18" s="58">
        <f>J18+(S18*T18)</f>
        <v>0.9</v>
      </c>
      <c r="V18" s="42">
        <f>AU18*V$15</f>
        <v>0.11135200253660497</v>
      </c>
      <c r="W18" s="42">
        <v>8.8060000000000013E-2</v>
      </c>
      <c r="X18">
        <f>W18*R$3</f>
        <v>170.83640000000003</v>
      </c>
      <c r="Y18">
        <f>X18</f>
        <v>170.83640000000003</v>
      </c>
      <c r="Z18" s="42">
        <f>Y18/Y$46</f>
        <v>8.8158105609698972E-2</v>
      </c>
      <c r="AA18" s="42"/>
      <c r="AU18" s="42">
        <v>0.11138541816205359</v>
      </c>
      <c r="AV18" s="38">
        <f>AU18/AU$47</f>
        <v>5.7946213065609528E-2</v>
      </c>
      <c r="AW18" s="8">
        <v>8382313.8257014686</v>
      </c>
      <c r="AZ18" s="283" t="s">
        <v>841</v>
      </c>
      <c r="BB18">
        <v>293</v>
      </c>
      <c r="BF18" t="s">
        <v>840</v>
      </c>
      <c r="BG18" t="s">
        <v>851</v>
      </c>
    </row>
    <row r="19" spans="1:59" x14ac:dyDescent="0.15">
      <c r="A19" s="157"/>
      <c r="B19" s="157"/>
      <c r="C19" s="2" t="s">
        <v>4</v>
      </c>
      <c r="D19" s="8">
        <v>0</v>
      </c>
      <c r="E19" s="45">
        <f>F19*D$9</f>
        <v>0</v>
      </c>
      <c r="F19" s="208">
        <f>D19/E$9</f>
        <v>0</v>
      </c>
      <c r="G19" s="7">
        <f>IF('STEP 3 - Edit Project Data'!$B$13="UNITED STATES",1,0)</f>
        <v>0</v>
      </c>
      <c r="H19" s="58">
        <v>0</v>
      </c>
      <c r="I19" s="58">
        <v>0</v>
      </c>
      <c r="J19" s="58">
        <v>0</v>
      </c>
      <c r="K19" s="58">
        <v>0</v>
      </c>
      <c r="M19" s="38">
        <f t="shared" ref="M19:M70" si="1">(M$13-H$13)/(I$13-H$13)</f>
        <v>-0.42857142857142855</v>
      </c>
      <c r="N19" s="58">
        <f t="shared" ref="N19:N70" si="2">+I19-H19</f>
        <v>0</v>
      </c>
      <c r="O19" s="58">
        <f t="shared" ref="O19:O70" si="3">H19+(N19*M19)</f>
        <v>0</v>
      </c>
      <c r="P19" s="141">
        <f>(M$13-I$13)/(J$13-I$13)</f>
        <v>-0.5</v>
      </c>
      <c r="Q19" s="58">
        <f>J19-I19</f>
        <v>0</v>
      </c>
      <c r="R19" s="58">
        <f t="shared" ref="R19:R70" si="4">I19+(P19*Q19)</f>
        <v>0</v>
      </c>
      <c r="S19" s="141">
        <f>IF((M$13-J$13)/(K$13-J$13)&gt;1,1,(M$13-J$13)/(K$13-J$13))</f>
        <v>-3</v>
      </c>
      <c r="T19" s="58">
        <f>K19-J19</f>
        <v>0</v>
      </c>
      <c r="U19" s="58">
        <f>J19+(S19*T19)</f>
        <v>0</v>
      </c>
      <c r="V19" s="42">
        <f t="shared" ref="V19:V22" si="5">AU19*V$15</f>
        <v>1.259622E-2</v>
      </c>
      <c r="W19" s="42">
        <v>2.2260000000000002E-2</v>
      </c>
      <c r="X19">
        <f>W19*R$3</f>
        <v>43.184400000000004</v>
      </c>
      <c r="Y19">
        <f>X19</f>
        <v>43.184400000000004</v>
      </c>
      <c r="Z19" s="42">
        <f>Y19/Y$46</f>
        <v>2.2284799351259359E-2</v>
      </c>
      <c r="AA19" s="42"/>
      <c r="AE19">
        <v>3739000</v>
      </c>
      <c r="AU19" s="42">
        <v>1.26E-2</v>
      </c>
      <c r="AV19" s="38">
        <f t="shared" ref="AV19:AV22" si="6">AU19/AU$47</f>
        <v>6.5549180195600826E-3</v>
      </c>
      <c r="AW19" s="8">
        <v>948213.47306141187</v>
      </c>
      <c r="BA19" s="283" t="s">
        <v>842</v>
      </c>
      <c r="BB19">
        <v>188</v>
      </c>
      <c r="BE19" s="33" t="s">
        <v>238</v>
      </c>
      <c r="BF19">
        <f>(BB18+BB23+BB28)-SUM(BF20:BF21)</f>
        <v>603</v>
      </c>
      <c r="BG19">
        <f>BF19*$E$5*1000</f>
        <v>180900000</v>
      </c>
    </row>
    <row r="20" spans="1:59" ht="16" x14ac:dyDescent="0.2">
      <c r="A20" s="160" t="s">
        <v>422</v>
      </c>
      <c r="B20" s="160"/>
      <c r="C20" s="2" t="s">
        <v>5</v>
      </c>
      <c r="D20" s="8">
        <f>'STEP 2 - Cost Information'!D30+'STEP 2 - Cost Information'!D32+'STEP 2 - Cost Information'!D33</f>
        <v>5682993.109400183</v>
      </c>
      <c r="E20" s="45">
        <f>F20*D$9</f>
        <v>18.943310364667276</v>
      </c>
      <c r="F20" s="208">
        <f>D20/E$9</f>
        <v>1.4472082367869277E-2</v>
      </c>
      <c r="G20" s="7">
        <f>IF('STEP 3 - Edit Project Data'!$B$13="UNITED STATES",1,1)</f>
        <v>1</v>
      </c>
      <c r="H20" s="58">
        <v>0</v>
      </c>
      <c r="I20" s="58">
        <v>0</v>
      </c>
      <c r="J20" s="58">
        <v>0</v>
      </c>
      <c r="K20" s="58">
        <v>1</v>
      </c>
      <c r="M20" s="38">
        <f t="shared" si="1"/>
        <v>-0.42857142857142855</v>
      </c>
      <c r="N20" s="58">
        <f t="shared" si="2"/>
        <v>0</v>
      </c>
      <c r="O20" s="58">
        <f t="shared" si="3"/>
        <v>0</v>
      </c>
      <c r="P20" s="141">
        <f>(M$13-I$13)/(J$13-I$13)</f>
        <v>-0.5</v>
      </c>
      <c r="Q20" s="58">
        <f>J20-I20</f>
        <v>0</v>
      </c>
      <c r="R20" s="58">
        <f t="shared" si="4"/>
        <v>0</v>
      </c>
      <c r="S20" s="141">
        <f>IF((M$13-J$13)/(K$13-J$13)&gt;1,1,(M$13-J$13)/(K$13-J$13))</f>
        <v>-3</v>
      </c>
      <c r="T20" s="58">
        <f>K20-J20</f>
        <v>1</v>
      </c>
      <c r="U20" s="58">
        <f>J20+(S20*T20)</f>
        <v>-3</v>
      </c>
      <c r="V20" s="42">
        <f t="shared" si="5"/>
        <v>1.3277267020937896E-2</v>
      </c>
      <c r="W20" s="42">
        <v>1.0500000000000001E-2</v>
      </c>
      <c r="X20">
        <f>W20*R$3</f>
        <v>20.37</v>
      </c>
      <c r="Y20">
        <f>X20</f>
        <v>20.37</v>
      </c>
      <c r="Z20" s="42">
        <f>Y20/Y$46</f>
        <v>1.0511697807197811E-2</v>
      </c>
      <c r="AA20" s="42"/>
      <c r="AU20" s="42">
        <v>1.3281251396356802E-2</v>
      </c>
      <c r="AV20" s="38">
        <f t="shared" si="6"/>
        <v>6.9093265158957709E-3</v>
      </c>
      <c r="AW20" s="8">
        <v>999481.07247152459</v>
      </c>
      <c r="BA20" s="283" t="s">
        <v>843</v>
      </c>
      <c r="BB20">
        <v>61</v>
      </c>
      <c r="BE20" s="35" t="s">
        <v>237</v>
      </c>
      <c r="BF20">
        <f>BB19</f>
        <v>188</v>
      </c>
      <c r="BG20" s="520">
        <f t="shared" ref="BG20:BG21" si="7">BF20*$E$5*1000</f>
        <v>56400000</v>
      </c>
    </row>
    <row r="21" spans="1:59" x14ac:dyDescent="0.15">
      <c r="A21" s="157"/>
      <c r="B21" s="157"/>
      <c r="C21" s="2" t="s">
        <v>6</v>
      </c>
      <c r="D21" s="8">
        <f>'STEP 2 - Cost Information'!D34</f>
        <v>1563881.1528987759</v>
      </c>
      <c r="E21" s="45">
        <f>F21*D$9</f>
        <v>5.2129371763292527</v>
      </c>
      <c r="F21" s="208">
        <f>D21/E$9</f>
        <v>3.9825170332994176E-3</v>
      </c>
      <c r="G21" s="7">
        <f>IF('STEP 3 - Edit Project Data'!$B$13="UNITED STATES",1,0.7)</f>
        <v>0.7</v>
      </c>
      <c r="H21" s="58">
        <v>0</v>
      </c>
      <c r="I21" s="58">
        <v>0</v>
      </c>
      <c r="J21" s="58">
        <v>0</v>
      </c>
      <c r="K21" s="58">
        <v>0.7</v>
      </c>
      <c r="M21" s="38">
        <f t="shared" si="1"/>
        <v>-0.42857142857142855</v>
      </c>
      <c r="N21" s="58">
        <f t="shared" si="2"/>
        <v>0</v>
      </c>
      <c r="O21" s="58">
        <f t="shared" si="3"/>
        <v>0</v>
      </c>
      <c r="P21" s="141">
        <f>(M$13-I$13)/(J$13-I$13)</f>
        <v>-0.5</v>
      </c>
      <c r="Q21" s="58">
        <f>J21-I21</f>
        <v>0</v>
      </c>
      <c r="R21" s="58">
        <f t="shared" si="4"/>
        <v>0</v>
      </c>
      <c r="S21" s="141">
        <f>IF((M$13-J$13)/(K$13-J$13)&gt;1,1,(M$13-J$13)/(K$13-J$13))</f>
        <v>-3</v>
      </c>
      <c r="T21" s="58">
        <f>K21-J21</f>
        <v>0.7</v>
      </c>
      <c r="U21" s="58">
        <f>J21+(S21*T21)</f>
        <v>-2.0999999999999996</v>
      </c>
      <c r="V21" s="42">
        <f t="shared" si="5"/>
        <v>2.4253137329143443E-2</v>
      </c>
      <c r="W21" s="42">
        <v>1.9179999999999999E-2</v>
      </c>
      <c r="X21">
        <f>W21*R$3</f>
        <v>37.209199999999996</v>
      </c>
      <c r="Y21">
        <f>X21</f>
        <v>37.209199999999996</v>
      </c>
      <c r="Z21" s="42">
        <f>Y21/Y$46</f>
        <v>1.9201367994481331E-2</v>
      </c>
      <c r="AA21" s="42"/>
      <c r="AB21" s="138"/>
      <c r="AC21" s="138"/>
      <c r="AD21" s="138"/>
      <c r="AE21" s="138"/>
      <c r="AF21" s="138"/>
      <c r="AG21" s="138"/>
      <c r="AH21" s="138"/>
      <c r="AI21" s="138"/>
      <c r="AJ21" s="138"/>
      <c r="AK21" s="138"/>
      <c r="AL21" s="138"/>
      <c r="AM21">
        <f>IF(E5&lt;20,20,E5)</f>
        <v>300</v>
      </c>
      <c r="AU21" s="42">
        <v>2.4260415453779577E-2</v>
      </c>
      <c r="AV21" s="38">
        <f t="shared" si="6"/>
        <v>1.2621034477777274E-2</v>
      </c>
      <c r="AW21" s="8">
        <v>1825718.4758207207</v>
      </c>
      <c r="BA21" s="283" t="s">
        <v>844</v>
      </c>
      <c r="BB21">
        <v>45</v>
      </c>
      <c r="BE21" s="2" t="s">
        <v>15</v>
      </c>
      <c r="BF21">
        <f>BB28</f>
        <v>219</v>
      </c>
      <c r="BG21" s="520">
        <f t="shared" si="7"/>
        <v>65700000</v>
      </c>
    </row>
    <row r="22" spans="1:59" x14ac:dyDescent="0.15">
      <c r="A22" s="157"/>
      <c r="B22" s="157"/>
      <c r="C22" s="2" t="s">
        <v>7</v>
      </c>
      <c r="D22" s="8">
        <f>SUM(D18:D21)</f>
        <v>25807833.802145656</v>
      </c>
      <c r="E22" s="45">
        <f>SUM(E18:E21)</f>
        <v>86.026112673818844</v>
      </c>
      <c r="F22" s="209">
        <f>SUM(F18:F21)</f>
        <v>6.5721194682277842E-2</v>
      </c>
      <c r="G22" s="7"/>
      <c r="M22" s="38"/>
      <c r="N22" s="58"/>
      <c r="O22" s="58"/>
      <c r="Q22" s="58"/>
      <c r="R22" s="58"/>
      <c r="S22" s="141"/>
      <c r="T22" s="58"/>
      <c r="U22" s="58"/>
      <c r="V22" s="42">
        <f t="shared" si="5"/>
        <v>0.16147862688668629</v>
      </c>
      <c r="W22" s="42">
        <v>0.14000000000000001</v>
      </c>
      <c r="X22">
        <f>W22*R$3</f>
        <v>271.60000000000002</v>
      </c>
      <c r="Y22">
        <f>X22</f>
        <v>271.60000000000002</v>
      </c>
      <c r="Z22" s="42">
        <f>Y22/Y$46</f>
        <v>0.14015597076263747</v>
      </c>
      <c r="AA22" s="42"/>
      <c r="AB22" s="138" t="s">
        <v>508</v>
      </c>
      <c r="AC22" s="212">
        <v>20</v>
      </c>
      <c r="AD22" s="212">
        <v>30</v>
      </c>
      <c r="AE22" s="212">
        <v>60</v>
      </c>
      <c r="AF22" s="212">
        <v>75</v>
      </c>
      <c r="AG22" s="212">
        <v>100</v>
      </c>
      <c r="AH22" s="212">
        <v>150</v>
      </c>
      <c r="AI22" s="212">
        <v>200</v>
      </c>
      <c r="AJ22" s="212">
        <v>250</v>
      </c>
      <c r="AK22" s="212">
        <v>300</v>
      </c>
      <c r="AL22" s="138"/>
      <c r="AM22" t="s">
        <v>485</v>
      </c>
      <c r="AO22" t="s">
        <v>184</v>
      </c>
      <c r="AP22" t="s">
        <v>187</v>
      </c>
      <c r="AU22" s="42">
        <f>SUM(AU18:AU21)</f>
        <v>0.16152708501218996</v>
      </c>
      <c r="AV22" s="38">
        <f t="shared" si="6"/>
        <v>8.4031492078842654E-2</v>
      </c>
      <c r="AW22" s="8">
        <v>12155726.847055126</v>
      </c>
    </row>
    <row r="23" spans="1:59" x14ac:dyDescent="0.15">
      <c r="A23" s="157"/>
      <c r="B23" s="157"/>
      <c r="C23" s="2" t="s">
        <v>8</v>
      </c>
      <c r="D23" s="8"/>
      <c r="G23" s="7"/>
      <c r="M23" s="38"/>
      <c r="N23" s="58"/>
      <c r="O23" s="58"/>
      <c r="Q23" s="58"/>
      <c r="R23" s="58"/>
      <c r="S23" s="141"/>
      <c r="T23" s="58"/>
      <c r="U23" s="58"/>
      <c r="V23" s="192"/>
      <c r="W23" s="42"/>
      <c r="AB23" s="138" t="s">
        <v>509</v>
      </c>
      <c r="AC23" s="212">
        <v>55</v>
      </c>
      <c r="AD23" s="212">
        <v>60</v>
      </c>
      <c r="AE23" s="212">
        <v>75</v>
      </c>
      <c r="AF23" s="212">
        <v>82</v>
      </c>
      <c r="AG23" s="212">
        <v>85</v>
      </c>
      <c r="AH23" s="212">
        <v>110</v>
      </c>
      <c r="AI23" s="212">
        <v>135</v>
      </c>
      <c r="AJ23" s="212">
        <v>155</v>
      </c>
      <c r="AK23" s="212">
        <v>185</v>
      </c>
      <c r="AL23" s="138"/>
      <c r="AN23" t="s">
        <v>515</v>
      </c>
      <c r="AO23" t="s">
        <v>516</v>
      </c>
      <c r="AP23" t="s">
        <v>516</v>
      </c>
      <c r="AU23" s="192"/>
      <c r="AW23" s="8"/>
      <c r="AZ23" s="283" t="s">
        <v>845</v>
      </c>
      <c r="BB23">
        <v>498</v>
      </c>
    </row>
    <row r="24" spans="1:59" x14ac:dyDescent="0.15">
      <c r="A24" s="157"/>
      <c r="B24" s="157"/>
      <c r="C24" s="2" t="s">
        <v>9</v>
      </c>
      <c r="D24" s="8">
        <f>'STEP 2 - Cost Information'!D19</f>
        <v>4239947.7575955112</v>
      </c>
      <c r="E24" s="45">
        <f>D24/(E$5*1000)</f>
        <v>14.133159191985037</v>
      </c>
      <c r="F24" s="208">
        <f>D24/E$9</f>
        <v>1.0797280940194783E-2</v>
      </c>
      <c r="G24" s="7">
        <f>IF('STEP 3 - Edit Project Data'!$B$13="UNITED STATES",1,0.95)</f>
        <v>0.95</v>
      </c>
      <c r="H24" s="58">
        <v>1.7204301075268817E-2</v>
      </c>
      <c r="I24" s="58">
        <v>9.4623655913978491E-2</v>
      </c>
      <c r="J24" s="58">
        <v>0.28673835125448033</v>
      </c>
      <c r="K24" s="58">
        <f>G24</f>
        <v>0.95</v>
      </c>
      <c r="M24" s="38">
        <f t="shared" si="1"/>
        <v>-0.42857142857142855</v>
      </c>
      <c r="N24" s="58">
        <f t="shared" si="2"/>
        <v>7.7419354838709681E-2</v>
      </c>
      <c r="O24" s="58">
        <f t="shared" si="3"/>
        <v>-1.5975422427035327E-2</v>
      </c>
      <c r="P24" s="141">
        <f>(M$13-I$13)/(J$13-I$13)</f>
        <v>-0.5</v>
      </c>
      <c r="Q24" s="58">
        <f>J24-I24</f>
        <v>0.19211469534050185</v>
      </c>
      <c r="R24" s="58">
        <f t="shared" si="4"/>
        <v>-1.4336917562724344E-3</v>
      </c>
      <c r="S24" s="141">
        <f>IF((M$13-J$13)/(K$13-J$13)&gt;1,1,(M$13-J$13)/(K$13-J$13))</f>
        <v>-3</v>
      </c>
      <c r="T24" s="58">
        <f>K24-J24</f>
        <v>0.66326164874551963</v>
      </c>
      <c r="U24" s="58">
        <f>J24+(S24*T24)</f>
        <v>-1.7030465949820786</v>
      </c>
      <c r="W24" s="42">
        <v>3.0240000000000006E-2</v>
      </c>
      <c r="X24">
        <f t="shared" ref="X24:X30" si="8">W24*R$3</f>
        <v>58.665600000000012</v>
      </c>
      <c r="Y24">
        <f>X24*R$7</f>
        <v>58.231552242166515</v>
      </c>
      <c r="Z24" s="42">
        <f t="shared" ref="Z24:Z30" si="9">Y24/Y$46</f>
        <v>3.0049704468026826E-2</v>
      </c>
      <c r="AA24" s="14">
        <f>Z24/(Z$29)</f>
        <v>0.27027027027027029</v>
      </c>
      <c r="AB24" s="218" t="s">
        <v>9</v>
      </c>
      <c r="AC24" s="138">
        <f>(AC$23-AC$27)*($AA24/($AA$24+$AA$25+$AA$26))</f>
        <v>14.328358181286648</v>
      </c>
      <c r="AD24" s="138">
        <f t="shared" ref="AD24:AK24" si="10">(AD$23-AD$27)*($AA24/($AA$24+$AA$25+$AA$26))</f>
        <v>15.630936197767252</v>
      </c>
      <c r="AE24" s="138">
        <f t="shared" si="10"/>
        <v>19.538670247209065</v>
      </c>
      <c r="AF24" s="138">
        <f t="shared" si="10"/>
        <v>21.362279470281912</v>
      </c>
      <c r="AG24" s="138">
        <f t="shared" si="10"/>
        <v>22.143826280170273</v>
      </c>
      <c r="AH24" s="138">
        <f t="shared" si="10"/>
        <v>28.656716362573295</v>
      </c>
      <c r="AI24" s="138">
        <f t="shared" si="10"/>
        <v>35.16960644497631</v>
      </c>
      <c r="AJ24" s="138">
        <f t="shared" si="10"/>
        <v>40.379918510898733</v>
      </c>
      <c r="AK24" s="138">
        <f t="shared" si="10"/>
        <v>48.195386609782368</v>
      </c>
      <c r="AL24" s="138"/>
      <c r="AN24">
        <f>D24/K110</f>
        <v>29.456274355671642</v>
      </c>
      <c r="AO24">
        <f>(D24*'STEP 3 - Edit Project Data'!T46)/K110</f>
        <v>27.983460637888058</v>
      </c>
      <c r="AP24">
        <f>AO30/R110*'STEP 3 - Edit Project Data'!E46</f>
        <v>27.983460637888058</v>
      </c>
      <c r="AQ24">
        <f>IF('STEP 3 - Edit Project Data'!B24="y",AO24,AP24)</f>
        <v>27.983460637888058</v>
      </c>
      <c r="AU24" s="310"/>
      <c r="AW24" s="8">
        <v>1130442.701524863</v>
      </c>
      <c r="BA24" s="283" t="s">
        <v>846</v>
      </c>
      <c r="BB24">
        <v>100</v>
      </c>
    </row>
    <row r="25" spans="1:59" x14ac:dyDescent="0.15">
      <c r="A25" s="157"/>
      <c r="B25" s="157"/>
      <c r="C25" s="2" t="s">
        <v>10</v>
      </c>
      <c r="D25" s="8">
        <f>'STEP 2 - Cost Information'!D25</f>
        <v>7790047.9660859304</v>
      </c>
      <c r="E25" s="45">
        <f>D25/(E$5*1000)</f>
        <v>25.966826553619768</v>
      </c>
      <c r="F25" s="208">
        <f>D25/E$9</f>
        <v>1.9837823774301072E-2</v>
      </c>
      <c r="G25" s="7">
        <f>IF('STEP 3 - Edit Project Data'!$B$13="UNITED STATES",1,0.75)</f>
        <v>0.75</v>
      </c>
      <c r="H25" s="58">
        <v>5.9999999999999993E-3</v>
      </c>
      <c r="I25" s="58">
        <v>2.0249999999999997E-2</v>
      </c>
      <c r="J25" s="58">
        <v>6.7500000000000004E-2</v>
      </c>
      <c r="K25" s="58">
        <f>G25</f>
        <v>0.75</v>
      </c>
      <c r="M25" s="38">
        <f t="shared" si="1"/>
        <v>-0.42857142857142855</v>
      </c>
      <c r="N25" s="58">
        <f t="shared" si="2"/>
        <v>1.4249999999999999E-2</v>
      </c>
      <c r="O25" s="58">
        <f t="shared" si="3"/>
        <v>-1.0714285714285687E-4</v>
      </c>
      <c r="P25" s="141">
        <f>(M$13-I$13)/(J$13-I$13)</f>
        <v>-0.5</v>
      </c>
      <c r="Q25" s="58">
        <f>J25-I25</f>
        <v>4.7250000000000007E-2</v>
      </c>
      <c r="R25" s="58">
        <f t="shared" si="4"/>
        <v>-3.3750000000000065E-3</v>
      </c>
      <c r="S25" s="141">
        <f>IF((M$13-J$13)/(K$13-J$13)&gt;1,1,(M$13-J$13)/(K$13-J$13))</f>
        <v>-3</v>
      </c>
      <c r="T25" s="58">
        <f>K25-J25</f>
        <v>0.6825</v>
      </c>
      <c r="U25" s="58">
        <f>J25+(S25*T25)</f>
        <v>-1.98</v>
      </c>
      <c r="W25" s="42">
        <v>3.0240000000000006E-2</v>
      </c>
      <c r="X25">
        <f t="shared" si="8"/>
        <v>58.665600000000012</v>
      </c>
      <c r="Y25">
        <f>X25*R$7</f>
        <v>58.231552242166515</v>
      </c>
      <c r="Z25" s="42">
        <f t="shared" si="9"/>
        <v>3.0049704468026826E-2</v>
      </c>
      <c r="AA25" s="14">
        <f>Z25/(Z$29)</f>
        <v>0.27027027027027029</v>
      </c>
      <c r="AB25" s="218" t="s">
        <v>10</v>
      </c>
      <c r="AC25" s="138">
        <f t="shared" ref="AC25:AK26" si="11">(AC$23-AC$27)*($AA25/($AA$24+$AA$25+$AA$26))</f>
        <v>14.328358181286648</v>
      </c>
      <c r="AD25" s="138">
        <f t="shared" si="11"/>
        <v>15.630936197767252</v>
      </c>
      <c r="AE25" s="138">
        <f t="shared" si="11"/>
        <v>19.538670247209065</v>
      </c>
      <c r="AF25" s="138">
        <f t="shared" si="11"/>
        <v>21.362279470281912</v>
      </c>
      <c r="AG25" s="138">
        <f t="shared" si="11"/>
        <v>22.143826280170273</v>
      </c>
      <c r="AH25" s="138">
        <f t="shared" si="11"/>
        <v>28.656716362573295</v>
      </c>
      <c r="AI25" s="138">
        <f t="shared" si="11"/>
        <v>35.16960644497631</v>
      </c>
      <c r="AJ25" s="138">
        <f t="shared" si="11"/>
        <v>40.379918510898733</v>
      </c>
      <c r="AK25" s="138">
        <f t="shared" si="11"/>
        <v>48.195386609782368</v>
      </c>
      <c r="AL25" s="138"/>
      <c r="AN25">
        <f>D25/K111</f>
        <v>52.199705317819621</v>
      </c>
      <c r="AO25">
        <f>(D25*'STEP 3 - Edit Project Data'!T47)/K111</f>
        <v>39.149778988364716</v>
      </c>
      <c r="AP25">
        <f>AO31/R111*'STEP 3 - Edit Project Data'!E47</f>
        <v>39.149778988364716</v>
      </c>
      <c r="AQ25">
        <f>IF('STEP 3 - Edit Project Data'!B25="y",AO25,AP25)</f>
        <v>39.149778988364716</v>
      </c>
      <c r="AU25" s="310"/>
      <c r="AW25" s="8">
        <v>1280386.7934847658</v>
      </c>
      <c r="BA25" s="283" t="s">
        <v>847</v>
      </c>
      <c r="BB25">
        <v>195</v>
      </c>
    </row>
    <row r="26" spans="1:59" x14ac:dyDescent="0.15">
      <c r="A26" s="157"/>
      <c r="B26" s="157"/>
      <c r="C26" s="2" t="s">
        <v>11</v>
      </c>
      <c r="D26" s="8">
        <f>'STEP 2 - Cost Information'!D31</f>
        <v>1773965.3638829268</v>
      </c>
      <c r="E26" s="45">
        <f>D26/(E$5*1000)</f>
        <v>5.9132178796097561</v>
      </c>
      <c r="F26" s="208">
        <f>D26/E$9</f>
        <v>4.5175090607439761E-3</v>
      </c>
      <c r="G26" s="7">
        <f>IF('STEP 3 - Edit Project Data'!$B$13="UNITED STATES",1,0.7)</f>
        <v>0.7</v>
      </c>
      <c r="H26" s="58">
        <v>5.0196850393700778E-3</v>
      </c>
      <c r="I26" s="58">
        <v>4.5177165354330702E-2</v>
      </c>
      <c r="J26" s="58">
        <v>0.13730314960629919</v>
      </c>
      <c r="K26" s="58">
        <f>G26</f>
        <v>0.7</v>
      </c>
      <c r="M26" s="38">
        <f t="shared" si="1"/>
        <v>-0.42857142857142855</v>
      </c>
      <c r="N26" s="58">
        <f t="shared" si="2"/>
        <v>4.0157480314960622E-2</v>
      </c>
      <c r="O26" s="58">
        <f t="shared" si="3"/>
        <v>-1.2190663667041616E-2</v>
      </c>
      <c r="P26" s="141">
        <f>(M$13-I$13)/(J$13-I$13)</f>
        <v>-0.5</v>
      </c>
      <c r="Q26" s="58">
        <f>J26-I26</f>
        <v>9.2125984251968496E-2</v>
      </c>
      <c r="R26" s="58">
        <f t="shared" si="4"/>
        <v>-8.858267716535459E-4</v>
      </c>
      <c r="S26" s="141">
        <f>IF((M$13-J$13)/(K$13-J$13)&gt;1,1,(M$13-J$13)/(K$13-J$13))</f>
        <v>-3</v>
      </c>
      <c r="T26" s="58">
        <f>K26-J26</f>
        <v>0.56269685039370076</v>
      </c>
      <c r="U26" s="58">
        <f>J26+(S26*T26)</f>
        <v>-1.5507874015748033</v>
      </c>
      <c r="W26" s="42">
        <v>3.3264000000000002E-2</v>
      </c>
      <c r="X26">
        <f t="shared" si="8"/>
        <v>64.532160000000005</v>
      </c>
      <c r="Y26">
        <f>X26*R$7</f>
        <v>64.054707466383164</v>
      </c>
      <c r="Z26" s="42">
        <f t="shared" si="9"/>
        <v>3.305467491482951E-2</v>
      </c>
      <c r="AA26" s="14">
        <f>Z26/(Z$29)</f>
        <v>0.29729729729729731</v>
      </c>
      <c r="AB26" s="218" t="s">
        <v>11</v>
      </c>
      <c r="AC26" s="138">
        <f t="shared" si="11"/>
        <v>15.761193999415312</v>
      </c>
      <c r="AD26" s="138">
        <f t="shared" si="11"/>
        <v>17.194029817543974</v>
      </c>
      <c r="AE26" s="138">
        <f t="shared" si="11"/>
        <v>21.492537271929969</v>
      </c>
      <c r="AF26" s="138">
        <f t="shared" si="11"/>
        <v>23.498507417310101</v>
      </c>
      <c r="AG26" s="138">
        <f t="shared" si="11"/>
        <v>24.358208908187301</v>
      </c>
      <c r="AH26" s="138">
        <f t="shared" si="11"/>
        <v>31.522387998830624</v>
      </c>
      <c r="AI26" s="138">
        <f t="shared" si="11"/>
        <v>38.68656708947394</v>
      </c>
      <c r="AJ26" s="138">
        <f t="shared" si="11"/>
        <v>44.417910361988604</v>
      </c>
      <c r="AK26" s="138">
        <f t="shared" si="11"/>
        <v>53.0149252707606</v>
      </c>
      <c r="AL26" s="138"/>
      <c r="AN26">
        <f>D26/K112</f>
        <v>11.10733533304537</v>
      </c>
      <c r="AO26">
        <f>(D26*'STEP 3 - Edit Project Data'!T48)/K112</f>
        <v>7.7751347331317593</v>
      </c>
      <c r="AP26">
        <f>AO32/R112*'STEP 3 - Edit Project Data'!E48</f>
        <v>7.7751347331317584</v>
      </c>
      <c r="AQ26">
        <f>IF('STEP 3 - Edit Project Data'!B26="y",AO26,AP26)</f>
        <v>7.7751347331317584</v>
      </c>
      <c r="AU26" s="310"/>
      <c r="AW26" s="8">
        <v>1865909.2167800402</v>
      </c>
      <c r="BA26" s="283" t="s">
        <v>848</v>
      </c>
      <c r="BB26">
        <v>170</v>
      </c>
    </row>
    <row r="27" spans="1:59" x14ac:dyDescent="0.15">
      <c r="A27" s="157"/>
      <c r="B27" s="157"/>
      <c r="C27" s="2" t="s">
        <v>12</v>
      </c>
      <c r="D27" s="8">
        <f>'STEP 2 - Cost Information'!D39</f>
        <v>2047903.0070803107</v>
      </c>
      <c r="E27" s="45">
        <f>D27/(E$5*1000)</f>
        <v>6.8263433569343688</v>
      </c>
      <c r="F27" s="208">
        <f>D27/E$9</f>
        <v>5.215107678179386E-3</v>
      </c>
      <c r="G27" s="7">
        <f>IF('STEP 3 - Edit Project Data'!$B$13="UNITED STATES",1,0)</f>
        <v>0</v>
      </c>
      <c r="H27" s="58">
        <v>0</v>
      </c>
      <c r="I27" s="58">
        <v>0</v>
      </c>
      <c r="J27" s="58">
        <v>0</v>
      </c>
      <c r="K27" s="58">
        <f>G27</f>
        <v>0</v>
      </c>
      <c r="M27" s="38">
        <f t="shared" si="1"/>
        <v>-0.42857142857142855</v>
      </c>
      <c r="N27" s="58">
        <f t="shared" si="2"/>
        <v>0</v>
      </c>
      <c r="O27" s="58">
        <f t="shared" si="3"/>
        <v>0</v>
      </c>
      <c r="P27" s="141">
        <f>(M$13-I$13)/(J$13-I$13)</f>
        <v>-0.5</v>
      </c>
      <c r="Q27" s="58">
        <f>J27-I27</f>
        <v>0</v>
      </c>
      <c r="R27" s="58">
        <f t="shared" si="4"/>
        <v>0</v>
      </c>
      <c r="S27" s="141">
        <f>IF((M$13-J$13)/(K$13-J$13)&gt;1,1,(M$13-J$13)/(K$13-J$13))</f>
        <v>-3</v>
      </c>
      <c r="T27" s="58">
        <f>K27-J27</f>
        <v>0</v>
      </c>
      <c r="U27" s="58">
        <f>J27+(S27*T27)</f>
        <v>0</v>
      </c>
      <c r="W27" s="42">
        <v>1.8144000000000004E-2</v>
      </c>
      <c r="X27">
        <f t="shared" si="8"/>
        <v>35.199360000000006</v>
      </c>
      <c r="Y27">
        <f>X27*R$7</f>
        <v>34.938931345299906</v>
      </c>
      <c r="Z27" s="42">
        <f t="shared" si="9"/>
        <v>1.8029822680816095E-2</v>
      </c>
      <c r="AA27" s="14">
        <f>Z27/(Z$29)</f>
        <v>0.16216216216216217</v>
      </c>
      <c r="AB27" s="218" t="s">
        <v>12</v>
      </c>
      <c r="AC27" s="138">
        <f>(AC$23*$AA27)/($D113/$D112)</f>
        <v>10.582089638011391</v>
      </c>
      <c r="AD27" s="138">
        <f t="shared" ref="AD27:AK27" si="12">(AD$23*$AA27)/($D113/$D112)</f>
        <v>11.544097786921517</v>
      </c>
      <c r="AE27" s="138">
        <f t="shared" si="12"/>
        <v>14.430122233651899</v>
      </c>
      <c r="AF27" s="138">
        <f t="shared" si="12"/>
        <v>15.776933642126075</v>
      </c>
      <c r="AG27" s="138">
        <f t="shared" si="12"/>
        <v>16.354138531472149</v>
      </c>
      <c r="AH27" s="138">
        <f t="shared" si="12"/>
        <v>21.164179276022782</v>
      </c>
      <c r="AI27" s="138">
        <f t="shared" si="12"/>
        <v>25.974220020573419</v>
      </c>
      <c r="AJ27" s="138">
        <f t="shared" si="12"/>
        <v>29.822252616213923</v>
      </c>
      <c r="AK27" s="138">
        <f t="shared" si="12"/>
        <v>35.594301509674679</v>
      </c>
      <c r="AL27" s="138"/>
      <c r="AN27">
        <f>D27/K113</f>
        <v>15.213647565217125</v>
      </c>
      <c r="AO27">
        <f>(D27*'STEP 3 - Edit Project Data'!T49)/K113</f>
        <v>0</v>
      </c>
      <c r="AP27">
        <f>AO33/R113*'STEP 3 - Edit Project Data'!E49</f>
        <v>0</v>
      </c>
      <c r="AQ27">
        <f>IF('STEP 3 - Edit Project Data'!B27="y",AO27,AP27)</f>
        <v>0</v>
      </c>
      <c r="AU27" s="310"/>
      <c r="AW27" s="8">
        <v>968223.74365383515</v>
      </c>
      <c r="BA27" s="283" t="s">
        <v>849</v>
      </c>
      <c r="BB27">
        <v>33</v>
      </c>
    </row>
    <row r="28" spans="1:59" x14ac:dyDescent="0.15">
      <c r="A28" s="157"/>
      <c r="B28" s="157"/>
      <c r="C28" s="2" t="s">
        <v>525</v>
      </c>
      <c r="D28" s="8">
        <f>'STEP 2 - Cost Information'!D7+'STEP 2 - Cost Information'!D14+('STEP 2 - Cost Information'!D42*0.39)</f>
        <v>1295776.8240952727</v>
      </c>
      <c r="E28" s="45">
        <f>D28/(E$5*1000)</f>
        <v>4.3192560803175759</v>
      </c>
      <c r="F28" s="208">
        <f>D28/E$9</f>
        <v>3.299773300387145E-3</v>
      </c>
      <c r="G28" s="7">
        <f>IF('STEP 3 - Edit Project Data'!$B$13="UNITED STATES",1,0.5)</f>
        <v>0.5</v>
      </c>
      <c r="H28" s="58">
        <v>0</v>
      </c>
      <c r="I28" s="58">
        <v>0</v>
      </c>
      <c r="J28" s="58">
        <v>0</v>
      </c>
      <c r="K28" s="58">
        <f>G28</f>
        <v>0.5</v>
      </c>
      <c r="M28" s="38">
        <f>(M$13-H$13)/(I$13-H$13)</f>
        <v>-0.42857142857142855</v>
      </c>
      <c r="N28" s="58">
        <f>+I28-H28</f>
        <v>0</v>
      </c>
      <c r="O28" s="58">
        <f>H28+(N28*M28)</f>
        <v>0</v>
      </c>
      <c r="P28" s="141">
        <f>(M$13-I$13)/(J$13-I$13)</f>
        <v>-0.5</v>
      </c>
      <c r="Q28" s="58">
        <f>J28-I28</f>
        <v>0</v>
      </c>
      <c r="R28" s="58">
        <f>I28+(P28*Q28)</f>
        <v>0</v>
      </c>
      <c r="S28" s="141">
        <f>IF((M$13-J$13)/(K$13-J$13)&gt;1,1,(M$13-J$13)/(K$13-J$13))</f>
        <v>-3</v>
      </c>
      <c r="T28" s="58">
        <f>K28-J28</f>
        <v>0.5</v>
      </c>
      <c r="U28" s="58">
        <f>J28+(S28*T28)</f>
        <v>-1.5</v>
      </c>
      <c r="W28" s="42">
        <v>0</v>
      </c>
      <c r="X28">
        <f>W28*R$3</f>
        <v>0</v>
      </c>
      <c r="Y28">
        <f>X28*R$7</f>
        <v>0</v>
      </c>
      <c r="Z28" s="42">
        <f t="shared" si="9"/>
        <v>0</v>
      </c>
      <c r="AA28" s="14">
        <f>Z28/(Z$29)</f>
        <v>0</v>
      </c>
      <c r="AB28" s="218"/>
      <c r="AC28" s="138"/>
      <c r="AD28" s="138"/>
      <c r="AE28" s="138"/>
      <c r="AF28" s="138"/>
      <c r="AG28" s="138"/>
      <c r="AH28" s="138"/>
      <c r="AI28" s="138"/>
      <c r="AJ28" s="138"/>
      <c r="AK28" s="138"/>
      <c r="AL28" s="138"/>
      <c r="AN28">
        <f>SUM(AN24:AN27)</f>
        <v>107.97696257175376</v>
      </c>
      <c r="AO28">
        <f>SUM(AO24:AO27)</f>
        <v>74.908374359384538</v>
      </c>
      <c r="AP28">
        <f>SUM(AP24:AP27)</f>
        <v>74.908374359384538</v>
      </c>
      <c r="AQ28">
        <f>SUM(AQ24:AQ27)</f>
        <v>74.908374359384538</v>
      </c>
      <c r="AU28" s="310"/>
      <c r="AW28" s="8">
        <v>3059000</v>
      </c>
      <c r="AZ28" t="s">
        <v>850</v>
      </c>
      <c r="BB28">
        <v>219</v>
      </c>
    </row>
    <row r="29" spans="1:59" x14ac:dyDescent="0.15">
      <c r="A29" s="157"/>
      <c r="B29" s="157"/>
      <c r="C29" s="2" t="s">
        <v>7</v>
      </c>
      <c r="D29" s="8">
        <f>SUM(D24:D28)</f>
        <v>17147640.918739952</v>
      </c>
      <c r="E29" s="45">
        <f>SUM(E24:E28)</f>
        <v>57.158803062466504</v>
      </c>
      <c r="F29" s="209">
        <f>SUM(F24:F28)</f>
        <v>4.3667494753806359E-2</v>
      </c>
      <c r="G29" s="7"/>
      <c r="M29" s="38"/>
      <c r="N29" s="58"/>
      <c r="O29" s="58"/>
      <c r="Q29" s="58"/>
      <c r="R29" s="58"/>
      <c r="S29" s="141"/>
      <c r="T29" s="58"/>
      <c r="U29" s="58"/>
      <c r="W29" s="42">
        <v>0.11188800000000003</v>
      </c>
      <c r="X29">
        <f t="shared" si="8"/>
        <v>217.06272000000007</v>
      </c>
      <c r="Y29">
        <f>SUM(Y24:Y28)</f>
        <v>215.4567432960161</v>
      </c>
      <c r="Z29" s="42">
        <f t="shared" si="9"/>
        <v>0.11118390653169925</v>
      </c>
      <c r="AA29" s="14">
        <f>SUM(AA24:AA28)</f>
        <v>1</v>
      </c>
      <c r="AB29" s="138"/>
      <c r="AC29" s="138"/>
      <c r="AD29" s="138"/>
      <c r="AE29" s="138"/>
      <c r="AF29" s="138"/>
      <c r="AG29" s="138"/>
      <c r="AH29" s="138"/>
      <c r="AI29" s="138"/>
      <c r="AJ29" s="138"/>
      <c r="AK29" s="138"/>
      <c r="AL29" s="138"/>
      <c r="AM29" s="212">
        <f>HLOOKUP(AM$21,AC$22:AK$33,2)</f>
        <v>185</v>
      </c>
      <c r="AN29" t="s">
        <v>184</v>
      </c>
      <c r="AO29" t="s">
        <v>514</v>
      </c>
      <c r="AU29" s="310"/>
      <c r="AW29" s="8">
        <v>8303962.4554435043</v>
      </c>
    </row>
    <row r="30" spans="1:59" x14ac:dyDescent="0.15">
      <c r="A30" s="157"/>
      <c r="B30" s="157"/>
      <c r="C30" s="2" t="s">
        <v>13</v>
      </c>
      <c r="D30" s="8">
        <f>+D29+D22</f>
        <v>42955474.720885605</v>
      </c>
      <c r="E30" s="45">
        <f>+E29+E22</f>
        <v>143.18491573628535</v>
      </c>
      <c r="F30" s="209">
        <f>+F29+F22</f>
        <v>0.10938868943608421</v>
      </c>
      <c r="G30" s="7"/>
      <c r="M30" s="38"/>
      <c r="N30" s="58"/>
      <c r="O30" s="58"/>
      <c r="Q30" s="58"/>
      <c r="R30" s="58"/>
      <c r="S30" s="141"/>
      <c r="T30" s="58"/>
      <c r="U30" s="58"/>
      <c r="W30" s="42">
        <v>0.25188800000000006</v>
      </c>
      <c r="X30">
        <f t="shared" si="8"/>
        <v>488.66272000000009</v>
      </c>
      <c r="Y30">
        <f>Y29+Y22</f>
        <v>487.05674329601612</v>
      </c>
      <c r="Z30" s="42">
        <f t="shared" si="9"/>
        <v>0.25133987729433671</v>
      </c>
      <c r="AB30" s="218" t="s">
        <v>510</v>
      </c>
      <c r="AC30" s="212">
        <f t="shared" ref="AC30:AK30" si="13">AC24/AC$22</f>
        <v>0.71641790906433234</v>
      </c>
      <c r="AD30" s="212">
        <f t="shared" si="13"/>
        <v>0.52103120659224167</v>
      </c>
      <c r="AE30" s="212">
        <f t="shared" si="13"/>
        <v>0.32564450412015111</v>
      </c>
      <c r="AF30" s="212">
        <f t="shared" si="13"/>
        <v>0.28483039293709217</v>
      </c>
      <c r="AG30" s="212">
        <f t="shared" si="13"/>
        <v>0.22143826280170273</v>
      </c>
      <c r="AH30" s="212">
        <f t="shared" si="13"/>
        <v>0.19104477575048864</v>
      </c>
      <c r="AI30" s="212">
        <f t="shared" si="13"/>
        <v>0.17584803222488155</v>
      </c>
      <c r="AJ30" s="212">
        <f t="shared" si="13"/>
        <v>0.16151967404359494</v>
      </c>
      <c r="AK30" s="212">
        <f t="shared" si="13"/>
        <v>0.16065128869927456</v>
      </c>
      <c r="AL30" s="138"/>
      <c r="AM30" s="212">
        <f>HLOOKUP(AM$21,AC$22:AK$33,9)*(AM$36^(AM$21-AL$36))</f>
        <v>0.16065128869927456</v>
      </c>
      <c r="AN30">
        <f>(AM30*E$5)*K110</f>
        <v>6937262.9720652299</v>
      </c>
      <c r="AO30">
        <f>'STEP 3 - Edit Project Data'!B46</f>
        <v>4239947.7575955112</v>
      </c>
      <c r="AU30" s="310"/>
      <c r="AW30" s="8">
        <v>20459689.302498631</v>
      </c>
      <c r="AZ30" t="s">
        <v>852</v>
      </c>
    </row>
    <row r="31" spans="1:59" ht="14" x14ac:dyDescent="0.15">
      <c r="A31" s="157"/>
      <c r="B31" s="157"/>
      <c r="C31" s="4" t="s">
        <v>19</v>
      </c>
      <c r="D31" s="8"/>
      <c r="F31" s="209"/>
      <c r="G31" s="7"/>
      <c r="M31" s="38"/>
      <c r="N31" s="58"/>
      <c r="O31" s="58"/>
      <c r="Q31" s="58"/>
      <c r="R31" s="58"/>
      <c r="S31" s="141"/>
      <c r="T31" s="58"/>
      <c r="U31" s="58"/>
      <c r="W31" s="42"/>
      <c r="Z31" s="42"/>
      <c r="AB31" s="218" t="s">
        <v>511</v>
      </c>
      <c r="AC31" s="212">
        <f t="shared" ref="AC31:AK31" si="14">AC25/AC$22</f>
        <v>0.71641790906433234</v>
      </c>
      <c r="AD31" s="212">
        <f t="shared" si="14"/>
        <v>0.52103120659224167</v>
      </c>
      <c r="AE31" s="212">
        <f t="shared" si="14"/>
        <v>0.32564450412015111</v>
      </c>
      <c r="AF31" s="212">
        <f t="shared" si="14"/>
        <v>0.28483039293709217</v>
      </c>
      <c r="AG31" s="212">
        <f t="shared" si="14"/>
        <v>0.22143826280170273</v>
      </c>
      <c r="AH31" s="212">
        <f t="shared" si="14"/>
        <v>0.19104477575048864</v>
      </c>
      <c r="AI31" s="212">
        <f t="shared" si="14"/>
        <v>0.17584803222488155</v>
      </c>
      <c r="AJ31" s="212">
        <f t="shared" si="14"/>
        <v>0.16151967404359494</v>
      </c>
      <c r="AK31" s="212">
        <f t="shared" si="14"/>
        <v>0.16065128869927456</v>
      </c>
      <c r="AL31" s="138"/>
      <c r="AM31" s="212">
        <f>HLOOKUP(AM$21,AC$22:AK$33,10)*(AM$36^(AM$21-AL$36))</f>
        <v>0.16065128869927456</v>
      </c>
      <c r="AN31">
        <f>(AM31*E$5)*K111</f>
        <v>7192461.5502780108</v>
      </c>
      <c r="AO31">
        <f>'STEP 3 - Edit Project Data'!B47</f>
        <v>7790047.9660859304</v>
      </c>
      <c r="AU31" s="310"/>
      <c r="AW31" s="8"/>
    </row>
    <row r="32" spans="1:59" x14ac:dyDescent="0.15">
      <c r="A32" s="157"/>
      <c r="B32" s="157"/>
      <c r="C32" s="33" t="s">
        <v>238</v>
      </c>
      <c r="D32" s="521">
        <f>BG19</f>
        <v>180900000</v>
      </c>
      <c r="E32" s="45">
        <f>F32*D$9</f>
        <v>603</v>
      </c>
      <c r="F32" s="208">
        <f>D32/E$9</f>
        <v>0.46067268602123496</v>
      </c>
      <c r="G32" s="7">
        <f>IF('STEP 3 - Edit Project Data'!$B$13="UNITED STATES",0.2,0)</f>
        <v>0</v>
      </c>
      <c r="H32" s="58">
        <v>0</v>
      </c>
      <c r="I32" s="58">
        <v>0</v>
      </c>
      <c r="J32" s="58">
        <v>0</v>
      </c>
      <c r="K32" s="58">
        <v>0</v>
      </c>
      <c r="M32" s="38">
        <f t="shared" si="1"/>
        <v>-0.42857142857142855</v>
      </c>
      <c r="N32" s="58">
        <f t="shared" si="2"/>
        <v>0</v>
      </c>
      <c r="O32" s="58">
        <f t="shared" si="3"/>
        <v>0</v>
      </c>
      <c r="P32" s="141">
        <f>(M$13-I$13)/(J$13-I$13)</f>
        <v>-0.5</v>
      </c>
      <c r="Q32" s="58">
        <f>J32-I32</f>
        <v>0</v>
      </c>
      <c r="R32" s="58">
        <f t="shared" si="4"/>
        <v>0</v>
      </c>
      <c r="S32" s="141">
        <f>IF((M$13-J$13)/(K$13-J$13)&gt;1,1,(M$13-J$13)/(K$13-J$13))</f>
        <v>-3</v>
      </c>
      <c r="T32" s="58">
        <f>K32-J32</f>
        <v>0</v>
      </c>
      <c r="U32" s="58">
        <f>J32+(S32*T32)</f>
        <v>0</v>
      </c>
      <c r="V32" s="42">
        <f t="shared" ref="V32:V36" si="15">AU32*V$15</f>
        <v>0.4608200458333333</v>
      </c>
      <c r="W32" s="42">
        <v>0.43056</v>
      </c>
      <c r="X32">
        <f>W32*R$3</f>
        <v>835.28639999999996</v>
      </c>
      <c r="Y32">
        <f>X32</f>
        <v>835.28639999999996</v>
      </c>
      <c r="Z32" s="42">
        <f>Y32/Y$46</f>
        <v>0.43103967693972273</v>
      </c>
      <c r="AA32" s="42"/>
      <c r="AB32" s="218" t="s">
        <v>512</v>
      </c>
      <c r="AC32" s="212">
        <f t="shared" ref="AC32:AK32" si="16">AC26/AC$22</f>
        <v>0.78805969997076564</v>
      </c>
      <c r="AD32" s="212">
        <f t="shared" si="16"/>
        <v>0.57313432725146585</v>
      </c>
      <c r="AE32" s="212">
        <f t="shared" si="16"/>
        <v>0.35820895453216617</v>
      </c>
      <c r="AF32" s="212">
        <f t="shared" si="16"/>
        <v>0.31331343223080133</v>
      </c>
      <c r="AG32" s="212">
        <f t="shared" si="16"/>
        <v>0.24358208908187301</v>
      </c>
      <c r="AH32" s="212">
        <f t="shared" si="16"/>
        <v>0.21014925332553749</v>
      </c>
      <c r="AI32" s="212">
        <f t="shared" si="16"/>
        <v>0.19343283544736969</v>
      </c>
      <c r="AJ32" s="212">
        <f t="shared" si="16"/>
        <v>0.17767164144795441</v>
      </c>
      <c r="AK32" s="212">
        <f t="shared" si="16"/>
        <v>0.17671641756920201</v>
      </c>
      <c r="AL32" s="138"/>
      <c r="AM32" s="212">
        <f>HLOOKUP(AM$21,AC$22:AK$33,11)*(AM$36^(AM$21-AL$36))</f>
        <v>0.17671641756920201</v>
      </c>
      <c r="AN32">
        <f>(AM32*E$5)*K112</f>
        <v>8467074.9895677827</v>
      </c>
      <c r="AO32">
        <f>'STEP 3 - Edit Project Data'!B48</f>
        <v>1773965.3638829268</v>
      </c>
      <c r="AU32" s="42">
        <v>0.4609583333333333</v>
      </c>
      <c r="AV32" s="38">
        <f t="shared" ref="AV32:AV36" si="17">AU32/AU$47</f>
        <v>0.23980508614548013</v>
      </c>
      <c r="AW32" s="8">
        <v>34689436.681476191</v>
      </c>
    </row>
    <row r="33" spans="1:49" x14ac:dyDescent="0.15">
      <c r="A33" s="157"/>
      <c r="B33" s="157"/>
      <c r="C33" s="35" t="s">
        <v>237</v>
      </c>
      <c r="D33" s="522">
        <f t="shared" ref="D33:D34" si="18">BG20</f>
        <v>56400000</v>
      </c>
      <c r="E33" s="45">
        <f>F33*D$9</f>
        <v>188</v>
      </c>
      <c r="F33" s="208">
        <f>D33/E$9</f>
        <v>0.14362597839468022</v>
      </c>
      <c r="G33" s="7">
        <f>IF('STEP 3 - Edit Project Data'!$B$13="UNITED STATES",0.6,0)</f>
        <v>0</v>
      </c>
      <c r="H33" s="58">
        <v>0</v>
      </c>
      <c r="I33" s="58">
        <v>0</v>
      </c>
      <c r="J33" s="58">
        <v>0</v>
      </c>
      <c r="K33" s="58">
        <v>0</v>
      </c>
      <c r="M33" s="38">
        <f t="shared" si="1"/>
        <v>-0.42857142857142855</v>
      </c>
      <c r="N33" s="58">
        <f t="shared" si="2"/>
        <v>0</v>
      </c>
      <c r="O33" s="58">
        <f t="shared" si="3"/>
        <v>0</v>
      </c>
      <c r="P33" s="141">
        <f>(M$13-I$13)/(J$13-I$13)</f>
        <v>-0.5</v>
      </c>
      <c r="Q33" s="58">
        <f>J33-I33</f>
        <v>0</v>
      </c>
      <c r="R33" s="58">
        <f t="shared" si="4"/>
        <v>0</v>
      </c>
      <c r="S33" s="141">
        <f>IF((M$13-J$13)/(K$13-J$13)&gt;1,1,(M$13-J$13)/(K$13-J$13))</f>
        <v>-3</v>
      </c>
      <c r="T33" s="58">
        <f>K33-J33</f>
        <v>0</v>
      </c>
      <c r="U33" s="58">
        <f>J33+(S33*T33)</f>
        <v>0</v>
      </c>
      <c r="V33" s="42">
        <f t="shared" si="15"/>
        <v>0.10788429166666665</v>
      </c>
      <c r="W33" s="42">
        <v>0.1008</v>
      </c>
      <c r="X33">
        <f>W33*R$3</f>
        <v>195.55199999999999</v>
      </c>
      <c r="Y33">
        <f>X33</f>
        <v>195.55199999999999</v>
      </c>
      <c r="Z33" s="42">
        <f>Y33/Y$46</f>
        <v>0.10091229894909896</v>
      </c>
      <c r="AA33" s="42"/>
      <c r="AB33" s="218" t="s">
        <v>513</v>
      </c>
      <c r="AC33" s="212">
        <f t="shared" ref="AC33:AK33" si="19">AC27/AC$22</f>
        <v>0.52910448190056958</v>
      </c>
      <c r="AD33" s="212">
        <f t="shared" si="19"/>
        <v>0.38480325956405059</v>
      </c>
      <c r="AE33" s="212">
        <f t="shared" si="19"/>
        <v>0.24050203722753163</v>
      </c>
      <c r="AF33" s="212">
        <f t="shared" si="19"/>
        <v>0.21035911522834766</v>
      </c>
      <c r="AG33" s="212">
        <f t="shared" si="19"/>
        <v>0.16354138531472148</v>
      </c>
      <c r="AH33" s="212">
        <f t="shared" si="19"/>
        <v>0.14109452850681856</v>
      </c>
      <c r="AI33" s="212">
        <f t="shared" si="19"/>
        <v>0.12987110010286709</v>
      </c>
      <c r="AJ33" s="212">
        <f t="shared" si="19"/>
        <v>0.1192890104648557</v>
      </c>
      <c r="AK33" s="212">
        <f t="shared" si="19"/>
        <v>0.1186476716989156</v>
      </c>
      <c r="AL33" s="138"/>
      <c r="AM33" s="212">
        <f>HLOOKUP(AM$21,AC$22:AK$33,12)*(AM$36^(AM$21-AL$36))</f>
        <v>0.1186476716989156</v>
      </c>
      <c r="AN33">
        <f>(AM33*E$5)*K113</f>
        <v>4791334.6739569819</v>
      </c>
      <c r="AO33">
        <f>'STEP 3 - Edit Project Data'!B49</f>
        <v>2047903.0070803107</v>
      </c>
      <c r="AU33" s="42">
        <v>0.10791666666666665</v>
      </c>
      <c r="AV33" s="38">
        <f t="shared" si="17"/>
        <v>5.6141658963824774E-2</v>
      </c>
      <c r="AW33" s="8">
        <v>8121272.8016833877</v>
      </c>
    </row>
    <row r="34" spans="1:49" x14ac:dyDescent="0.15">
      <c r="A34" s="157"/>
      <c r="B34" s="157"/>
      <c r="C34" s="2" t="s">
        <v>15</v>
      </c>
      <c r="D34" s="523">
        <f t="shared" si="18"/>
        <v>65700000</v>
      </c>
      <c r="E34" s="45">
        <f>F34*D$9</f>
        <v>219.00000000000003</v>
      </c>
      <c r="F34" s="208">
        <f>D34/E$9</f>
        <v>0.16730898547039877</v>
      </c>
      <c r="G34" s="7">
        <f>IF('STEP 3 - Edit Project Data'!$B$13="UNITED STATES",0.8,0)</f>
        <v>0</v>
      </c>
      <c r="H34" s="58">
        <v>0</v>
      </c>
      <c r="I34" s="58">
        <v>0</v>
      </c>
      <c r="J34" s="58">
        <v>0</v>
      </c>
      <c r="K34" s="58">
        <v>0</v>
      </c>
      <c r="M34" s="38">
        <f t="shared" si="1"/>
        <v>-0.42857142857142855</v>
      </c>
      <c r="N34" s="58">
        <f t="shared" si="2"/>
        <v>0</v>
      </c>
      <c r="O34" s="58">
        <f t="shared" si="3"/>
        <v>0</v>
      </c>
      <c r="P34" s="141">
        <f>(M$13-I$13)/(J$13-I$13)</f>
        <v>-0.5</v>
      </c>
      <c r="Q34" s="58">
        <f>J34-I34</f>
        <v>0</v>
      </c>
      <c r="R34" s="58">
        <f t="shared" si="4"/>
        <v>0</v>
      </c>
      <c r="S34" s="141">
        <f>IF((M$13-J$13)/(K$13-J$13)&gt;1,1,(M$13-J$13)/(K$13-J$13))</f>
        <v>-3</v>
      </c>
      <c r="T34" s="58">
        <f>K34-J34</f>
        <v>0</v>
      </c>
      <c r="U34" s="58">
        <f>J34+(S34*T34)</f>
        <v>0</v>
      </c>
      <c r="V34" s="42">
        <f t="shared" si="15"/>
        <v>0.11944332291666664</v>
      </c>
      <c r="W34" s="42">
        <v>0.11159999999999999</v>
      </c>
      <c r="X34">
        <f>W34*R$3</f>
        <v>216.50399999999999</v>
      </c>
      <c r="Y34">
        <f>X34</f>
        <v>216.50399999999999</v>
      </c>
      <c r="Z34" s="42">
        <f>Y34/Y$46</f>
        <v>0.11172433097935958</v>
      </c>
      <c r="AA34" s="42"/>
      <c r="AB34" s="215" t="s">
        <v>535</v>
      </c>
      <c r="AC34" s="219">
        <v>3.7999999999999999E-2</v>
      </c>
      <c r="AD34" s="219">
        <v>3.7999999999999999E-2</v>
      </c>
      <c r="AE34" s="219">
        <v>3.7999999999999999E-2</v>
      </c>
      <c r="AF34" s="219">
        <v>3.7999999999999999E-2</v>
      </c>
      <c r="AG34" s="219">
        <v>3.7999999999999999E-2</v>
      </c>
      <c r="AH34" s="219">
        <v>3.7999999999999999E-2</v>
      </c>
      <c r="AI34" s="219">
        <v>3.7999999999999999E-2</v>
      </c>
      <c r="AJ34" s="219">
        <v>3.7999999999999999E-2</v>
      </c>
      <c r="AK34" s="219">
        <v>3.7999999999999999E-2</v>
      </c>
      <c r="AL34" s="138"/>
      <c r="AM34" s="212">
        <f>HLOOKUP(AM$21,AC$22:AK$34,13)</f>
        <v>3.7999999999999999E-2</v>
      </c>
      <c r="AN34">
        <f>(AM34*E9)</f>
        <v>14922091.560000001</v>
      </c>
      <c r="AO34">
        <f>SUM(AO30:AO33)</f>
        <v>15851864.094644681</v>
      </c>
      <c r="AU34" s="42">
        <v>0.11947916666666664</v>
      </c>
      <c r="AV34" s="38">
        <f t="shared" si="17"/>
        <v>6.215683670994885E-2</v>
      </c>
      <c r="AW34" s="8">
        <v>8991409.1732923202</v>
      </c>
    </row>
    <row r="35" spans="1:49" x14ac:dyDescent="0.15">
      <c r="A35" s="157"/>
      <c r="B35" s="157"/>
      <c r="C35" s="2" t="s">
        <v>445</v>
      </c>
      <c r="D35" s="8">
        <f>(E$9-(D$29-D$28))*V35</f>
        <v>31071692.333119016</v>
      </c>
      <c r="E35" s="45">
        <f>F35*D$9</f>
        <v>103.5723077770634</v>
      </c>
      <c r="F35" s="208">
        <f>D35/E$9</f>
        <v>7.9125925739764236E-2</v>
      </c>
      <c r="G35" s="7">
        <f>IF('STEP 3 - Edit Project Data'!$B$13="UNITED STATES",1,0)</f>
        <v>0</v>
      </c>
      <c r="H35" s="58">
        <v>0</v>
      </c>
      <c r="I35" s="58">
        <v>0</v>
      </c>
      <c r="J35" s="58">
        <v>0</v>
      </c>
      <c r="K35" s="58">
        <v>0</v>
      </c>
      <c r="M35" s="38">
        <f>(M$13-H$13)/(I$13-H$13)</f>
        <v>-0.42857142857142855</v>
      </c>
      <c r="N35" s="58">
        <f>+I35-H35</f>
        <v>0</v>
      </c>
      <c r="O35" s="58">
        <f>H35+(N35*M35)</f>
        <v>0</v>
      </c>
      <c r="P35" s="141">
        <f>(M$13-I$13)/(J$13-I$13)</f>
        <v>-0.5</v>
      </c>
      <c r="Q35" s="58">
        <f>J35-I35</f>
        <v>0</v>
      </c>
      <c r="R35" s="58">
        <f>I35+(P35*Q35)</f>
        <v>0</v>
      </c>
      <c r="S35" s="141">
        <f>IF((M$13-J$13)/(K$13-J$13)&gt;1,1,(M$13-J$13)/(K$13-J$13))</f>
        <v>-3</v>
      </c>
      <c r="T35" s="58">
        <f>K35-J35</f>
        <v>0</v>
      </c>
      <c r="U35" s="58">
        <f>J35+(S35*T35)</f>
        <v>0</v>
      </c>
      <c r="V35" s="42">
        <f t="shared" si="15"/>
        <v>8.2454422916666659E-2</v>
      </c>
      <c r="W35" s="42">
        <v>7.7039999999999997E-2</v>
      </c>
      <c r="X35">
        <f>W35*R$3</f>
        <v>149.45759999999999</v>
      </c>
      <c r="Y35">
        <f>X35</f>
        <v>149.45759999999999</v>
      </c>
      <c r="Z35" s="42">
        <f>Y35/Y$46</f>
        <v>7.7125828482525638E-2</v>
      </c>
      <c r="AA35" s="42"/>
      <c r="AB35" s="138"/>
      <c r="AC35" s="212"/>
      <c r="AD35" s="212"/>
      <c r="AE35" s="138"/>
      <c r="AF35" s="138"/>
      <c r="AG35" s="138"/>
      <c r="AH35" s="138"/>
      <c r="AI35" s="138"/>
      <c r="AJ35" s="138"/>
      <c r="AK35" s="138"/>
      <c r="AL35" s="138"/>
      <c r="AM35" s="42"/>
      <c r="AU35" s="42">
        <v>8.2479166666666659E-2</v>
      </c>
      <c r="AV35" s="38">
        <f t="shared" si="17"/>
        <v>4.2908267922351792E-2</v>
      </c>
      <c r="AW35" s="8">
        <v>6206972.7841437319</v>
      </c>
    </row>
    <row r="36" spans="1:49" x14ac:dyDescent="0.15">
      <c r="A36" s="157"/>
      <c r="B36" s="157"/>
      <c r="C36" s="2" t="s">
        <v>13</v>
      </c>
      <c r="D36" s="8">
        <f>SUM(D32:D35)</f>
        <v>334071692.33311903</v>
      </c>
      <c r="E36" s="45">
        <f>SUM(E32:E35)</f>
        <v>1113.5723077770633</v>
      </c>
      <c r="F36" s="209">
        <f>SUM(F32:F35)</f>
        <v>0.8507335756260781</v>
      </c>
      <c r="G36" s="7"/>
      <c r="M36" s="38"/>
      <c r="N36" s="58"/>
      <c r="O36" s="58"/>
      <c r="Q36" s="58"/>
      <c r="R36" s="58"/>
      <c r="S36" s="141"/>
      <c r="T36" s="58"/>
      <c r="U36" s="58"/>
      <c r="V36" s="42">
        <f t="shared" si="15"/>
        <v>0.77060208333333324</v>
      </c>
      <c r="W36" s="42">
        <v>0.72</v>
      </c>
      <c r="X36">
        <f>W36*R$3</f>
        <v>1396.8</v>
      </c>
      <c r="Y36">
        <f>X36</f>
        <v>1396.8</v>
      </c>
      <c r="Z36" s="42">
        <f>Y36/Y$46</f>
        <v>0.72080213535070692</v>
      </c>
      <c r="AA36" s="42"/>
      <c r="AB36" s="138"/>
      <c r="AC36" s="212">
        <f t="shared" ref="AC36:AJ36" si="20">(AD30/AC30)^(1/(AD$22-AC$22))</f>
        <v>0.96865635081697243</v>
      </c>
      <c r="AD36" s="212">
        <f t="shared" si="20"/>
        <v>0.98445529808077192</v>
      </c>
      <c r="AE36" s="212">
        <f t="shared" si="20"/>
        <v>0.99111223725040287</v>
      </c>
      <c r="AF36" s="212">
        <f t="shared" si="20"/>
        <v>0.98998053018268195</v>
      </c>
      <c r="AG36" s="212">
        <f t="shared" si="20"/>
        <v>0.99705163501409733</v>
      </c>
      <c r="AH36" s="212">
        <f t="shared" si="20"/>
        <v>0.99834362011773758</v>
      </c>
      <c r="AI36" s="212">
        <f t="shared" si="20"/>
        <v>0.99830157969428823</v>
      </c>
      <c r="AJ36" s="212">
        <f t="shared" si="20"/>
        <v>0.99989218883934339</v>
      </c>
      <c r="AK36" s="222">
        <v>1</v>
      </c>
      <c r="AL36" s="212">
        <f>HLOOKUP(AM$21,AC$22:AK$33,1)</f>
        <v>300</v>
      </c>
      <c r="AM36" s="212">
        <f>HLOOKUP(AM$21,AC$22:AK$36,15)</f>
        <v>1</v>
      </c>
      <c r="AU36" s="42">
        <f>SUM(AU32:AU35)</f>
        <v>0.77083333333333326</v>
      </c>
      <c r="AV36" s="38">
        <f t="shared" si="17"/>
        <v>0.40101184974160559</v>
      </c>
      <c r="AW36" s="8">
        <v>58009091.440595627</v>
      </c>
    </row>
    <row r="37" spans="1:49" ht="14" x14ac:dyDescent="0.15">
      <c r="A37" s="157"/>
      <c r="B37" s="157"/>
      <c r="C37" s="4" t="s">
        <v>454</v>
      </c>
      <c r="D37" s="8"/>
      <c r="F37" s="209"/>
      <c r="G37" s="7"/>
      <c r="M37" s="38"/>
      <c r="N37" s="58"/>
      <c r="O37" s="58"/>
      <c r="Q37" s="58"/>
      <c r="R37" s="58"/>
      <c r="S37" s="141"/>
      <c r="T37" s="58"/>
      <c r="U37" s="58"/>
      <c r="W37" s="42"/>
      <c r="Z37" s="42"/>
      <c r="AB37" s="138"/>
      <c r="AC37" s="212"/>
      <c r="AD37" s="212"/>
      <c r="AE37" s="212"/>
      <c r="AF37" s="138"/>
      <c r="AG37" s="138"/>
      <c r="AH37" s="138"/>
      <c r="AI37" s="138"/>
      <c r="AJ37" s="138"/>
      <c r="AK37" s="138"/>
      <c r="AU37" s="310"/>
      <c r="AW37" s="8"/>
    </row>
    <row r="38" spans="1:49" x14ac:dyDescent="0.15">
      <c r="A38" s="157"/>
      <c r="B38" s="157"/>
      <c r="C38" s="2" t="s">
        <v>21</v>
      </c>
      <c r="D38" s="8">
        <f>'STEP 2 - Cost Information'!D35</f>
        <v>6626455.233760477</v>
      </c>
      <c r="E38" s="45">
        <f t="shared" ref="E38:E44" si="21">F38*D$9</f>
        <v>22.088184112534925</v>
      </c>
      <c r="F38" s="208">
        <f t="shared" ref="F38:F44" si="22">D38/E$9</f>
        <v>1.6874665181514148E-2</v>
      </c>
      <c r="G38" s="7">
        <f>IF('STEP 3 - Edit Project Data'!$B$13="UNITED STATES",1,0.9)</f>
        <v>0.9</v>
      </c>
      <c r="H38" s="58">
        <v>6.6929133858267707E-3</v>
      </c>
      <c r="I38" s="58">
        <v>6.0236220472440934E-2</v>
      </c>
      <c r="J38" s="58">
        <v>0.18307086614173226</v>
      </c>
      <c r="K38" s="58">
        <v>0.9</v>
      </c>
      <c r="M38" s="38">
        <f t="shared" si="1"/>
        <v>-0.42857142857142855</v>
      </c>
      <c r="N38" s="58">
        <f t="shared" si="2"/>
        <v>5.3543307086614166E-2</v>
      </c>
      <c r="O38" s="58">
        <f t="shared" si="3"/>
        <v>-1.6254218222722154E-2</v>
      </c>
      <c r="P38" s="141">
        <f>(M$13-I$13)/(J$13-I$13)</f>
        <v>-0.5</v>
      </c>
      <c r="Q38" s="58">
        <f>J38-I38</f>
        <v>0.12283464566929134</v>
      </c>
      <c r="R38" s="58">
        <f t="shared" si="4"/>
        <v>-1.1811023622047348E-3</v>
      </c>
      <c r="S38" s="141">
        <f>IF((M$13-J$13)/(K$13-J$13)&gt;1,1,(M$13-J$13)/(K$13-J$13))</f>
        <v>-3</v>
      </c>
      <c r="T38" s="58">
        <f>K38-J38</f>
        <v>0.71692913385826773</v>
      </c>
      <c r="U38" s="58">
        <f>J38+(S38*T38)</f>
        <v>-1.9677165354330708</v>
      </c>
      <c r="V38" s="42">
        <f>AU38*V$15</f>
        <v>9.9970000000000007E-3</v>
      </c>
      <c r="W38" s="42">
        <v>1.9600000000000003E-2</v>
      </c>
      <c r="X38">
        <f t="shared" ref="X38:X45" si="23">W38*R$3</f>
        <v>38.024000000000008</v>
      </c>
      <c r="Y38">
        <f>X38*R$7</f>
        <v>37.742672749552369</v>
      </c>
      <c r="Z38" s="42">
        <f t="shared" ref="Z38:Z47" si="24">Y38/Y$46</f>
        <v>1.9476660303350719E-2</v>
      </c>
      <c r="AA38" s="42"/>
      <c r="AB38" s="138"/>
      <c r="AC38" s="212"/>
      <c r="AD38" s="212"/>
      <c r="AE38" s="138"/>
      <c r="AF38" s="138"/>
      <c r="AG38" s="138"/>
      <c r="AH38" s="138"/>
      <c r="AI38" s="138"/>
      <c r="AJ38" s="138"/>
      <c r="AK38" s="138"/>
      <c r="AL38" s="138"/>
      <c r="AU38" s="42">
        <v>0.01</v>
      </c>
      <c r="AV38" s="38">
        <f>AU38/AU$47</f>
        <v>5.2023158885397486E-3</v>
      </c>
      <c r="AW38" s="8">
        <v>752550.37544556498</v>
      </c>
    </row>
    <row r="39" spans="1:49" x14ac:dyDescent="0.15">
      <c r="A39" s="157"/>
      <c r="B39" s="157"/>
      <c r="C39" s="95" t="s">
        <v>538</v>
      </c>
      <c r="D39" s="8">
        <f>D38*0.7</f>
        <v>4638518.6636323333</v>
      </c>
      <c r="E39" s="45">
        <f t="shared" si="21"/>
        <v>15.461728878774444</v>
      </c>
      <c r="F39" s="208">
        <f t="shared" si="22"/>
        <v>1.1812265627059901E-2</v>
      </c>
      <c r="G39" s="7">
        <f>IF('STEP 3 - Edit Project Data'!$B$13="UNITED STATES",1,0.9)</f>
        <v>0.9</v>
      </c>
      <c r="H39" s="58">
        <v>6.6929133858267707E-3</v>
      </c>
      <c r="I39" s="58">
        <v>6.0236220472440934E-2</v>
      </c>
      <c r="J39" s="58">
        <v>0.18307086614173226</v>
      </c>
      <c r="K39" s="58">
        <v>0.9</v>
      </c>
      <c r="M39" s="38"/>
      <c r="N39" s="58"/>
      <c r="O39" s="58"/>
      <c r="P39" s="141"/>
      <c r="Q39" s="58"/>
      <c r="R39" s="58"/>
      <c r="S39" s="141"/>
      <c r="T39" s="58"/>
      <c r="U39" s="58"/>
      <c r="V39" s="42"/>
      <c r="W39" s="42"/>
      <c r="Z39" s="42"/>
      <c r="AA39" s="42"/>
      <c r="AB39" s="138"/>
      <c r="AC39" s="212"/>
      <c r="AD39" s="212"/>
      <c r="AE39" s="138"/>
      <c r="AF39" s="138"/>
      <c r="AG39" s="138"/>
      <c r="AH39" s="138"/>
      <c r="AI39" s="138"/>
      <c r="AJ39" s="138"/>
      <c r="AK39" s="138"/>
      <c r="AL39" s="138"/>
      <c r="AU39" s="42"/>
      <c r="AW39" s="8">
        <v>576084.3781047212</v>
      </c>
    </row>
    <row r="40" spans="1:49" x14ac:dyDescent="0.15">
      <c r="A40" s="157"/>
      <c r="B40" s="157"/>
      <c r="C40" s="95" t="s">
        <v>539</v>
      </c>
      <c r="D40" s="8">
        <f>D38*0.3</f>
        <v>1987936.5701281431</v>
      </c>
      <c r="E40" s="45">
        <f t="shared" si="21"/>
        <v>6.6264552337604776</v>
      </c>
      <c r="F40" s="208">
        <f t="shared" si="22"/>
        <v>5.0623995544542442E-3</v>
      </c>
      <c r="G40" s="7">
        <f>IF('STEP 3 - Edit Project Data'!$B$13="UNITED STATES",1,0.1)</f>
        <v>0.1</v>
      </c>
      <c r="H40" s="58">
        <v>0</v>
      </c>
      <c r="I40" s="58">
        <v>0</v>
      </c>
      <c r="J40" s="58">
        <v>0</v>
      </c>
      <c r="K40" s="58">
        <v>0.1</v>
      </c>
      <c r="M40" s="38"/>
      <c r="N40" s="58"/>
      <c r="O40" s="58"/>
      <c r="P40" s="141"/>
      <c r="Q40" s="58"/>
      <c r="R40" s="58"/>
      <c r="S40" s="141"/>
      <c r="T40" s="58"/>
      <c r="U40" s="58"/>
      <c r="V40" s="42"/>
      <c r="W40" s="42"/>
      <c r="Z40" s="42"/>
      <c r="AA40" s="42"/>
      <c r="AC40" s="212"/>
      <c r="AD40" s="212"/>
      <c r="AU40" s="42"/>
      <c r="AW40" s="8">
        <v>176465.99734084378</v>
      </c>
    </row>
    <row r="41" spans="1:49" x14ac:dyDescent="0.15">
      <c r="A41" s="157"/>
      <c r="B41" s="157"/>
      <c r="C41" s="2" t="s">
        <v>307</v>
      </c>
      <c r="D41" s="8">
        <f>'STEP 2 - Cost Information'!D41</f>
        <v>2376670</v>
      </c>
      <c r="E41" s="45">
        <f t="shared" si="21"/>
        <v>7.9222333333333328</v>
      </c>
      <c r="F41" s="208">
        <f t="shared" si="22"/>
        <v>6.0523325189944079E-3</v>
      </c>
      <c r="G41" s="7">
        <f>IF('STEP 3 - Edit Project Data'!$B$13="UNITED STATES",1,0)</f>
        <v>0</v>
      </c>
      <c r="H41" s="58">
        <v>0</v>
      </c>
      <c r="I41" s="58">
        <v>0</v>
      </c>
      <c r="J41" s="58">
        <v>0</v>
      </c>
      <c r="K41" s="58">
        <v>0</v>
      </c>
      <c r="M41" s="38">
        <f t="shared" si="1"/>
        <v>-0.42857142857142855</v>
      </c>
      <c r="N41" s="58">
        <f t="shared" si="2"/>
        <v>0</v>
      </c>
      <c r="O41" s="58">
        <f t="shared" si="3"/>
        <v>0</v>
      </c>
      <c r="P41" s="141">
        <f>(M$13-I$13)/(J$13-I$13)</f>
        <v>-0.5</v>
      </c>
      <c r="Q41" s="58">
        <f>J41-I41</f>
        <v>0</v>
      </c>
      <c r="R41" s="58">
        <f t="shared" si="4"/>
        <v>0</v>
      </c>
      <c r="S41" s="141">
        <f>IF((M$13-J$13)/(K$13-J$13)&gt;1,1,(M$13-J$13)/(K$13-J$13))</f>
        <v>-3</v>
      </c>
      <c r="T41" s="58">
        <f>K41-J41</f>
        <v>0</v>
      </c>
      <c r="U41" s="58">
        <f>J41+(S41*T41)</f>
        <v>0</v>
      </c>
      <c r="V41" s="42">
        <f t="shared" ref="V41:V45" si="25">AU41*V$15</f>
        <v>1.0413541666666665E-2</v>
      </c>
      <c r="W41" s="42">
        <v>6.4400000000000013E-3</v>
      </c>
      <c r="X41">
        <f t="shared" si="23"/>
        <v>12.493600000000002</v>
      </c>
      <c r="Y41">
        <f>X41</f>
        <v>12.493600000000002</v>
      </c>
      <c r="Z41" s="42">
        <f t="shared" si="24"/>
        <v>6.4471746550813242E-3</v>
      </c>
      <c r="AA41" s="42"/>
      <c r="AU41" s="42">
        <v>1.0416666666666664E-2</v>
      </c>
      <c r="AV41" s="38">
        <f t="shared" ref="AV41:AV45" si="26">AU41/AU$47</f>
        <v>5.4190790505622369E-3</v>
      </c>
      <c r="AW41" s="8">
        <v>783906.64108913008</v>
      </c>
    </row>
    <row r="42" spans="1:49" x14ac:dyDescent="0.15">
      <c r="A42" s="157"/>
      <c r="B42" s="157"/>
      <c r="C42" s="2" t="s">
        <v>308</v>
      </c>
      <c r="D42" s="8">
        <f>'STEP 2 - Cost Information'!D37+'STEP 2 - Cost Information'!D40</f>
        <v>716475.87847002619</v>
      </c>
      <c r="E42" s="45">
        <f t="shared" si="21"/>
        <v>2.3882529282334208</v>
      </c>
      <c r="F42" s="208">
        <f t="shared" si="22"/>
        <v>1.8245487418696012E-3</v>
      </c>
      <c r="G42" s="7">
        <f>IF('STEP 3 - Edit Project Data'!$B$13="UNITED STATES",1,1)</f>
        <v>1</v>
      </c>
      <c r="H42" s="58">
        <v>0</v>
      </c>
      <c r="I42" s="58">
        <v>0</v>
      </c>
      <c r="J42" s="58">
        <v>0</v>
      </c>
      <c r="K42" s="58">
        <v>1</v>
      </c>
      <c r="M42" s="38">
        <f t="shared" si="1"/>
        <v>-0.42857142857142855</v>
      </c>
      <c r="N42" s="58">
        <f t="shared" si="2"/>
        <v>0</v>
      </c>
      <c r="O42" s="58">
        <f t="shared" si="3"/>
        <v>0</v>
      </c>
      <c r="P42" s="141">
        <f>(M$13-I$13)/(J$13-I$13)</f>
        <v>-0.5</v>
      </c>
      <c r="Q42" s="58">
        <f>J42-I42</f>
        <v>0</v>
      </c>
      <c r="R42" s="58">
        <f t="shared" si="4"/>
        <v>0</v>
      </c>
      <c r="S42" s="141">
        <f>IF((M$13-J$13)/(K$13-J$13)&gt;1,1,(M$13-J$13)/(K$13-J$13))</f>
        <v>-3</v>
      </c>
      <c r="T42" s="58">
        <f>K42-J42</f>
        <v>1</v>
      </c>
      <c r="U42" s="58">
        <f>J42+(S42*T42)</f>
        <v>-3</v>
      </c>
      <c r="V42" s="42">
        <f t="shared" si="25"/>
        <v>5.6753802083333322E-3</v>
      </c>
      <c r="W42" s="42">
        <v>5.0400000000000011E-4</v>
      </c>
      <c r="X42">
        <f t="shared" si="23"/>
        <v>0.97776000000000018</v>
      </c>
      <c r="Y42">
        <f>X42</f>
        <v>0.97776000000000018</v>
      </c>
      <c r="Z42" s="42">
        <f t="shared" si="24"/>
        <v>5.0456149474549495E-4</v>
      </c>
      <c r="AA42" s="42"/>
      <c r="AU42" s="42">
        <v>5.6770833333333317E-3</v>
      </c>
      <c r="AV42" s="38">
        <f t="shared" si="26"/>
        <v>2.9533980825564186E-3</v>
      </c>
      <c r="AW42" s="8">
        <v>427229.11939357582</v>
      </c>
    </row>
    <row r="43" spans="1:49" x14ac:dyDescent="0.15">
      <c r="A43" s="157"/>
      <c r="B43" s="157"/>
      <c r="C43" s="2" t="s">
        <v>22</v>
      </c>
      <c r="D43" s="8">
        <f>(E$9-(D$29-D$28))*V43</f>
        <v>0</v>
      </c>
      <c r="E43" s="45">
        <f t="shared" si="21"/>
        <v>0</v>
      </c>
      <c r="F43" s="208">
        <f t="shared" si="22"/>
        <v>0</v>
      </c>
      <c r="G43" s="7">
        <f>IF('STEP 3 - Edit Project Data'!$B$13="UNITED STATES",1,1)</f>
        <v>1</v>
      </c>
      <c r="H43" s="58">
        <v>1</v>
      </c>
      <c r="I43" s="58">
        <v>1</v>
      </c>
      <c r="J43" s="58">
        <v>1</v>
      </c>
      <c r="K43" s="58">
        <v>1</v>
      </c>
      <c r="M43" s="38">
        <f t="shared" si="1"/>
        <v>-0.42857142857142855</v>
      </c>
      <c r="N43" s="58">
        <f t="shared" si="2"/>
        <v>0</v>
      </c>
      <c r="O43" s="58">
        <f t="shared" si="3"/>
        <v>1</v>
      </c>
      <c r="P43" s="141">
        <f>(M$13-I$13)/(J$13-I$13)</f>
        <v>-0.5</v>
      </c>
      <c r="Q43" s="58">
        <f>J43-I43</f>
        <v>0</v>
      </c>
      <c r="R43" s="58">
        <f t="shared" si="4"/>
        <v>1</v>
      </c>
      <c r="S43" s="141">
        <f>IF((M$13-J$13)/(K$13-J$13)&gt;1,1,(M$13-J$13)/(K$13-J$13))</f>
        <v>-3</v>
      </c>
      <c r="T43" s="58">
        <f>K43-J43</f>
        <v>0</v>
      </c>
      <c r="U43" s="58">
        <f>J43+(S43*T43)</f>
        <v>1</v>
      </c>
      <c r="V43" s="42">
        <f t="shared" si="25"/>
        <v>0</v>
      </c>
      <c r="W43" s="42">
        <v>0</v>
      </c>
      <c r="X43">
        <f t="shared" si="23"/>
        <v>0</v>
      </c>
      <c r="Y43">
        <f>X43</f>
        <v>0</v>
      </c>
      <c r="Z43" s="42">
        <f t="shared" si="24"/>
        <v>0</v>
      </c>
      <c r="AA43" s="42"/>
      <c r="AU43" s="42">
        <v>0</v>
      </c>
      <c r="AV43" s="38">
        <f t="shared" si="26"/>
        <v>0</v>
      </c>
      <c r="AW43" s="8">
        <v>0</v>
      </c>
    </row>
    <row r="44" spans="1:49" x14ac:dyDescent="0.15">
      <c r="A44" s="157"/>
      <c r="B44" s="157"/>
      <c r="C44" s="2" t="s">
        <v>143</v>
      </c>
      <c r="D44" s="8">
        <f>'STEP 2 - Cost Information'!D38</f>
        <v>437229.63951422449</v>
      </c>
      <c r="E44" s="45">
        <f t="shared" si="21"/>
        <v>1.4574321317140817</v>
      </c>
      <c r="F44" s="208">
        <f t="shared" si="22"/>
        <v>1.113431467347231E-3</v>
      </c>
      <c r="G44" s="7">
        <f>IF('STEP 3 - Edit Project Data'!$B$13="UNITED STATES",1,1)</f>
        <v>1</v>
      </c>
      <c r="H44" s="58">
        <v>1</v>
      </c>
      <c r="I44" s="58">
        <v>1</v>
      </c>
      <c r="J44" s="58">
        <v>1</v>
      </c>
      <c r="K44" s="58">
        <v>1</v>
      </c>
      <c r="M44" s="38">
        <f t="shared" si="1"/>
        <v>-0.42857142857142855</v>
      </c>
      <c r="N44" s="58">
        <f t="shared" si="2"/>
        <v>0</v>
      </c>
      <c r="O44" s="58">
        <f t="shared" si="3"/>
        <v>1</v>
      </c>
      <c r="P44" s="141">
        <f>(M$13-I$13)/(J$13-I$13)</f>
        <v>-0.5</v>
      </c>
      <c r="Q44" s="58">
        <f>J44-I44</f>
        <v>0</v>
      </c>
      <c r="R44" s="58">
        <f t="shared" si="4"/>
        <v>1</v>
      </c>
      <c r="S44" s="141">
        <f>IF((M$13-J$13)/(K$13-J$13)&gt;1,1,(M$13-J$13)/(K$13-J$13))</f>
        <v>-3</v>
      </c>
      <c r="T44" s="58">
        <f>K44-J44</f>
        <v>0</v>
      </c>
      <c r="U44" s="58">
        <f>J44+(S44*T44)</f>
        <v>1</v>
      </c>
      <c r="V44" s="42">
        <f t="shared" si="25"/>
        <v>2.6554531250000003E-3</v>
      </c>
      <c r="W44" s="42">
        <v>1.428E-3</v>
      </c>
      <c r="X44">
        <f t="shared" si="23"/>
        <v>2.7703199999999999</v>
      </c>
      <c r="Y44">
        <f>X44</f>
        <v>2.7703199999999999</v>
      </c>
      <c r="Z44" s="42">
        <f t="shared" si="24"/>
        <v>1.4295909017789021E-3</v>
      </c>
      <c r="AA44" s="42"/>
      <c r="AU44" s="42">
        <v>2.6562500000000002E-3</v>
      </c>
      <c r="AV44" s="38">
        <f t="shared" si="26"/>
        <v>1.3818651578933708E-3</v>
      </c>
      <c r="AW44" s="8">
        <v>199896.1934777282</v>
      </c>
    </row>
    <row r="45" spans="1:49" x14ac:dyDescent="0.15">
      <c r="A45" s="157"/>
      <c r="B45" s="157"/>
      <c r="C45" s="2" t="s">
        <v>13</v>
      </c>
      <c r="D45" s="8">
        <f>SUM(D39:D44)</f>
        <v>10156830.751744727</v>
      </c>
      <c r="E45" s="45">
        <f>SUM(E39:E44)</f>
        <v>33.856102505815755</v>
      </c>
      <c r="F45" s="210">
        <f>SUM(F39:F44)</f>
        <v>2.5864977909725386E-2</v>
      </c>
      <c r="G45" s="7"/>
      <c r="H45" s="7"/>
      <c r="I45" s="7"/>
      <c r="J45" s="7"/>
      <c r="K45" s="7"/>
      <c r="M45" s="38"/>
      <c r="N45" s="58"/>
      <c r="O45" s="58"/>
      <c r="Q45" s="58"/>
      <c r="R45" s="58"/>
      <c r="S45" s="141"/>
      <c r="T45" s="58"/>
      <c r="U45" s="58"/>
      <c r="V45" s="42">
        <f t="shared" si="25"/>
        <v>2.8741375E-2</v>
      </c>
      <c r="W45" s="42">
        <v>2.7972000000000004E-2</v>
      </c>
      <c r="X45">
        <f t="shared" si="23"/>
        <v>54.26568000000001</v>
      </c>
      <c r="Y45">
        <f>SUM(Y38:Y44)</f>
        <v>53.984352749552372</v>
      </c>
      <c r="Z45" s="42">
        <f t="shared" si="24"/>
        <v>2.785798735495644E-2</v>
      </c>
      <c r="AA45" s="42"/>
      <c r="AU45" s="42">
        <f>SUM(AU38:AU44)</f>
        <v>2.8749999999999998E-2</v>
      </c>
      <c r="AV45" s="38">
        <f t="shared" si="26"/>
        <v>1.4956658179551776E-2</v>
      </c>
      <c r="AW45" s="8">
        <v>2163582.3294059993</v>
      </c>
    </row>
    <row r="46" spans="1:49" ht="14" x14ac:dyDescent="0.15">
      <c r="A46" s="157"/>
      <c r="B46" s="157"/>
      <c r="C46" s="4" t="s">
        <v>574</v>
      </c>
      <c r="D46" s="8">
        <f>D45+D36+D30</f>
        <v>387183997.80574942</v>
      </c>
      <c r="E46" s="45">
        <f>E45+E36+E30</f>
        <v>1290.6133260191643</v>
      </c>
      <c r="F46" s="211">
        <f>F45+F36+F30+F22</f>
        <v>1.0517084376541654</v>
      </c>
      <c r="G46" s="7"/>
      <c r="H46" s="58"/>
      <c r="I46" s="58"/>
      <c r="J46" s="58"/>
      <c r="K46" s="58"/>
      <c r="M46" s="38"/>
      <c r="N46" s="58"/>
      <c r="O46" s="58"/>
      <c r="P46" s="141"/>
      <c r="Q46" s="58"/>
      <c r="R46" s="58"/>
      <c r="S46" s="141"/>
      <c r="T46" s="58"/>
      <c r="U46" s="58"/>
      <c r="V46" s="211"/>
      <c r="W46" s="42"/>
      <c r="X46" s="8">
        <f>X45+X36+X30</f>
        <v>1939.7284</v>
      </c>
      <c r="Y46" s="8">
        <f>Y45+Y36+Y30</f>
        <v>1937.8410960455683</v>
      </c>
      <c r="Z46" s="42"/>
      <c r="AA46" s="42"/>
      <c r="AW46" s="8">
        <v>80632363.072500259</v>
      </c>
    </row>
    <row r="47" spans="1:49" ht="14" x14ac:dyDescent="0.15">
      <c r="A47" s="157"/>
      <c r="B47" s="157"/>
      <c r="C47" s="223" t="s">
        <v>575</v>
      </c>
      <c r="D47" s="8">
        <f>(D32+D33+D34+D22)*D101</f>
        <v>9535427.1802622247</v>
      </c>
      <c r="E47" s="45">
        <f>D47/(E5*1000)</f>
        <v>31.784757267540748</v>
      </c>
      <c r="F47" s="211"/>
      <c r="G47" s="7">
        <v>1</v>
      </c>
      <c r="H47" s="58">
        <v>1</v>
      </c>
      <c r="I47" s="58">
        <v>1</v>
      </c>
      <c r="J47" s="58">
        <v>1</v>
      </c>
      <c r="K47" s="58">
        <v>1</v>
      </c>
      <c r="M47" s="38">
        <f>(M$13-H$13)/(I$13-H$13)</f>
        <v>-0.42857142857142855</v>
      </c>
      <c r="N47" s="58">
        <f>+I47-H47</f>
        <v>0</v>
      </c>
      <c r="O47" s="58">
        <f>H47+(N47*M47)</f>
        <v>1</v>
      </c>
      <c r="P47" s="141">
        <f>(M$13-I$13)/(J$13-I$13)</f>
        <v>-0.5</v>
      </c>
      <c r="Q47" s="58">
        <f>J47-I47</f>
        <v>0</v>
      </c>
      <c r="R47" s="58">
        <f>I47+(P47*Q47)</f>
        <v>1</v>
      </c>
      <c r="S47" s="141">
        <f>IF((M$13-J$13)/(K$13-J$13)&gt;1,1,(M$13-J$13)/(K$13-J$13))</f>
        <v>-3</v>
      </c>
      <c r="T47" s="58">
        <f>K47-J47</f>
        <v>0</v>
      </c>
      <c r="U47" s="58">
        <f>J47+(S47*T47)</f>
        <v>1</v>
      </c>
      <c r="V47" s="42">
        <v>2.6562500000000002E-3</v>
      </c>
      <c r="W47" s="42">
        <v>1.428E-3</v>
      </c>
      <c r="X47">
        <f>W47*R$3</f>
        <v>2.7703199999999999</v>
      </c>
      <c r="Y47">
        <f>X47</f>
        <v>2.7703199999999999</v>
      </c>
      <c r="Z47" s="42">
        <f t="shared" si="24"/>
        <v>1.4295909017789021E-3</v>
      </c>
      <c r="AA47" s="42"/>
      <c r="AU47" s="14">
        <f>SUM(AU18:AU45)</f>
        <v>1.9222208366910465</v>
      </c>
      <c r="AV47" s="14">
        <f>SUM(AV18:AV45)</f>
        <v>1</v>
      </c>
    </row>
    <row r="48" spans="1:49" x14ac:dyDescent="0.15">
      <c r="A48" s="157"/>
      <c r="B48" s="157"/>
      <c r="C48" s="49" t="s">
        <v>576</v>
      </c>
      <c r="D48" s="8">
        <f>+D47+D46</f>
        <v>396719424.98601162</v>
      </c>
      <c r="E48" s="45">
        <f>E47+E46</f>
        <v>1322.3980832867051</v>
      </c>
      <c r="F48" s="211"/>
      <c r="G48" s="7"/>
      <c r="H48" s="11"/>
      <c r="I48" s="11"/>
      <c r="J48" s="11"/>
      <c r="K48" s="11"/>
      <c r="M48" s="38"/>
      <c r="N48" s="58"/>
      <c r="O48" s="58"/>
      <c r="Q48" s="58"/>
      <c r="R48" s="58"/>
      <c r="S48" s="141"/>
      <c r="T48" s="58"/>
      <c r="U48" s="58"/>
      <c r="V48" s="42"/>
      <c r="W48" s="42"/>
      <c r="Y48" s="188"/>
      <c r="Z48" s="42"/>
      <c r="AA48" s="42"/>
    </row>
    <row r="49" spans="1:46" x14ac:dyDescent="0.15">
      <c r="A49" s="157"/>
      <c r="B49" s="157"/>
      <c r="D49" s="8"/>
      <c r="E49" s="45"/>
      <c r="F49" s="211"/>
      <c r="G49" s="7"/>
      <c r="H49" s="11" t="s">
        <v>346</v>
      </c>
      <c r="I49" s="11" t="s">
        <v>343</v>
      </c>
      <c r="J49" s="11" t="s">
        <v>344</v>
      </c>
      <c r="K49" s="11" t="s">
        <v>345</v>
      </c>
      <c r="M49" s="38"/>
      <c r="N49" s="58"/>
      <c r="O49" s="58"/>
      <c r="Q49" s="58"/>
      <c r="R49" s="58"/>
      <c r="S49" s="141"/>
      <c r="T49" s="58"/>
      <c r="U49" s="58"/>
      <c r="V49" s="42"/>
      <c r="W49" s="42"/>
      <c r="Y49" s="188"/>
      <c r="Z49" s="42"/>
      <c r="AA49" s="42"/>
    </row>
    <row r="50" spans="1:46" ht="14" x14ac:dyDescent="0.15">
      <c r="A50" s="157"/>
      <c r="B50" s="157"/>
      <c r="C50" s="4"/>
      <c r="D50" s="8"/>
      <c r="E50" s="45"/>
      <c r="F50" s="58"/>
      <c r="G50" s="7"/>
      <c r="H50" s="101">
        <v>30000</v>
      </c>
      <c r="I50" s="101">
        <v>100000</v>
      </c>
      <c r="J50" s="101">
        <v>300000</v>
      </c>
      <c r="K50" s="144">
        <v>400000</v>
      </c>
      <c r="M50" s="38"/>
      <c r="N50" s="58"/>
      <c r="O50" s="58"/>
      <c r="Q50" s="58"/>
      <c r="R50" s="58"/>
      <c r="S50" s="141"/>
      <c r="T50" s="58"/>
      <c r="U50" s="58"/>
      <c r="V50" s="42">
        <f>V46+AM34</f>
        <v>3.7999999999999999E-2</v>
      </c>
      <c r="W50" s="42">
        <f>W46-W29</f>
        <v>-0.11188800000000003</v>
      </c>
      <c r="AB50" t="s">
        <v>449</v>
      </c>
      <c r="AC50" s="182">
        <v>30</v>
      </c>
      <c r="AD50" s="182">
        <v>60</v>
      </c>
      <c r="AE50" s="182">
        <v>75</v>
      </c>
      <c r="AF50" s="182">
        <v>100</v>
      </c>
      <c r="AG50" s="182">
        <v>150</v>
      </c>
      <c r="AH50" s="182">
        <v>200</v>
      </c>
      <c r="AI50" s="183">
        <v>250</v>
      </c>
      <c r="AK50" s="182">
        <v>100</v>
      </c>
    </row>
    <row r="51" spans="1:46" ht="14" x14ac:dyDescent="0.15">
      <c r="A51" s="157"/>
      <c r="B51" s="157"/>
      <c r="C51" s="4"/>
      <c r="D51" s="8"/>
      <c r="F51" s="8"/>
      <c r="G51" s="7"/>
      <c r="H51" s="11" t="s">
        <v>342</v>
      </c>
      <c r="I51" s="11" t="s">
        <v>342</v>
      </c>
      <c r="J51" s="11" t="s">
        <v>342</v>
      </c>
      <c r="K51" s="11" t="s">
        <v>342</v>
      </c>
      <c r="M51" s="38"/>
      <c r="N51" s="58"/>
      <c r="O51" s="58"/>
      <c r="Q51" s="58"/>
      <c r="R51" s="58"/>
      <c r="S51" s="141"/>
      <c r="T51" s="58"/>
      <c r="U51" s="58"/>
      <c r="AB51" t="s">
        <v>413</v>
      </c>
      <c r="AC51" s="204">
        <v>2</v>
      </c>
      <c r="AD51" s="204">
        <v>2.4</v>
      </c>
      <c r="AE51" s="204">
        <v>3</v>
      </c>
      <c r="AF51" s="200">
        <v>4</v>
      </c>
      <c r="AG51" s="200">
        <v>6</v>
      </c>
      <c r="AH51" s="200">
        <v>8</v>
      </c>
      <c r="AI51" s="200">
        <v>9</v>
      </c>
      <c r="AK51" s="183">
        <v>7</v>
      </c>
    </row>
    <row r="52" spans="1:46" ht="16" x14ac:dyDescent="0.2">
      <c r="A52" s="157"/>
      <c r="B52" s="157"/>
      <c r="C52" s="46" t="s">
        <v>437</v>
      </c>
      <c r="D52" s="11" t="s">
        <v>133</v>
      </c>
      <c r="E52" s="11" t="s">
        <v>309</v>
      </c>
      <c r="F52" s="11" t="s">
        <v>223</v>
      </c>
      <c r="G52" s="30" t="s">
        <v>18</v>
      </c>
      <c r="H52" s="30" t="s">
        <v>18</v>
      </c>
      <c r="I52" s="30" t="s">
        <v>18</v>
      </c>
      <c r="J52" s="30" t="s">
        <v>18</v>
      </c>
      <c r="K52" s="30" t="s">
        <v>18</v>
      </c>
      <c r="M52" s="38"/>
      <c r="N52" s="58"/>
      <c r="O52" s="58"/>
      <c r="Q52" s="58"/>
      <c r="R52" s="58"/>
      <c r="S52" s="141"/>
      <c r="T52" s="58"/>
      <c r="U52" s="58"/>
      <c r="AB52" t="s">
        <v>411</v>
      </c>
      <c r="AC52" s="204">
        <v>0.3</v>
      </c>
      <c r="AD52" s="204">
        <v>0.6</v>
      </c>
      <c r="AE52" s="204">
        <v>0.75</v>
      </c>
      <c r="AF52" s="200">
        <v>1</v>
      </c>
      <c r="AG52" s="200">
        <f>AF52</f>
        <v>1</v>
      </c>
      <c r="AH52" s="200">
        <f>AH50/$AG50*$AG52</f>
        <v>1.3333333333333333</v>
      </c>
      <c r="AI52" s="200">
        <f>AH52</f>
        <v>1.3333333333333333</v>
      </c>
      <c r="AK52" s="183">
        <v>1</v>
      </c>
    </row>
    <row r="53" spans="1:46" ht="14" x14ac:dyDescent="0.15">
      <c r="A53" s="157"/>
      <c r="B53" s="157"/>
      <c r="C53" s="187"/>
      <c r="D53" s="11"/>
      <c r="E53" s="184" t="s">
        <v>310</v>
      </c>
      <c r="F53" s="11" t="s">
        <v>224</v>
      </c>
      <c r="G53" s="30"/>
      <c r="H53" s="30"/>
      <c r="I53" s="30"/>
      <c r="J53" s="30"/>
      <c r="K53" s="30"/>
      <c r="M53" s="38"/>
      <c r="N53" s="58"/>
      <c r="O53" s="58"/>
      <c r="Q53" s="58"/>
      <c r="R53" s="58"/>
      <c r="S53" s="141"/>
      <c r="T53" s="58"/>
      <c r="U53" s="58"/>
      <c r="AB53" t="s">
        <v>412</v>
      </c>
      <c r="AC53" s="204">
        <v>0.5</v>
      </c>
      <c r="AD53" s="204">
        <v>1</v>
      </c>
      <c r="AE53" s="204">
        <v>1</v>
      </c>
      <c r="AF53" s="200">
        <v>1</v>
      </c>
      <c r="AG53" s="200">
        <v>1</v>
      </c>
      <c r="AH53" s="200">
        <v>1</v>
      </c>
      <c r="AI53" s="200">
        <v>1</v>
      </c>
      <c r="AK53" s="183">
        <v>1</v>
      </c>
    </row>
    <row r="54" spans="1:46" x14ac:dyDescent="0.15">
      <c r="A54" s="157"/>
      <c r="B54" s="157"/>
      <c r="C54" s="186" t="s">
        <v>167</v>
      </c>
      <c r="M54" s="38"/>
      <c r="N54" s="58"/>
      <c r="O54" s="58"/>
      <c r="Q54" s="58"/>
      <c r="R54" s="58"/>
      <c r="S54" s="141"/>
      <c r="T54" s="58"/>
      <c r="U54" s="58"/>
      <c r="AB54" t="s">
        <v>16</v>
      </c>
      <c r="AC54" s="200">
        <f t="shared" ref="AC54:AI54" si="27">SUM(AC51:AC53)</f>
        <v>2.8</v>
      </c>
      <c r="AD54" s="200">
        <f t="shared" si="27"/>
        <v>4</v>
      </c>
      <c r="AE54" s="200">
        <f t="shared" si="27"/>
        <v>4.75</v>
      </c>
      <c r="AF54" s="200">
        <f t="shared" si="27"/>
        <v>6</v>
      </c>
      <c r="AG54" s="200">
        <f t="shared" si="27"/>
        <v>8</v>
      </c>
      <c r="AH54" s="200">
        <f t="shared" si="27"/>
        <v>10.333333333333334</v>
      </c>
      <c r="AI54" s="200">
        <f t="shared" si="27"/>
        <v>11.333333333333334</v>
      </c>
    </row>
    <row r="55" spans="1:46" x14ac:dyDescent="0.15">
      <c r="A55" s="157"/>
      <c r="B55" s="157"/>
      <c r="C55" s="2" t="s">
        <v>168</v>
      </c>
      <c r="D55" s="8">
        <f>K4*K115</f>
        <v>767078.24868139951</v>
      </c>
      <c r="E55" s="80">
        <f>D55/(E$5*1000)</f>
        <v>2.5569274956046648</v>
      </c>
      <c r="F55" s="61">
        <f>E55/F$80</f>
        <v>5.8111988536469657E-2</v>
      </c>
      <c r="G55" s="7">
        <v>1</v>
      </c>
      <c r="H55" s="58">
        <v>1</v>
      </c>
      <c r="I55" s="58">
        <v>1</v>
      </c>
      <c r="J55" s="58">
        <v>1</v>
      </c>
      <c r="K55" s="58">
        <v>1</v>
      </c>
      <c r="M55" s="38">
        <f t="shared" si="1"/>
        <v>-0.42857142857142855</v>
      </c>
      <c r="N55" s="58">
        <f t="shared" si="2"/>
        <v>0</v>
      </c>
      <c r="O55" s="58">
        <f t="shared" si="3"/>
        <v>1</v>
      </c>
      <c r="P55" s="141">
        <f>(M$13-I$13)/(J$13-I$13)</f>
        <v>-0.5</v>
      </c>
      <c r="Q55" s="58">
        <f>J55-I55</f>
        <v>0</v>
      </c>
      <c r="R55" s="58">
        <f t="shared" si="4"/>
        <v>1</v>
      </c>
      <c r="S55" s="141">
        <f>IF((M$13-J$13)/(K$13-J$13)&gt;1,1,(M$13-J$13)/(K$13-J$13))</f>
        <v>-3</v>
      </c>
      <c r="T55" s="58">
        <f>K55-J55</f>
        <v>0</v>
      </c>
      <c r="U55" s="58">
        <f>J55+(S55*T55)</f>
        <v>1</v>
      </c>
      <c r="AC55" s="10"/>
      <c r="AD55" s="10"/>
      <c r="AE55" s="10"/>
      <c r="AF55" s="10"/>
      <c r="AG55" s="10"/>
      <c r="AH55" s="10"/>
      <c r="AI55" s="10"/>
      <c r="AJ55">
        <f>IF(E5&lt;30,30,E5)</f>
        <v>300</v>
      </c>
      <c r="AK55" t="s">
        <v>215</v>
      </c>
    </row>
    <row r="56" spans="1:46" x14ac:dyDescent="0.15">
      <c r="A56" s="157"/>
      <c r="B56" s="157"/>
      <c r="C56" s="2" t="s">
        <v>409</v>
      </c>
      <c r="D56" s="8">
        <f>K5*K116</f>
        <v>72730.38209719937</v>
      </c>
      <c r="E56" s="80">
        <f>D56/(E$5*1000)</f>
        <v>0.24243460699066458</v>
      </c>
      <c r="F56" s="61">
        <f>E56/F$80</f>
        <v>5.5098774316060129E-3</v>
      </c>
      <c r="G56" s="7">
        <v>1</v>
      </c>
      <c r="H56" s="58">
        <v>1</v>
      </c>
      <c r="I56" s="58">
        <v>1</v>
      </c>
      <c r="J56" s="58">
        <v>1</v>
      </c>
      <c r="K56" s="58">
        <v>1</v>
      </c>
      <c r="M56" s="38">
        <f t="shared" si="1"/>
        <v>-0.42857142857142855</v>
      </c>
      <c r="N56" s="58">
        <f t="shared" si="2"/>
        <v>0</v>
      </c>
      <c r="O56" s="58">
        <f t="shared" si="3"/>
        <v>1</v>
      </c>
      <c r="P56" s="141">
        <f>(M$13-I$13)/(J$13-I$13)</f>
        <v>-0.5</v>
      </c>
      <c r="Q56" s="58">
        <f>J56-I56</f>
        <v>0</v>
      </c>
      <c r="R56" s="58">
        <f t="shared" si="4"/>
        <v>1</v>
      </c>
      <c r="S56" s="141">
        <f>IF((M$13-J$13)/(K$13-J$13)&gt;1,1,(M$13-J$13)/(K$13-J$13))</f>
        <v>-3</v>
      </c>
      <c r="T56" s="58">
        <f>K56-J56</f>
        <v>0</v>
      </c>
      <c r="U56" s="58">
        <f>J56+(S56*T56)</f>
        <v>1</v>
      </c>
      <c r="AB56" t="s">
        <v>450</v>
      </c>
      <c r="AC56" s="16">
        <f>AC51/AC50</f>
        <v>6.6666666666666666E-2</v>
      </c>
      <c r="AD56" s="16">
        <f t="shared" ref="AD56:AI56" si="28">AD51/AD50</f>
        <v>0.04</v>
      </c>
      <c r="AE56" s="16">
        <f t="shared" si="28"/>
        <v>0.04</v>
      </c>
      <c r="AF56" s="16">
        <f t="shared" si="28"/>
        <v>0.04</v>
      </c>
      <c r="AG56" s="16">
        <f t="shared" si="28"/>
        <v>0.04</v>
      </c>
      <c r="AH56" s="16">
        <f t="shared" si="28"/>
        <v>0.04</v>
      </c>
      <c r="AI56" s="16">
        <f t="shared" si="28"/>
        <v>3.5999999999999997E-2</v>
      </c>
      <c r="AJ56" s="220">
        <f>HLOOKUP(AJ$55,AC$50:AI$58,7)*(AJ60^(AJ$55-AL$36))</f>
        <v>3.5999999999999997E-2</v>
      </c>
      <c r="AK56" s="16">
        <f>AK51/AK$50</f>
        <v>7.0000000000000007E-2</v>
      </c>
      <c r="AM56" t="s">
        <v>476</v>
      </c>
      <c r="AP56" s="38">
        <f>IF('STEP 3 - Edit Project Data'!B18&lt;1500,AK56,AJ56)</f>
        <v>3.5999999999999997E-2</v>
      </c>
      <c r="AR56" t="s">
        <v>487</v>
      </c>
      <c r="AT56" s="20">
        <f>IF('STEP 3 - Edit Project Data'!B16&lt;=20,DefaultData!AO8,IF('STEP 3 - Edit Project Data'!B16&gt;=100,DefaultData!AO9,AO8*(AT57^('STEP 3 - Edit Project Data'!B16-20))))</f>
        <v>19.975745799998688</v>
      </c>
    </row>
    <row r="57" spans="1:46" x14ac:dyDescent="0.15">
      <c r="A57" s="157"/>
      <c r="B57" s="157"/>
      <c r="C57" s="2" t="s">
        <v>410</v>
      </c>
      <c r="D57" s="8">
        <f>K6*K117</f>
        <v>136369.46643224882</v>
      </c>
      <c r="E57" s="80">
        <f>D57/(E$5*1000)</f>
        <v>0.45456488810749607</v>
      </c>
      <c r="F57" s="61">
        <f>E57/F$80</f>
        <v>1.0331020184261274E-2</v>
      </c>
      <c r="G57" s="7">
        <v>1</v>
      </c>
      <c r="H57" s="58">
        <v>1</v>
      </c>
      <c r="I57" s="58">
        <v>1</v>
      </c>
      <c r="J57" s="58">
        <v>1</v>
      </c>
      <c r="K57" s="58">
        <v>1</v>
      </c>
      <c r="M57" s="38">
        <f t="shared" si="1"/>
        <v>-0.42857142857142855</v>
      </c>
      <c r="N57" s="58">
        <f t="shared" si="2"/>
        <v>0</v>
      </c>
      <c r="O57" s="58">
        <f t="shared" si="3"/>
        <v>1</v>
      </c>
      <c r="P57" s="141">
        <f>(M$13-I$13)/(J$13-I$13)</f>
        <v>-0.5</v>
      </c>
      <c r="Q57" s="58">
        <f>J57-I57</f>
        <v>0</v>
      </c>
      <c r="R57" s="58">
        <f t="shared" si="4"/>
        <v>1</v>
      </c>
      <c r="S57" s="141">
        <f>IF((M$13-J$13)/(K$13-J$13)&gt;1,1,(M$13-J$13)/(K$13-J$13))</f>
        <v>-3</v>
      </c>
      <c r="T57" s="58">
        <f>K57-J57</f>
        <v>0</v>
      </c>
      <c r="U57" s="58">
        <f>J57+(S57*T57)</f>
        <v>1</v>
      </c>
      <c r="AB57" t="s">
        <v>478</v>
      </c>
      <c r="AC57" s="16">
        <f>AC52/AC50</f>
        <v>0.01</v>
      </c>
      <c r="AD57" s="16">
        <f t="shared" ref="AD57:AI57" si="29">AD52/AD50</f>
        <v>0.01</v>
      </c>
      <c r="AE57" s="16">
        <f t="shared" si="29"/>
        <v>0.01</v>
      </c>
      <c r="AF57" s="16">
        <f t="shared" si="29"/>
        <v>0.01</v>
      </c>
      <c r="AG57" s="16">
        <f t="shared" si="29"/>
        <v>6.6666666666666671E-3</v>
      </c>
      <c r="AH57" s="16">
        <f t="shared" si="29"/>
        <v>6.6666666666666662E-3</v>
      </c>
      <c r="AI57" s="16">
        <f t="shared" si="29"/>
        <v>5.3333333333333332E-3</v>
      </c>
      <c r="AJ57" s="220">
        <f>HLOOKUP(AJ$55,AC$50:AI$58,8)*(AJ61^(AJ$55-AL$36))</f>
        <v>5.3333333333333332E-3</v>
      </c>
      <c r="AK57" s="16">
        <f>AK52/AK$50</f>
        <v>0.01</v>
      </c>
      <c r="AM57" t="s">
        <v>479</v>
      </c>
      <c r="AP57" s="38">
        <f>IF('STEP 3 - Edit Project Data'!B18&lt;1500,AK57,AJ57)</f>
        <v>5.3333333333333332E-3</v>
      </c>
      <c r="AR57" t="s">
        <v>491</v>
      </c>
      <c r="AT57" s="42">
        <f>(AO9/AO8)^((1/(100-20)))</f>
        <v>0.99721156544675527</v>
      </c>
    </row>
    <row r="58" spans="1:46" x14ac:dyDescent="0.15">
      <c r="A58" s="157"/>
      <c r="B58" s="157"/>
      <c r="C58" s="2" t="s">
        <v>13</v>
      </c>
      <c r="D58" s="8">
        <f>SUM(D55:D57)</f>
        <v>976178.09721084766</v>
      </c>
      <c r="E58" s="80">
        <f>SUM(E55:E57)</f>
        <v>3.2539269907028254</v>
      </c>
      <c r="F58" s="61">
        <f>SUM(F55:F57)</f>
        <v>7.3952886152336944E-2</v>
      </c>
      <c r="G58" s="7"/>
      <c r="M58" s="38">
        <f>(M$13-H$13)/(I$13-H$13)</f>
        <v>-0.42857142857142855</v>
      </c>
      <c r="N58" s="58">
        <f>+I58-H58</f>
        <v>0</v>
      </c>
      <c r="O58" s="58">
        <f>H58+(N58*M58)</f>
        <v>0</v>
      </c>
      <c r="P58" s="141">
        <f>(M$13-I$13)/(J$13-I$13)</f>
        <v>-0.5</v>
      </c>
      <c r="Q58" s="58">
        <f>J58-I58</f>
        <v>0</v>
      </c>
      <c r="R58" s="58">
        <f>I58+(P58*Q58)</f>
        <v>0</v>
      </c>
      <c r="S58" s="141">
        <f>IF((M$13-J$13)/(K$13-J$13)&gt;1,1,(M$13-J$13)/(K$13-J$13))</f>
        <v>-3</v>
      </c>
      <c r="T58" s="58">
        <f>K58-J58</f>
        <v>0</v>
      </c>
      <c r="U58" s="58">
        <f>J58+(S58*T58)</f>
        <v>0</v>
      </c>
      <c r="AB58" t="s">
        <v>488</v>
      </c>
      <c r="AC58" s="16">
        <f>AC53/AC50</f>
        <v>1.6666666666666666E-2</v>
      </c>
      <c r="AD58" s="16">
        <f t="shared" ref="AD58:AI58" si="30">AD53/AD50</f>
        <v>1.6666666666666666E-2</v>
      </c>
      <c r="AE58" s="16">
        <f t="shared" si="30"/>
        <v>1.3333333333333334E-2</v>
      </c>
      <c r="AF58" s="16">
        <f t="shared" si="30"/>
        <v>0.01</v>
      </c>
      <c r="AG58" s="16">
        <f t="shared" si="30"/>
        <v>6.6666666666666671E-3</v>
      </c>
      <c r="AH58" s="16">
        <f t="shared" si="30"/>
        <v>5.0000000000000001E-3</v>
      </c>
      <c r="AI58" s="16">
        <f t="shared" si="30"/>
        <v>4.0000000000000001E-3</v>
      </c>
      <c r="AJ58" s="220">
        <f>HLOOKUP(AJ$55,AC$50:AI$58,9)*(AJ62^(AJ$55-AL$36))</f>
        <v>4.0000000000000001E-3</v>
      </c>
      <c r="AK58" s="16">
        <f>AK53/AK$50</f>
        <v>0.01</v>
      </c>
      <c r="AM58" t="s">
        <v>489</v>
      </c>
      <c r="AP58" s="38">
        <f>IF('STEP 3 - Edit Project Data'!B18&lt;1500,AK58,AJ58)</f>
        <v>4.0000000000000001E-3</v>
      </c>
    </row>
    <row r="59" spans="1:46" x14ac:dyDescent="0.15">
      <c r="A59" s="157"/>
      <c r="B59" s="157"/>
      <c r="C59" s="185" t="s">
        <v>452</v>
      </c>
      <c r="D59" s="8">
        <v>0</v>
      </c>
      <c r="E59" s="80">
        <f>D59/(E$5*1000)</f>
        <v>0</v>
      </c>
      <c r="F59" s="61">
        <f>E59/F$80</f>
        <v>0</v>
      </c>
      <c r="G59" s="7">
        <f>IF('STEP 3 - Edit Project Data'!$B$13="UNITED STATES",1,0)</f>
        <v>0</v>
      </c>
      <c r="H59" s="58">
        <v>0</v>
      </c>
      <c r="I59" s="58">
        <v>0</v>
      </c>
      <c r="J59" s="58">
        <v>0</v>
      </c>
      <c r="K59" s="58">
        <v>0</v>
      </c>
      <c r="M59" s="38"/>
      <c r="N59" s="58"/>
      <c r="O59" s="58"/>
      <c r="Q59" s="58"/>
      <c r="R59" s="58"/>
      <c r="S59" s="141"/>
      <c r="T59" s="58"/>
      <c r="U59" s="58"/>
      <c r="AT59">
        <f>AO8</f>
        <v>24.975745799998688</v>
      </c>
    </row>
    <row r="60" spans="1:46" x14ac:dyDescent="0.15">
      <c r="A60" s="157"/>
      <c r="B60" s="157"/>
      <c r="C60" s="185" t="s">
        <v>16</v>
      </c>
      <c r="D60" s="8">
        <f>D59+D58</f>
        <v>976178.09721084766</v>
      </c>
      <c r="E60" s="80">
        <f>E59+E58</f>
        <v>3.2539269907028254</v>
      </c>
      <c r="F60" s="61">
        <f>F59+F58</f>
        <v>7.3952886152336944E-2</v>
      </c>
      <c r="G60" s="7"/>
      <c r="M60" s="38"/>
      <c r="N60" s="58"/>
      <c r="O60" s="58"/>
      <c r="Q60" s="58"/>
      <c r="R60" s="58"/>
      <c r="S60" s="141"/>
      <c r="T60" s="58"/>
      <c r="U60" s="58"/>
      <c r="AC60" s="220">
        <f t="shared" ref="AC60:AH60" si="31">(AD56/AC56)^(1/(AD$50-AC$50))</f>
        <v>0.98311662811417255</v>
      </c>
      <c r="AD60" s="220">
        <f t="shared" si="31"/>
        <v>1</v>
      </c>
      <c r="AE60" s="220">
        <f t="shared" si="31"/>
        <v>1</v>
      </c>
      <c r="AF60" s="220">
        <f t="shared" si="31"/>
        <v>1</v>
      </c>
      <c r="AG60" s="220">
        <f t="shared" si="31"/>
        <v>1</v>
      </c>
      <c r="AH60" s="220">
        <f t="shared" si="31"/>
        <v>0.9978950082958632</v>
      </c>
      <c r="AI60" s="220">
        <v>1</v>
      </c>
      <c r="AJ60" s="220">
        <f>HLOOKUP(AJ$55,AC$50:AI$62,11)</f>
        <v>1</v>
      </c>
      <c r="AK60" s="212"/>
      <c r="AL60" s="212"/>
      <c r="AT60">
        <f>AT59*(AT57^80)</f>
        <v>19.97574579999862</v>
      </c>
    </row>
    <row r="61" spans="1:46" ht="14" x14ac:dyDescent="0.15">
      <c r="A61" s="157"/>
      <c r="B61" s="157"/>
      <c r="C61" s="4"/>
      <c r="D61" s="191"/>
      <c r="E61" s="190"/>
      <c r="F61" s="61"/>
      <c r="G61" s="7"/>
      <c r="M61" s="38"/>
      <c r="N61" s="58"/>
      <c r="O61" s="58"/>
      <c r="Q61" s="58"/>
      <c r="R61" s="58"/>
      <c r="S61" s="141"/>
      <c r="T61" s="58"/>
      <c r="U61" s="58"/>
      <c r="AA61" s="283" t="s">
        <v>834</v>
      </c>
      <c r="AC61" s="220">
        <f t="shared" ref="AC61:AH61" si="32">(AD57/AC57)^(1/(AD$50-AC$50))</f>
        <v>1</v>
      </c>
      <c r="AD61" s="220">
        <f t="shared" si="32"/>
        <v>1</v>
      </c>
      <c r="AE61" s="220">
        <f t="shared" si="32"/>
        <v>1</v>
      </c>
      <c r="AF61" s="220">
        <f t="shared" si="32"/>
        <v>0.99192348952950216</v>
      </c>
      <c r="AG61" s="220">
        <f t="shared" si="32"/>
        <v>1</v>
      </c>
      <c r="AH61" s="220">
        <f t="shared" si="32"/>
        <v>0.9955470727844663</v>
      </c>
      <c r="AI61" s="220">
        <v>1</v>
      </c>
      <c r="AJ61" s="220">
        <f>HLOOKUP(AJ$55,AC$50:AI$62,12)</f>
        <v>1</v>
      </c>
    </row>
    <row r="62" spans="1:46" x14ac:dyDescent="0.15">
      <c r="C62" s="185" t="s">
        <v>171</v>
      </c>
      <c r="D62" s="8"/>
      <c r="E62" s="184" t="s">
        <v>310</v>
      </c>
      <c r="F62" s="61"/>
      <c r="G62" s="7"/>
      <c r="M62" s="38"/>
      <c r="N62" s="58"/>
      <c r="O62" s="58"/>
      <c r="Q62" s="58"/>
      <c r="R62" s="58"/>
      <c r="S62" s="141"/>
      <c r="T62" s="58"/>
      <c r="U62" s="58"/>
      <c r="W62">
        <v>4.2210994844600717E-2</v>
      </c>
      <c r="AC62" s="220">
        <f t="shared" ref="AC62:AH62" si="33">(AD58/AC58)^(1/(AD$50-AC$50))</f>
        <v>1</v>
      </c>
      <c r="AD62" s="220">
        <f t="shared" si="33"/>
        <v>0.98523386779906386</v>
      </c>
      <c r="AE62" s="220">
        <f t="shared" si="33"/>
        <v>0.9885586726496457</v>
      </c>
      <c r="AF62" s="220">
        <f t="shared" si="33"/>
        <v>0.99192348952950216</v>
      </c>
      <c r="AG62" s="220">
        <f t="shared" si="33"/>
        <v>0.99426287904640476</v>
      </c>
      <c r="AH62" s="220">
        <f t="shared" si="33"/>
        <v>0.9955470727844663</v>
      </c>
      <c r="AI62" s="220">
        <v>1</v>
      </c>
      <c r="AJ62" s="220">
        <f>HLOOKUP(AJ$55,AC$50:AI$62,13)</f>
        <v>1</v>
      </c>
      <c r="AT62" s="38"/>
    </row>
    <row r="63" spans="1:46" x14ac:dyDescent="0.15">
      <c r="C63" t="s">
        <v>182</v>
      </c>
      <c r="D63" s="8">
        <f>(((E$5*1000)*F$9)-D$60)*AA63</f>
        <v>349202.16834135569</v>
      </c>
      <c r="E63" s="80">
        <f>D63/(E$5*1000)</f>
        <v>1.164007227804519</v>
      </c>
      <c r="F63" s="61">
        <f>E63/F$80</f>
        <v>2.645470972282998E-2</v>
      </c>
      <c r="G63" s="7">
        <f>IF('STEP 3 - Edit Project Data'!$B$13="UNITED STATES",1,1)</f>
        <v>1</v>
      </c>
      <c r="H63" s="107">
        <v>0</v>
      </c>
      <c r="I63" s="107">
        <v>0</v>
      </c>
      <c r="J63" s="107">
        <v>1</v>
      </c>
      <c r="K63" s="58">
        <v>1</v>
      </c>
      <c r="M63" s="38">
        <f t="shared" si="1"/>
        <v>-0.42857142857142855</v>
      </c>
      <c r="N63" s="58">
        <f t="shared" si="2"/>
        <v>0</v>
      </c>
      <c r="O63" s="58">
        <f t="shared" si="3"/>
        <v>0</v>
      </c>
      <c r="P63" s="141">
        <f t="shared" ref="P63:P70" si="34">(M$13-I$13)/(J$13-I$13)</f>
        <v>-0.5</v>
      </c>
      <c r="Q63" s="58">
        <f t="shared" ref="Q63:Q70" si="35">J63-I63</f>
        <v>1</v>
      </c>
      <c r="R63" s="58">
        <f t="shared" si="4"/>
        <v>-0.5</v>
      </c>
      <c r="S63" s="141">
        <f t="shared" ref="S63:S70" si="36">IF((M$13-J$13)/(K$13-J$13)&gt;1,1,(M$13-J$13)/(K$13-J$13))</f>
        <v>-3</v>
      </c>
      <c r="T63" s="58">
        <f t="shared" ref="T63:T70" si="37">K63-J63</f>
        <v>0</v>
      </c>
      <c r="U63" s="58">
        <f t="shared" ref="U63:U70" si="38">J63+(S63*T63)</f>
        <v>1</v>
      </c>
      <c r="V63" s="42"/>
      <c r="W63" s="58">
        <f>X63/X$71</f>
        <v>4.2210994844600717E-2</v>
      </c>
      <c r="X63" s="42">
        <v>3.1868940634015901E-2</v>
      </c>
      <c r="Y63" s="42">
        <v>3.1868940634015901E-2</v>
      </c>
      <c r="AA63" s="42">
        <v>2.8567347521782607E-2</v>
      </c>
      <c r="AB63">
        <v>65574.598708018544</v>
      </c>
      <c r="AC63">
        <f>D63</f>
        <v>349202.16834135569</v>
      </c>
    </row>
    <row r="64" spans="1:46" ht="14" x14ac:dyDescent="0.15">
      <c r="C64" s="205" t="s">
        <v>494</v>
      </c>
      <c r="D64" s="8">
        <f t="shared" ref="D64:D70" si="39">(((E$5*1000)*F$9)-D$60)*AA64</f>
        <v>136188.84565312869</v>
      </c>
      <c r="E64" s="80">
        <f t="shared" ref="E64:E70" si="40">D64/(E$5*1000)</f>
        <v>0.45396281884376233</v>
      </c>
      <c r="F64" s="61">
        <f t="shared" ref="F64:F70" si="41">E64/F$80</f>
        <v>1.031733679190369E-2</v>
      </c>
      <c r="G64" s="7">
        <f>IF('STEP 3 - Edit Project Data'!$B$13="UNITED STATES",1,0.8)</f>
        <v>0.8</v>
      </c>
      <c r="H64" s="58">
        <v>1.0847457627118645E-2</v>
      </c>
      <c r="I64" s="58">
        <v>4.7883777239709449E-2</v>
      </c>
      <c r="J64" s="58">
        <v>0.12745762711864408</v>
      </c>
      <c r="K64" s="58">
        <v>0.8</v>
      </c>
      <c r="M64" s="38">
        <f t="shared" si="1"/>
        <v>-0.42857142857142855</v>
      </c>
      <c r="N64" s="58">
        <f t="shared" si="2"/>
        <v>3.7036319612590803E-2</v>
      </c>
      <c r="O64" s="58">
        <f t="shared" si="3"/>
        <v>-5.0252507782774115E-3</v>
      </c>
      <c r="P64" s="141">
        <f t="shared" si="34"/>
        <v>-0.5</v>
      </c>
      <c r="Q64" s="58">
        <f t="shared" si="35"/>
        <v>7.9573849878934635E-2</v>
      </c>
      <c r="R64" s="58">
        <f t="shared" si="4"/>
        <v>8.0968523002421314E-3</v>
      </c>
      <c r="S64" s="141">
        <f t="shared" si="36"/>
        <v>-3</v>
      </c>
      <c r="T64" s="58">
        <f t="shared" si="37"/>
        <v>0.67254237288135599</v>
      </c>
      <c r="U64" s="58">
        <f t="shared" si="38"/>
        <v>-1.8901694915254239</v>
      </c>
      <c r="V64" s="42"/>
      <c r="W64" s="42">
        <f t="shared" ref="W64:W70" si="42">X64/X$71</f>
        <v>7.1037422099926834E-2</v>
      </c>
      <c r="X64" s="42">
        <v>5.3632647039724424E-2</v>
      </c>
      <c r="Y64" s="42">
        <v>5.3632647039724424E-2</v>
      </c>
      <c r="AA64" s="42">
        <v>1.1141265533495216E-2</v>
      </c>
      <c r="AB64">
        <v>110356.32930718939</v>
      </c>
      <c r="AC64">
        <f t="shared" ref="AC64:AC72" si="43">D64</f>
        <v>136188.84565312869</v>
      </c>
    </row>
    <row r="65" spans="3:29" ht="14" x14ac:dyDescent="0.15">
      <c r="C65" s="206" t="s">
        <v>174</v>
      </c>
      <c r="D65" s="8">
        <f t="shared" si="39"/>
        <v>68094.422826564347</v>
      </c>
      <c r="E65" s="80">
        <f t="shared" si="40"/>
        <v>0.22698140942188116</v>
      </c>
      <c r="F65" s="61">
        <f t="shared" si="41"/>
        <v>5.158668395951845E-3</v>
      </c>
      <c r="G65" s="7">
        <f>IF('STEP 3 - Edit Project Data'!$B$13="UNITED STATES",1,1)</f>
        <v>1</v>
      </c>
      <c r="H65" s="58">
        <v>1</v>
      </c>
      <c r="I65" s="58">
        <v>1</v>
      </c>
      <c r="J65" s="58">
        <v>1</v>
      </c>
      <c r="K65" s="58">
        <v>1</v>
      </c>
      <c r="M65" s="38">
        <f t="shared" si="1"/>
        <v>-0.42857142857142855</v>
      </c>
      <c r="N65" s="58">
        <f t="shared" si="2"/>
        <v>0</v>
      </c>
      <c r="O65" s="58">
        <f t="shared" si="3"/>
        <v>1</v>
      </c>
      <c r="P65" s="141">
        <f t="shared" si="34"/>
        <v>-0.5</v>
      </c>
      <c r="Q65" s="58">
        <f t="shared" si="35"/>
        <v>0</v>
      </c>
      <c r="R65" s="58">
        <f t="shared" si="4"/>
        <v>1</v>
      </c>
      <c r="S65" s="141">
        <f t="shared" si="36"/>
        <v>-3</v>
      </c>
      <c r="T65" s="58">
        <f t="shared" si="37"/>
        <v>0</v>
      </c>
      <c r="U65" s="58">
        <f t="shared" si="38"/>
        <v>1</v>
      </c>
      <c r="V65" s="42"/>
      <c r="W65" s="42">
        <f t="shared" si="42"/>
        <v>1.4250720481724174E-2</v>
      </c>
      <c r="X65" s="42">
        <v>1.0759172265330155E-2</v>
      </c>
      <c r="Y65" s="42">
        <v>1.0759172265330155E-2</v>
      </c>
      <c r="AA65" s="42">
        <v>5.570632766747608E-3</v>
      </c>
      <c r="AB65">
        <v>22138.432897151561</v>
      </c>
      <c r="AC65">
        <f t="shared" si="43"/>
        <v>68094.422826564347</v>
      </c>
    </row>
    <row r="66" spans="3:29" x14ac:dyDescent="0.15">
      <c r="C66" s="207" t="s">
        <v>232</v>
      </c>
      <c r="D66" s="8">
        <f t="shared" si="39"/>
        <v>272377.69130625739</v>
      </c>
      <c r="E66" s="80">
        <f t="shared" si="40"/>
        <v>0.90792563768752466</v>
      </c>
      <c r="F66" s="61">
        <f t="shared" si="41"/>
        <v>2.063467358380738E-2</v>
      </c>
      <c r="G66" s="7">
        <f>IF('STEP 3 - Edit Project Data'!$B$13="UNITED STATES",1,1)</f>
        <v>1</v>
      </c>
      <c r="H66" s="58">
        <v>1</v>
      </c>
      <c r="I66" s="58">
        <v>1</v>
      </c>
      <c r="J66" s="58">
        <v>1</v>
      </c>
      <c r="K66" s="58">
        <v>1</v>
      </c>
      <c r="M66" s="38">
        <f t="shared" si="1"/>
        <v>-0.42857142857142855</v>
      </c>
      <c r="N66" s="58">
        <f t="shared" si="2"/>
        <v>0</v>
      </c>
      <c r="O66" s="58">
        <f t="shared" si="3"/>
        <v>1</v>
      </c>
      <c r="P66" s="141">
        <f t="shared" si="34"/>
        <v>-0.5</v>
      </c>
      <c r="Q66" s="58">
        <f t="shared" si="35"/>
        <v>0</v>
      </c>
      <c r="R66" s="58">
        <f t="shared" si="4"/>
        <v>1</v>
      </c>
      <c r="S66" s="141">
        <f t="shared" si="36"/>
        <v>-3</v>
      </c>
      <c r="T66" s="58">
        <f t="shared" si="37"/>
        <v>0</v>
      </c>
      <c r="U66" s="58">
        <f t="shared" si="38"/>
        <v>1</v>
      </c>
      <c r="V66" s="42"/>
      <c r="W66" s="42">
        <f t="shared" si="42"/>
        <v>5.7634242960897135E-2</v>
      </c>
      <c r="X66" s="42">
        <v>4.3513361250290941E-2</v>
      </c>
      <c r="Y66" s="42">
        <v>4.3513361250290941E-2</v>
      </c>
      <c r="AA66" s="42">
        <v>2.2282531066990432E-2</v>
      </c>
      <c r="AB66">
        <v>89534.548235948401</v>
      </c>
      <c r="AC66">
        <f t="shared" si="43"/>
        <v>272377.69130625739</v>
      </c>
    </row>
    <row r="67" spans="3:29" ht="14" x14ac:dyDescent="0.15">
      <c r="C67" s="206" t="s">
        <v>172</v>
      </c>
      <c r="D67" s="8">
        <f t="shared" si="39"/>
        <v>2619016.2625601673</v>
      </c>
      <c r="E67" s="80">
        <f t="shared" si="40"/>
        <v>8.7300542085338915</v>
      </c>
      <c r="F67" s="61">
        <f t="shared" si="41"/>
        <v>0.19841032292122482</v>
      </c>
      <c r="G67" s="7">
        <f>IF('STEP 3 - Edit Project Data'!$B$13="UNITED STATES",1,0)</f>
        <v>0</v>
      </c>
      <c r="H67" s="58">
        <v>0</v>
      </c>
      <c r="I67" s="58">
        <v>0</v>
      </c>
      <c r="J67" s="58">
        <v>0</v>
      </c>
      <c r="K67" s="58">
        <v>0</v>
      </c>
      <c r="M67" s="38">
        <f t="shared" si="1"/>
        <v>-0.42857142857142855</v>
      </c>
      <c r="N67" s="58">
        <f t="shared" si="2"/>
        <v>0</v>
      </c>
      <c r="O67" s="58">
        <f t="shared" si="3"/>
        <v>0</v>
      </c>
      <c r="P67" s="141">
        <f t="shared" si="34"/>
        <v>-0.5</v>
      </c>
      <c r="Q67" s="58">
        <f t="shared" si="35"/>
        <v>0</v>
      </c>
      <c r="R67" s="58">
        <f t="shared" si="4"/>
        <v>0</v>
      </c>
      <c r="S67" s="141">
        <f t="shared" si="36"/>
        <v>-3</v>
      </c>
      <c r="T67" s="58">
        <f t="shared" si="37"/>
        <v>0</v>
      </c>
      <c r="U67" s="58">
        <f t="shared" si="38"/>
        <v>0</v>
      </c>
      <c r="V67" s="42"/>
      <c r="W67" s="42">
        <f t="shared" si="42"/>
        <v>0.20130401132495054</v>
      </c>
      <c r="X67" s="42">
        <v>0.15198280945336951</v>
      </c>
      <c r="Y67" s="42">
        <v>0.15198280945336951</v>
      </c>
      <c r="AA67" s="42">
        <v>0.21425510641336953</v>
      </c>
      <c r="AB67">
        <v>312724.91467081691</v>
      </c>
      <c r="AC67">
        <f t="shared" si="43"/>
        <v>2619016.2625601673</v>
      </c>
    </row>
    <row r="68" spans="3:29" x14ac:dyDescent="0.15">
      <c r="C68" s="207" t="s">
        <v>207</v>
      </c>
      <c r="D68" s="8">
        <f t="shared" si="39"/>
        <v>136188.84565312869</v>
      </c>
      <c r="E68" s="80">
        <f t="shared" si="40"/>
        <v>0.45396281884376233</v>
      </c>
      <c r="F68" s="61">
        <f t="shared" si="41"/>
        <v>1.031733679190369E-2</v>
      </c>
      <c r="G68" s="7">
        <f>IF('STEP 3 - Edit Project Data'!$B$13="UNITED STATES",1,1)</f>
        <v>1</v>
      </c>
      <c r="H68" s="58">
        <v>1</v>
      </c>
      <c r="I68" s="58">
        <v>1</v>
      </c>
      <c r="J68" s="58">
        <v>1</v>
      </c>
      <c r="K68" s="58">
        <v>1</v>
      </c>
      <c r="M68" s="38">
        <f t="shared" si="1"/>
        <v>-0.42857142857142855</v>
      </c>
      <c r="N68" s="58">
        <f t="shared" si="2"/>
        <v>0</v>
      </c>
      <c r="O68" s="58">
        <f t="shared" si="3"/>
        <v>1</v>
      </c>
      <c r="P68" s="141">
        <f t="shared" si="34"/>
        <v>-0.5</v>
      </c>
      <c r="Q68" s="58">
        <f t="shared" si="35"/>
        <v>0</v>
      </c>
      <c r="R68" s="58">
        <f t="shared" si="4"/>
        <v>1</v>
      </c>
      <c r="S68" s="141">
        <f t="shared" si="36"/>
        <v>-3</v>
      </c>
      <c r="T68" s="58">
        <f t="shared" si="37"/>
        <v>0</v>
      </c>
      <c r="U68" s="58">
        <f t="shared" si="38"/>
        <v>1</v>
      </c>
      <c r="V68" s="42"/>
      <c r="W68" s="42">
        <f t="shared" si="42"/>
        <v>3.0295306214582117E-2</v>
      </c>
      <c r="X68" s="42">
        <v>2.2872697476007169E-2</v>
      </c>
      <c r="Y68" s="42">
        <v>2.2872697476007169E-2</v>
      </c>
      <c r="AA68" s="42">
        <v>1.1141265533495216E-2</v>
      </c>
      <c r="AB68">
        <v>47063.627736598406</v>
      </c>
      <c r="AC68">
        <f t="shared" si="43"/>
        <v>136188.84565312869</v>
      </c>
    </row>
    <row r="69" spans="3:29" ht="14" x14ac:dyDescent="0.15">
      <c r="C69" s="205" t="s">
        <v>495</v>
      </c>
      <c r="D69" s="8">
        <f t="shared" si="39"/>
        <v>885227.49674533657</v>
      </c>
      <c r="E69" s="80">
        <f t="shared" si="40"/>
        <v>2.9507583224844551</v>
      </c>
      <c r="F69" s="61">
        <f t="shared" si="41"/>
        <v>6.7062689147373983E-2</v>
      </c>
      <c r="G69" s="7">
        <f>IF('STEP 3 - Edit Project Data'!$B$13="UNITED STATES",1,1)</f>
        <v>1</v>
      </c>
      <c r="H69" s="58">
        <v>2.4924471299093656E-2</v>
      </c>
      <c r="I69" s="58">
        <v>9.6525679758308169E-2</v>
      </c>
      <c r="J69" s="58">
        <v>0.24169184290030213</v>
      </c>
      <c r="K69" s="58">
        <v>1</v>
      </c>
      <c r="M69" s="38">
        <f t="shared" si="1"/>
        <v>-0.42857142857142855</v>
      </c>
      <c r="N69" s="58">
        <f t="shared" si="2"/>
        <v>7.1601208459214513E-2</v>
      </c>
      <c r="O69" s="58">
        <f t="shared" si="3"/>
        <v>-5.7617608977125617E-3</v>
      </c>
      <c r="P69" s="141">
        <f t="shared" si="34"/>
        <v>-0.5</v>
      </c>
      <c r="Q69" s="58">
        <f t="shared" si="35"/>
        <v>0.14516616314199396</v>
      </c>
      <c r="R69" s="58">
        <f t="shared" si="4"/>
        <v>2.394259818731119E-2</v>
      </c>
      <c r="S69" s="141">
        <f t="shared" si="36"/>
        <v>-3</v>
      </c>
      <c r="T69" s="58">
        <f t="shared" si="37"/>
        <v>0.7583081570996979</v>
      </c>
      <c r="U69" s="58">
        <f t="shared" si="38"/>
        <v>-2.0332326283987912</v>
      </c>
      <c r="V69" s="42"/>
      <c r="W69" s="42">
        <f t="shared" si="42"/>
        <v>0.42419440150786791</v>
      </c>
      <c r="X69" s="42">
        <v>0.32026315060104155</v>
      </c>
      <c r="Y69" s="42">
        <v>0.32026315060104155</v>
      </c>
      <c r="AA69" s="42">
        <v>7.2418225967718908E-2</v>
      </c>
      <c r="AB69">
        <v>658984.17593501892</v>
      </c>
      <c r="AC69">
        <f t="shared" si="43"/>
        <v>885227.49674533657</v>
      </c>
    </row>
    <row r="70" spans="3:29" ht="14" x14ac:dyDescent="0.15">
      <c r="C70" s="205" t="s">
        <v>496</v>
      </c>
      <c r="D70" s="8">
        <f t="shared" si="39"/>
        <v>7757526.1697032144</v>
      </c>
      <c r="E70" s="80">
        <f t="shared" si="40"/>
        <v>25.858420565677381</v>
      </c>
      <c r="F70" s="61">
        <f t="shared" si="41"/>
        <v>0.58769137649266778</v>
      </c>
      <c r="G70" s="7">
        <f>IF('STEP 3 - Edit Project Data'!$B$13="UNITED STATES",1,0.02)</f>
        <v>0.02</v>
      </c>
      <c r="H70" s="107">
        <v>0</v>
      </c>
      <c r="I70" s="107">
        <v>0</v>
      </c>
      <c r="J70" s="107">
        <v>0</v>
      </c>
      <c r="K70" s="58">
        <v>0.02</v>
      </c>
      <c r="M70" s="38">
        <f t="shared" si="1"/>
        <v>-0.42857142857142855</v>
      </c>
      <c r="N70" s="58">
        <f t="shared" si="2"/>
        <v>0</v>
      </c>
      <c r="O70" s="58">
        <f t="shared" si="3"/>
        <v>0</v>
      </c>
      <c r="P70" s="141">
        <f t="shared" si="34"/>
        <v>-0.5</v>
      </c>
      <c r="Q70" s="58">
        <f t="shared" si="35"/>
        <v>0</v>
      </c>
      <c r="R70" s="58">
        <f t="shared" si="4"/>
        <v>0</v>
      </c>
      <c r="S70" s="141">
        <f t="shared" si="36"/>
        <v>-3</v>
      </c>
      <c r="T70" s="58">
        <f t="shared" si="37"/>
        <v>0.02</v>
      </c>
      <c r="U70" s="58">
        <f t="shared" si="38"/>
        <v>-0.06</v>
      </c>
      <c r="V70" s="42"/>
      <c r="W70" s="42">
        <f t="shared" si="42"/>
        <v>0.15907290056545045</v>
      </c>
      <c r="X70" s="42">
        <v>0.12009868147539057</v>
      </c>
      <c r="Y70" s="42">
        <v>0.12009868147539057</v>
      </c>
      <c r="AA70" s="42">
        <v>0.63462362519640048</v>
      </c>
      <c r="AB70">
        <v>247119.06597563208</v>
      </c>
      <c r="AC70">
        <f t="shared" si="43"/>
        <v>7757526.1697032144</v>
      </c>
    </row>
    <row r="71" spans="3:29" x14ac:dyDescent="0.15">
      <c r="C71" t="s">
        <v>13</v>
      </c>
      <c r="D71" s="8">
        <f>SUM(D63:D70)</f>
        <v>12223821.902789153</v>
      </c>
      <c r="E71" s="80">
        <f>SUM(E63:E70)</f>
        <v>40.746073009297177</v>
      </c>
      <c r="F71" s="61">
        <f>SUM(F63:F70)</f>
        <v>0.92604711384766314</v>
      </c>
      <c r="G71" s="7"/>
      <c r="H71" s="7"/>
      <c r="I71" s="7"/>
      <c r="J71" s="7"/>
      <c r="K71" s="7"/>
      <c r="M71" s="38"/>
      <c r="N71" s="58"/>
      <c r="O71" s="58"/>
      <c r="Q71" s="58"/>
      <c r="R71" s="58"/>
      <c r="S71" s="141"/>
      <c r="T71" s="58"/>
      <c r="U71" s="58"/>
      <c r="W71" s="38">
        <f>SUM(W63:W70)</f>
        <v>0.99999999999999989</v>
      </c>
      <c r="X71" s="38">
        <f>SUM(X63:X70)</f>
        <v>0.75499146019517027</v>
      </c>
      <c r="AB71">
        <v>1553495.6934663742</v>
      </c>
      <c r="AC71">
        <f t="shared" si="43"/>
        <v>12223821.902789153</v>
      </c>
    </row>
    <row r="72" spans="3:29" ht="14" x14ac:dyDescent="0.15">
      <c r="C72" s="226" t="s">
        <v>575</v>
      </c>
      <c r="D72" s="8">
        <f>(D70+D69+D63)*D101</f>
        <v>260766.71920890728</v>
      </c>
      <c r="E72" s="80"/>
      <c r="F72" s="61"/>
      <c r="G72" s="7">
        <f>F101</f>
        <v>1</v>
      </c>
      <c r="H72" s="7"/>
      <c r="I72" s="7"/>
      <c r="J72" s="7"/>
      <c r="K72" s="7"/>
      <c r="M72" s="38"/>
      <c r="N72" s="58"/>
      <c r="O72" s="58"/>
      <c r="Q72" s="58"/>
      <c r="R72" s="58"/>
      <c r="S72" s="141"/>
      <c r="T72" s="58"/>
      <c r="U72" s="58"/>
      <c r="W72" s="38"/>
      <c r="X72" s="38"/>
      <c r="AC72">
        <f t="shared" si="43"/>
        <v>260766.71920890728</v>
      </c>
    </row>
    <row r="73" spans="3:29" x14ac:dyDescent="0.15">
      <c r="C73" s="1" t="s">
        <v>578</v>
      </c>
      <c r="D73" s="8">
        <v>0</v>
      </c>
      <c r="E73" s="80"/>
      <c r="F73" s="61"/>
      <c r="G73" s="7">
        <v>1</v>
      </c>
      <c r="H73" s="7"/>
      <c r="I73" s="7"/>
      <c r="J73" s="7"/>
      <c r="K73" s="7"/>
      <c r="M73" s="38"/>
      <c r="N73" s="58"/>
      <c r="O73" s="58"/>
      <c r="Q73" s="58"/>
      <c r="R73" s="58"/>
      <c r="S73" s="141"/>
      <c r="T73" s="58"/>
      <c r="U73" s="58"/>
      <c r="W73" s="38"/>
      <c r="X73" s="38"/>
    </row>
    <row r="74" spans="3:29" x14ac:dyDescent="0.15">
      <c r="C74" s="1" t="s">
        <v>579</v>
      </c>
      <c r="D74" s="8">
        <f>D73+D72+D71+D60</f>
        <v>13460766.719208907</v>
      </c>
      <c r="E74" s="80"/>
      <c r="F74" s="61"/>
      <c r="G74" s="7"/>
      <c r="H74" s="7"/>
      <c r="I74" s="7"/>
      <c r="J74" s="7"/>
      <c r="K74" s="7"/>
      <c r="M74" s="38"/>
      <c r="N74" s="58"/>
      <c r="O74" s="58"/>
      <c r="Q74" s="58"/>
      <c r="R74" s="58"/>
      <c r="S74" s="141"/>
      <c r="T74" s="58"/>
      <c r="U74" s="58"/>
      <c r="W74" s="38"/>
      <c r="X74" s="38"/>
    </row>
    <row r="75" spans="3:29" x14ac:dyDescent="0.15">
      <c r="C75" s="24" t="s">
        <v>256</v>
      </c>
      <c r="D75" s="8">
        <f>Calculations!F197</f>
        <v>43736139.918417171</v>
      </c>
      <c r="E75" s="20"/>
      <c r="F75" s="58"/>
      <c r="G75" s="7"/>
      <c r="H75" s="7"/>
      <c r="I75" s="7"/>
      <c r="J75" s="7"/>
      <c r="K75" s="7"/>
      <c r="M75" s="38"/>
      <c r="N75" s="58"/>
      <c r="O75" s="58"/>
      <c r="P75" s="141"/>
      <c r="Q75" s="58"/>
      <c r="R75" s="58"/>
      <c r="S75" s="141"/>
      <c r="T75" s="58"/>
      <c r="U75" s="58"/>
    </row>
    <row r="76" spans="3:29" x14ac:dyDescent="0.15">
      <c r="C76" s="24" t="s">
        <v>264</v>
      </c>
      <c r="D76" s="8">
        <v>0</v>
      </c>
      <c r="E76" s="20"/>
      <c r="F76" s="8"/>
      <c r="G76" s="155"/>
      <c r="H76" s="155"/>
      <c r="I76" s="7"/>
      <c r="J76" s="7"/>
      <c r="K76" s="7"/>
      <c r="S76" s="141"/>
    </row>
    <row r="77" spans="3:29" x14ac:dyDescent="0.15">
      <c r="C77" s="24" t="s">
        <v>265</v>
      </c>
      <c r="D77" s="8">
        <v>0</v>
      </c>
      <c r="E77" s="20"/>
      <c r="F77" s="8"/>
      <c r="G77" s="7"/>
      <c r="H77" s="155"/>
      <c r="I77" s="7"/>
      <c r="J77" s="7"/>
      <c r="K77" s="7"/>
      <c r="S77" s="141"/>
    </row>
    <row r="78" spans="3:29" x14ac:dyDescent="0.15">
      <c r="C78" t="s">
        <v>176</v>
      </c>
      <c r="D78" s="8">
        <f>D103*D5</f>
        <v>1563900</v>
      </c>
      <c r="E78" s="20"/>
      <c r="F78" s="58"/>
      <c r="G78" s="7"/>
      <c r="H78" s="155"/>
      <c r="I78" s="7"/>
      <c r="J78" s="7"/>
      <c r="K78" s="7"/>
      <c r="S78" s="141"/>
    </row>
    <row r="79" spans="3:29" x14ac:dyDescent="0.15">
      <c r="C79" s="17" t="s">
        <v>16</v>
      </c>
      <c r="D79" s="8">
        <f>+D78+D75+D74</f>
        <v>58760806.637626082</v>
      </c>
      <c r="F79" s="80"/>
      <c r="H79" s="155"/>
      <c r="I79" s="8"/>
      <c r="S79" s="141"/>
    </row>
    <row r="80" spans="3:29" x14ac:dyDescent="0.15">
      <c r="D80" s="188">
        <f>D71+D60</f>
        <v>13200000</v>
      </c>
      <c r="E80" s="58"/>
      <c r="F80" s="20">
        <f>D80/(E5*1000)</f>
        <v>44</v>
      </c>
      <c r="H80" s="155"/>
      <c r="S80" s="141"/>
    </row>
    <row r="81" spans="3:19" ht="16" x14ac:dyDescent="0.2">
      <c r="C81" s="48" t="s">
        <v>161</v>
      </c>
      <c r="H81" s="155"/>
      <c r="S81" s="141"/>
    </row>
    <row r="82" spans="3:19" ht="14" x14ac:dyDescent="0.15">
      <c r="C82" s="3" t="s">
        <v>134</v>
      </c>
      <c r="F82" s="30" t="s">
        <v>18</v>
      </c>
      <c r="H82" s="155"/>
      <c r="S82" s="141"/>
    </row>
    <row r="83" spans="3:19" x14ac:dyDescent="0.15">
      <c r="C83" s="1" t="s">
        <v>227</v>
      </c>
      <c r="F83" s="30"/>
      <c r="H83" s="155"/>
      <c r="I83" s="70"/>
      <c r="S83" s="141"/>
    </row>
    <row r="84" spans="3:19" x14ac:dyDescent="0.15">
      <c r="C84" s="13" t="s">
        <v>135</v>
      </c>
      <c r="D84" s="15">
        <v>0.8</v>
      </c>
      <c r="E84" s="15"/>
      <c r="F84" s="7">
        <f>IF('STEP 3 - Edit Project Data'!$B$13="UNITED STATES",1,0)</f>
        <v>0</v>
      </c>
      <c r="H84" s="155"/>
      <c r="S84" s="141"/>
    </row>
    <row r="85" spans="3:19" x14ac:dyDescent="0.15">
      <c r="C85" s="13" t="s">
        <v>136</v>
      </c>
      <c r="D85" s="10">
        <v>10</v>
      </c>
      <c r="E85" s="10"/>
      <c r="F85" s="10"/>
      <c r="H85" s="58"/>
      <c r="S85" s="141"/>
    </row>
    <row r="86" spans="3:19" x14ac:dyDescent="0.15">
      <c r="C86" s="13" t="s">
        <v>137</v>
      </c>
      <c r="D86" s="50">
        <v>6.3E-2</v>
      </c>
      <c r="E86" s="15"/>
      <c r="F86" s="10"/>
      <c r="P86" s="57"/>
      <c r="Q86" s="57"/>
      <c r="R86" s="57"/>
      <c r="S86" s="142"/>
    </row>
    <row r="87" spans="3:19" x14ac:dyDescent="0.15">
      <c r="C87" s="59" t="s">
        <v>236</v>
      </c>
      <c r="D87" s="57">
        <f>D75</f>
        <v>43736139.918417171</v>
      </c>
      <c r="E87" s="15"/>
      <c r="F87" s="10"/>
      <c r="H87" s="56"/>
      <c r="P87" s="57"/>
      <c r="Q87" s="57"/>
      <c r="R87" s="57"/>
      <c r="S87" s="142"/>
    </row>
    <row r="88" spans="3:19" x14ac:dyDescent="0.15">
      <c r="C88" s="17" t="s">
        <v>303</v>
      </c>
      <c r="D88" s="57"/>
      <c r="E88" s="11"/>
      <c r="F88" s="11" t="s">
        <v>18</v>
      </c>
      <c r="H88" s="56"/>
      <c r="P88" s="57"/>
      <c r="Q88" s="57"/>
      <c r="R88" s="57"/>
      <c r="S88" s="142"/>
    </row>
    <row r="89" spans="3:19" x14ac:dyDescent="0.15">
      <c r="C89" s="59" t="s">
        <v>228</v>
      </c>
      <c r="D89" s="63">
        <f>1-D84</f>
        <v>0.19999999999999996</v>
      </c>
      <c r="E89" s="66"/>
      <c r="F89" s="11"/>
      <c r="H89" s="56"/>
      <c r="P89" s="57"/>
      <c r="Q89" s="57"/>
      <c r="R89" s="57"/>
      <c r="S89" s="142"/>
    </row>
    <row r="90" spans="3:19" x14ac:dyDescent="0.15">
      <c r="C90" s="59" t="s">
        <v>233</v>
      </c>
      <c r="D90" s="63">
        <v>0</v>
      </c>
      <c r="E90" s="15"/>
      <c r="F90" s="68">
        <v>1</v>
      </c>
      <c r="H90" s="56"/>
      <c r="P90" s="57"/>
      <c r="Q90" s="57"/>
      <c r="R90" s="57"/>
      <c r="S90" s="142"/>
    </row>
    <row r="91" spans="3:19" x14ac:dyDescent="0.15">
      <c r="C91" s="59" t="s">
        <v>234</v>
      </c>
      <c r="D91" s="63">
        <f>1-D90</f>
        <v>1</v>
      </c>
      <c r="E91" s="15"/>
      <c r="F91" s="7">
        <f>IF('STEP 3 - Edit Project Data'!$B$13="UNITED STATES",1,0)</f>
        <v>0</v>
      </c>
      <c r="H91" s="56"/>
      <c r="P91" s="57"/>
      <c r="Q91" s="57"/>
      <c r="R91" s="57"/>
      <c r="S91" s="57"/>
    </row>
    <row r="92" spans="3:19" x14ac:dyDescent="0.15">
      <c r="C92" s="62" t="s">
        <v>229</v>
      </c>
      <c r="D92" s="63">
        <v>0.12</v>
      </c>
      <c r="E92" s="15"/>
      <c r="F92" s="10"/>
      <c r="H92" s="56"/>
      <c r="P92" s="57"/>
      <c r="Q92" s="57"/>
      <c r="R92" s="57"/>
      <c r="S92" s="57"/>
    </row>
    <row r="93" spans="3:19" x14ac:dyDescent="0.15">
      <c r="C93" s="59" t="s">
        <v>235</v>
      </c>
      <c r="D93" s="64">
        <v>10</v>
      </c>
      <c r="E93" s="15"/>
      <c r="F93" s="10"/>
      <c r="H93" s="56"/>
      <c r="K93" s="38"/>
      <c r="P93" s="57"/>
      <c r="Q93" s="57"/>
      <c r="R93" s="57"/>
      <c r="S93" s="57"/>
    </row>
    <row r="94" spans="3:19" ht="14" x14ac:dyDescent="0.15">
      <c r="C94" s="65" t="s">
        <v>203</v>
      </c>
      <c r="D94" s="15"/>
      <c r="E94" s="15"/>
      <c r="F94" s="10"/>
      <c r="P94" s="57"/>
      <c r="Q94" s="57"/>
      <c r="R94" s="57"/>
      <c r="S94" s="57"/>
    </row>
    <row r="95" spans="3:19" x14ac:dyDescent="0.15">
      <c r="C95" s="299" t="s">
        <v>650</v>
      </c>
      <c r="D95" s="304" t="str">
        <f>D158</f>
        <v>NA</v>
      </c>
      <c r="E95" s="63"/>
      <c r="P95" s="57"/>
      <c r="Q95" s="57"/>
      <c r="R95" s="57"/>
      <c r="S95" s="57"/>
    </row>
    <row r="96" spans="3:19" x14ac:dyDescent="0.15">
      <c r="C96" s="24" t="s">
        <v>301</v>
      </c>
      <c r="D96" s="50" t="str">
        <f>D157</f>
        <v>NA</v>
      </c>
      <c r="E96" s="63"/>
      <c r="H96" s="57"/>
      <c r="P96" s="57"/>
      <c r="Q96" s="57"/>
      <c r="R96" s="57"/>
      <c r="S96" s="57"/>
    </row>
    <row r="97" spans="3:19" x14ac:dyDescent="0.15">
      <c r="C97" s="299"/>
      <c r="D97" s="80"/>
      <c r="E97" s="63"/>
      <c r="H97" s="57"/>
      <c r="P97" s="57"/>
      <c r="Q97" s="57"/>
      <c r="R97" s="57"/>
      <c r="S97" s="57"/>
    </row>
    <row r="98" spans="3:19" x14ac:dyDescent="0.15">
      <c r="C98" s="24" t="s">
        <v>298</v>
      </c>
      <c r="D98" s="45" t="str">
        <f>IF(D96="NA", "NA",D48*D96)</f>
        <v>NA</v>
      </c>
      <c r="E98" s="45"/>
      <c r="P98" s="57"/>
      <c r="Q98" s="57"/>
      <c r="R98" s="57"/>
      <c r="S98" s="57"/>
    </row>
    <row r="99" spans="3:19" x14ac:dyDescent="0.15">
      <c r="C99" s="121" t="s">
        <v>440</v>
      </c>
      <c r="D99" s="300">
        <f>D141</f>
        <v>2971</v>
      </c>
      <c r="E99" s="45"/>
      <c r="P99" s="57"/>
      <c r="Q99" s="57"/>
      <c r="R99" s="57"/>
      <c r="S99" s="57"/>
    </row>
    <row r="100" spans="3:19" x14ac:dyDescent="0.15">
      <c r="C100" s="24" t="s">
        <v>209</v>
      </c>
      <c r="D100" s="45">
        <f>IF($D96="NA",IF(D99="NA","NA",$D99*$E5),(D98/1000)*D95)</f>
        <v>891300</v>
      </c>
      <c r="E100" s="45"/>
      <c r="F100" s="7">
        <v>1</v>
      </c>
      <c r="P100" s="57"/>
      <c r="Q100" s="57"/>
      <c r="R100" s="57"/>
      <c r="S100" s="57"/>
    </row>
    <row r="101" spans="3:19" x14ac:dyDescent="0.15">
      <c r="C101" s="224" t="s">
        <v>577</v>
      </c>
      <c r="D101" s="301">
        <f>D149</f>
        <v>2.9000000000000001E-2</v>
      </c>
      <c r="E101" s="45"/>
      <c r="F101" s="7">
        <v>1</v>
      </c>
      <c r="P101" s="57"/>
      <c r="Q101" s="57"/>
      <c r="R101" s="57"/>
      <c r="S101" s="57"/>
    </row>
    <row r="102" spans="3:19" x14ac:dyDescent="0.15">
      <c r="C102" s="49" t="s">
        <v>204</v>
      </c>
      <c r="D102" s="45"/>
      <c r="F102" s="7"/>
      <c r="P102" s="57"/>
      <c r="Q102" s="57"/>
      <c r="R102" s="57"/>
      <c r="S102" s="57"/>
    </row>
    <row r="103" spans="3:19" x14ac:dyDescent="0.15">
      <c r="C103" s="24" t="s">
        <v>252</v>
      </c>
      <c r="D103" s="94">
        <f>D166</f>
        <v>13032.5</v>
      </c>
      <c r="E103" s="314"/>
      <c r="F103" s="315"/>
      <c r="P103" s="57"/>
      <c r="Q103" s="57"/>
      <c r="R103" s="57"/>
      <c r="S103" s="57"/>
    </row>
    <row r="104" spans="3:19" x14ac:dyDescent="0.15">
      <c r="C104" s="82" t="s">
        <v>205</v>
      </c>
      <c r="D104" s="81">
        <f>D103*D5</f>
        <v>1563900</v>
      </c>
      <c r="P104" s="57"/>
      <c r="Q104" s="57"/>
      <c r="R104" s="57"/>
      <c r="S104" s="57"/>
    </row>
    <row r="105" spans="3:19" x14ac:dyDescent="0.15">
      <c r="C105" s="24" t="s">
        <v>293</v>
      </c>
      <c r="D105" s="10" t="s">
        <v>251</v>
      </c>
      <c r="E105">
        <v>14.5583421613163</v>
      </c>
      <c r="F105" s="7">
        <v>1</v>
      </c>
      <c r="L105" s="24" t="s">
        <v>329</v>
      </c>
      <c r="P105" s="57"/>
      <c r="Q105" s="57"/>
      <c r="R105" s="57"/>
      <c r="S105" s="57"/>
    </row>
    <row r="106" spans="3:19" x14ac:dyDescent="0.15">
      <c r="C106" s="172" t="s">
        <v>452</v>
      </c>
      <c r="D106" s="10" t="s">
        <v>522</v>
      </c>
      <c r="F106" s="7"/>
      <c r="L106" t="s">
        <v>330</v>
      </c>
      <c r="M106" s="54">
        <v>7.1186945514116112E-2</v>
      </c>
      <c r="P106" s="57"/>
      <c r="Q106" s="57"/>
      <c r="R106" s="57"/>
      <c r="S106" s="57"/>
    </row>
    <row r="107" spans="3:19" x14ac:dyDescent="0.15">
      <c r="C107" s="121" t="s">
        <v>467</v>
      </c>
      <c r="D107" s="8"/>
      <c r="E107" s="14"/>
      <c r="L107" t="s">
        <v>331</v>
      </c>
      <c r="M107" s="54">
        <v>0.30487415696870424</v>
      </c>
      <c r="N107" t="s">
        <v>417</v>
      </c>
      <c r="R107" s="24"/>
    </row>
    <row r="108" spans="3:19" x14ac:dyDescent="0.15">
      <c r="C108" s="30" t="s">
        <v>327</v>
      </c>
      <c r="D108" t="s">
        <v>202</v>
      </c>
      <c r="E108" t="s">
        <v>178</v>
      </c>
      <c r="F108" s="24" t="s">
        <v>329</v>
      </c>
      <c r="G108" s="24" t="s">
        <v>329</v>
      </c>
      <c r="H108" t="s">
        <v>184</v>
      </c>
      <c r="I108" t="s">
        <v>187</v>
      </c>
      <c r="L108" s="58" t="s">
        <v>16</v>
      </c>
      <c r="M108" s="58">
        <f>M107+M106</f>
        <v>0.37606110248282032</v>
      </c>
      <c r="N108" t="s">
        <v>202</v>
      </c>
      <c r="O108" t="s">
        <v>178</v>
      </c>
      <c r="P108" s="24" t="s">
        <v>329</v>
      </c>
      <c r="Q108" s="24" t="s">
        <v>329</v>
      </c>
    </row>
    <row r="109" spans="3:19" x14ac:dyDescent="0.15">
      <c r="C109" s="74" t="s">
        <v>498</v>
      </c>
      <c r="D109" s="20"/>
      <c r="E109" s="202"/>
      <c r="F109" s="20"/>
      <c r="G109" s="7"/>
      <c r="H109" s="14"/>
      <c r="I109" s="14"/>
      <c r="J109" s="58"/>
      <c r="K109" t="s">
        <v>184</v>
      </c>
      <c r="N109" s="20"/>
      <c r="O109" s="20"/>
      <c r="P109" s="20"/>
      <c r="Q109" s="7"/>
    </row>
    <row r="110" spans="3:19" ht="14.25" customHeight="1" x14ac:dyDescent="0.15">
      <c r="C110" s="95" t="s">
        <v>500</v>
      </c>
      <c r="D110" s="20">
        <f>(E110+F110)</f>
        <v>69.20211284386103</v>
      </c>
      <c r="E110" s="213">
        <v>50.29</v>
      </c>
      <c r="F110" s="20">
        <f>+E110*G110</f>
        <v>18.912112843861035</v>
      </c>
      <c r="G110" s="7">
        <f>M$108</f>
        <v>0.37606110248282032</v>
      </c>
      <c r="H110" s="14">
        <f>(DefaultData!D24*G24)/(D110*(52*40))</f>
        <v>27.983460637888058</v>
      </c>
      <c r="I110" s="14">
        <f>('STEP 3 - Edit Project Data'!B46*'STEP 3 - Edit Project Data'!E46)/(DefaultData!N110*(40*52))</f>
        <v>27.983460637888058</v>
      </c>
      <c r="J110" s="58"/>
      <c r="K110">
        <f>D110*52*40</f>
        <v>143940.39471523094</v>
      </c>
      <c r="N110" s="20">
        <f>(O110+P110)</f>
        <v>69.20211284386103</v>
      </c>
      <c r="O110" s="20">
        <f>'STEP 3 - Edit Project Data'!B116</f>
        <v>50.29</v>
      </c>
      <c r="P110" s="20">
        <f>+O110*Q110</f>
        <v>18.912112843861035</v>
      </c>
      <c r="Q110" s="7">
        <f>'STEP 3 - Edit Project Data'!D116</f>
        <v>0.37606110248282032</v>
      </c>
      <c r="R110">
        <f>N110*52*40</f>
        <v>143940.39471523094</v>
      </c>
    </row>
    <row r="111" spans="3:19" x14ac:dyDescent="0.15">
      <c r="C111" s="95" t="s">
        <v>501</v>
      </c>
      <c r="D111" s="20">
        <f>(E111+F111)</f>
        <v>71.747825883454254</v>
      </c>
      <c r="E111" s="213">
        <v>52.14</v>
      </c>
      <c r="F111" s="20">
        <f>+E111*G111</f>
        <v>19.60782588345425</v>
      </c>
      <c r="G111" s="7">
        <f>M$108</f>
        <v>0.37606110248282032</v>
      </c>
      <c r="H111" s="14">
        <f>(DefaultData!D25*G25)/(D111*(52*40))</f>
        <v>39.149778988364716</v>
      </c>
      <c r="I111" s="14">
        <f>('STEP 3 - Edit Project Data'!B47*'STEP 3 - Edit Project Data'!E47)/(DefaultData!N111*(40*52))</f>
        <v>39.149778988364716</v>
      </c>
      <c r="J111" s="58"/>
      <c r="K111">
        <f>D111*52*40</f>
        <v>149235.47783758485</v>
      </c>
      <c r="N111" s="20">
        <f>(O111+P111)</f>
        <v>71.747825883454254</v>
      </c>
      <c r="O111" s="20">
        <f>'STEP 3 - Edit Project Data'!B117</f>
        <v>52.14</v>
      </c>
      <c r="P111" s="20">
        <f>+O111*Q111</f>
        <v>19.60782588345425</v>
      </c>
      <c r="Q111" s="7">
        <f>'STEP 3 - Edit Project Data'!D117</f>
        <v>0.37606110248282032</v>
      </c>
      <c r="R111">
        <f>N111*52*40</f>
        <v>149235.47783758485</v>
      </c>
    </row>
    <row r="112" spans="3:19" x14ac:dyDescent="0.15">
      <c r="C112" s="95" t="s">
        <v>502</v>
      </c>
      <c r="D112" s="20">
        <f>(E112+F112)</f>
        <v>76.784209518541374</v>
      </c>
      <c r="E112" s="213">
        <v>55.8</v>
      </c>
      <c r="F112" s="20">
        <f>+E112*G112</f>
        <v>20.984209518541373</v>
      </c>
      <c r="G112" s="7">
        <f>M$108</f>
        <v>0.37606110248282032</v>
      </c>
      <c r="H112" s="14">
        <f>(DefaultData!D26*G26)/(D112*(52*40))</f>
        <v>7.7751347331317593</v>
      </c>
      <c r="I112" s="14">
        <f>('STEP 3 - Edit Project Data'!B48*'STEP 3 - Edit Project Data'!E48)/(DefaultData!N112*(40*52))</f>
        <v>7.7751347331317593</v>
      </c>
      <c r="J112" s="58"/>
      <c r="K112">
        <f>D112*52*40</f>
        <v>159711.15579856606</v>
      </c>
      <c r="N112" s="20">
        <f>(O112+P112)</f>
        <v>76.784209518541374</v>
      </c>
      <c r="O112" s="20">
        <f>'STEP 3 - Edit Project Data'!B118</f>
        <v>55.8</v>
      </c>
      <c r="P112" s="20">
        <f>+O112*Q112</f>
        <v>20.984209518541373</v>
      </c>
      <c r="Q112" s="7">
        <f>'STEP 3 - Edit Project Data'!D118</f>
        <v>0.37606110248282032</v>
      </c>
      <c r="R112">
        <f>N112*52*40</f>
        <v>159711.15579856606</v>
      </c>
    </row>
    <row r="113" spans="3:26" x14ac:dyDescent="0.15">
      <c r="C113" s="95" t="s">
        <v>503</v>
      </c>
      <c r="D113" s="20">
        <f>(E113+F113)</f>
        <v>64.716153649767037</v>
      </c>
      <c r="E113" s="202">
        <v>47.03</v>
      </c>
      <c r="F113" s="20">
        <f>+E113*G113</f>
        <v>17.686153649767039</v>
      </c>
      <c r="G113" s="7">
        <f>M$108</f>
        <v>0.37606110248282032</v>
      </c>
      <c r="H113" s="14">
        <f>(DefaultData!D27*G27)/(D113*(52*40))</f>
        <v>0</v>
      </c>
      <c r="I113" s="14">
        <f>('STEP 3 - Edit Project Data'!B49*'STEP 3 - Edit Project Data'!E49)/(DefaultData!N113*(40*52))</f>
        <v>0</v>
      </c>
      <c r="J113" s="58"/>
      <c r="K113">
        <f>D113*52*40</f>
        <v>134609.59959151543</v>
      </c>
      <c r="N113" s="20">
        <f>(O113+P113)</f>
        <v>64.716153649767037</v>
      </c>
      <c r="O113" s="20">
        <f>'STEP 3 - Edit Project Data'!B119</f>
        <v>47.03</v>
      </c>
      <c r="P113" s="20">
        <f>+O113*Q113</f>
        <v>17.686153649767039</v>
      </c>
      <c r="Q113" s="7">
        <f>'STEP 3 - Edit Project Data'!D119</f>
        <v>0.37606110248282032</v>
      </c>
      <c r="R113">
        <f>N113*52*40</f>
        <v>134609.59959151543</v>
      </c>
    </row>
    <row r="114" spans="3:26" x14ac:dyDescent="0.15">
      <c r="C114" s="74" t="s">
        <v>499</v>
      </c>
      <c r="E114" s="14">
        <f>SUM(E110:E113)</f>
        <v>205.26000000000002</v>
      </c>
      <c r="F114" s="24"/>
      <c r="G114" s="14">
        <f>SUM(G110:G113)</f>
        <v>1.5042444099312813</v>
      </c>
      <c r="H114" s="24" t="s">
        <v>188</v>
      </c>
      <c r="M114" s="54"/>
      <c r="O114">
        <f>SUM(O110:O113)</f>
        <v>205.26000000000002</v>
      </c>
      <c r="P114" s="24"/>
      <c r="Q114">
        <f>SUM(Q110:Q113)</f>
        <v>1.5042444099312813</v>
      </c>
      <c r="Z114" t="s">
        <v>523</v>
      </c>
    </row>
    <row r="115" spans="3:26" x14ac:dyDescent="0.15">
      <c r="C115" s="33" t="s">
        <v>201</v>
      </c>
      <c r="D115" s="20">
        <f>(E115+F115)</f>
        <v>34.147001810959736</v>
      </c>
      <c r="E115" s="213">
        <f>25*R7</f>
        <v>24.815033103797841</v>
      </c>
      <c r="F115" s="20">
        <f>+E115*G115</f>
        <v>9.3319687071618986</v>
      </c>
      <c r="G115" s="7">
        <f>M108</f>
        <v>0.37606110248282032</v>
      </c>
      <c r="H115" s="14">
        <f>(DefaultData!D55*G55)/(D115*(52*40))</f>
        <v>10.799999999999999</v>
      </c>
      <c r="I115" s="14">
        <f>(Calculations!D66*Calculations!E66)/(DefaultData!N115*(40*52))</f>
        <v>9.2212949010786591</v>
      </c>
      <c r="J115" s="58"/>
      <c r="K115">
        <f>D115*52*40</f>
        <v>71025.763766796255</v>
      </c>
      <c r="N115" s="20">
        <f>(O115+P115)</f>
        <v>34.147001810959736</v>
      </c>
      <c r="O115" s="20">
        <f>'STEP 3 - Edit Project Data'!B121</f>
        <v>24.815033103797841</v>
      </c>
      <c r="P115" s="20">
        <f>+O115*Q115</f>
        <v>9.3319687071618986</v>
      </c>
      <c r="Q115" s="7">
        <f>'STEP 3 - Edit Project Data'!D121</f>
        <v>0.37606110248282032</v>
      </c>
      <c r="R115">
        <f>N115*52*40</f>
        <v>71025.763766796255</v>
      </c>
      <c r="S115">
        <f>R115*K4</f>
        <v>767078.24868139951</v>
      </c>
      <c r="T115" s="20">
        <f>(U115+V115)</f>
        <v>34.401527562070505</v>
      </c>
      <c r="U115" s="213">
        <f>25</f>
        <v>25</v>
      </c>
      <c r="V115" s="20">
        <f>+U115*W115</f>
        <v>9.4015275620705072</v>
      </c>
      <c r="W115" s="7">
        <f>M108</f>
        <v>0.37606110248282032</v>
      </c>
      <c r="X115">
        <f>T115*52*40</f>
        <v>71555.177329106649</v>
      </c>
      <c r="Y115">
        <f>X115*K4</f>
        <v>772795.91515435174</v>
      </c>
    </row>
    <row r="116" spans="3:26" x14ac:dyDescent="0.15">
      <c r="C116" s="2" t="s">
        <v>409</v>
      </c>
      <c r="D116" s="20">
        <f>(E116+F116)</f>
        <v>21.854081159014232</v>
      </c>
      <c r="E116" s="213">
        <f>16*R7</f>
        <v>15.881621186430618</v>
      </c>
      <c r="F116" s="20">
        <f>+E116*G116</f>
        <v>5.9724599725836152</v>
      </c>
      <c r="G116" s="7">
        <f>G115</f>
        <v>0.37606110248282032</v>
      </c>
      <c r="H116" s="14">
        <f>(DefaultData!D56*G56)/(D116*(52*40))</f>
        <v>1.6</v>
      </c>
      <c r="I116" s="14">
        <f>(Calculations!D67*Calculations!E67)/(DefaultData!N116*(40*52))</f>
        <v>1.8060654843408583</v>
      </c>
      <c r="J116" s="58"/>
      <c r="K116">
        <f>D116*52*40</f>
        <v>45456.488810749608</v>
      </c>
      <c r="N116" s="20">
        <f>(O116+P116)</f>
        <v>21.854081159014232</v>
      </c>
      <c r="O116" s="20">
        <f>'STEP 3 - Edit Project Data'!B122</f>
        <v>15.881621186430618</v>
      </c>
      <c r="P116" s="20">
        <f>+O116*Q116</f>
        <v>5.9724599725836152</v>
      </c>
      <c r="Q116" s="7">
        <f>'STEP 3 - Edit Project Data'!D122</f>
        <v>0.37606110248282032</v>
      </c>
      <c r="R116">
        <f>N116*52*40</f>
        <v>45456.488810749608</v>
      </c>
      <c r="S116">
        <f>R116*K5</f>
        <v>72730.38209719937</v>
      </c>
      <c r="T116" s="20">
        <f>(U116+V116)</f>
        <v>22.016977639725127</v>
      </c>
      <c r="U116" s="213">
        <f>16</f>
        <v>16</v>
      </c>
      <c r="V116" s="20">
        <f>+U116*W116</f>
        <v>6.0169776397251251</v>
      </c>
      <c r="W116" s="7">
        <f>W115</f>
        <v>0.37606110248282032</v>
      </c>
      <c r="X116">
        <f>T116*52*40</f>
        <v>45795.313490628265</v>
      </c>
      <c r="Y116">
        <f>X116*K5</f>
        <v>73272.501585005215</v>
      </c>
    </row>
    <row r="117" spans="3:26" x14ac:dyDescent="0.15">
      <c r="C117" s="2" t="s">
        <v>410</v>
      </c>
      <c r="D117" s="20">
        <f>(E117+F117)</f>
        <v>54.635202897535585</v>
      </c>
      <c r="E117" s="213">
        <f>40*R7</f>
        <v>39.704052966076546</v>
      </c>
      <c r="F117" s="20">
        <f>+E117*G117</f>
        <v>14.931149931459037</v>
      </c>
      <c r="G117" s="7">
        <f>G116</f>
        <v>0.37606110248282032</v>
      </c>
      <c r="H117" s="14">
        <f>(DefaultData!D57*G57)/(D117*(52*40))</f>
        <v>1.2</v>
      </c>
      <c r="I117" s="14">
        <f>(Calculations!D68*Calculations!E68)/(DefaultData!N117*(40*52))</f>
        <v>0.941507943703769</v>
      </c>
      <c r="J117" s="58"/>
      <c r="K117">
        <f>D117*52*40</f>
        <v>113641.22202687402</v>
      </c>
      <c r="N117" s="20">
        <f>(O117+P117)</f>
        <v>54.635202897535585</v>
      </c>
      <c r="O117" s="20">
        <f>'STEP 3 - Edit Project Data'!B123</f>
        <v>39.704052966076546</v>
      </c>
      <c r="P117" s="20">
        <f>+O117*Q117</f>
        <v>14.931149931459037</v>
      </c>
      <c r="Q117" s="7">
        <f>'STEP 3 - Edit Project Data'!D123</f>
        <v>0.37606110248282032</v>
      </c>
      <c r="R117">
        <f>N117*52*40</f>
        <v>113641.22202687402</v>
      </c>
      <c r="S117">
        <f>R117*K6</f>
        <v>136369.46643224882</v>
      </c>
      <c r="T117" s="20">
        <f>(U117+V117)</f>
        <v>55.042444099312817</v>
      </c>
      <c r="U117" s="213">
        <f>40</f>
        <v>40</v>
      </c>
      <c r="V117" s="20">
        <f>+U117*W117</f>
        <v>15.042444099312814</v>
      </c>
      <c r="W117" s="7">
        <f>W116</f>
        <v>0.37606110248282032</v>
      </c>
      <c r="X117">
        <f>T117*52*40</f>
        <v>114488.28372657066</v>
      </c>
      <c r="Y117">
        <f>X117*K6</f>
        <v>137385.94047188479</v>
      </c>
    </row>
    <row r="118" spans="3:26" x14ac:dyDescent="0.15">
      <c r="E118" s="138">
        <f>SUM(E115:E117)</f>
        <v>80.400707256304997</v>
      </c>
      <c r="G118" s="138">
        <f>SUM(G115:G117)</f>
        <v>1.1281833074484608</v>
      </c>
      <c r="H118" s="14">
        <f>SUM(H115:H117)</f>
        <v>13.599999999999998</v>
      </c>
      <c r="I118" s="14">
        <f>SUM(I115:I117)</f>
        <v>11.968868329123286</v>
      </c>
      <c r="O118">
        <f>SUM(O115:O117)</f>
        <v>80.400707256304997</v>
      </c>
      <c r="Q118">
        <f>SUM(Q115:Q117)</f>
        <v>1.1281833074484608</v>
      </c>
      <c r="R118" s="14"/>
      <c r="S118" s="14"/>
      <c r="Y118">
        <f>SUM(Y115:Y117)</f>
        <v>983454.35721124173</v>
      </c>
    </row>
    <row r="119" spans="3:26" x14ac:dyDescent="0.15">
      <c r="C119" s="1" t="s">
        <v>315</v>
      </c>
      <c r="P119" s="57"/>
      <c r="Q119" s="57"/>
      <c r="R119" s="57"/>
      <c r="S119" s="57"/>
      <c r="Y119">
        <f>D58-Y118</f>
        <v>-7276.2600003940752</v>
      </c>
      <c r="Z119" s="20">
        <f>Y119/(E5*1000)</f>
        <v>-2.4254200001313585E-2</v>
      </c>
    </row>
    <row r="120" spans="3:26" x14ac:dyDescent="0.15">
      <c r="D120" t="s">
        <v>76</v>
      </c>
      <c r="E120" t="s">
        <v>148</v>
      </c>
      <c r="F120" t="s">
        <v>77</v>
      </c>
      <c r="G120" t="s">
        <v>317</v>
      </c>
      <c r="H120" t="s">
        <v>150</v>
      </c>
      <c r="I120" t="s">
        <v>151</v>
      </c>
      <c r="J120" t="s">
        <v>152</v>
      </c>
      <c r="K120" t="s">
        <v>153</v>
      </c>
      <c r="L120" t="s">
        <v>78</v>
      </c>
      <c r="M120" t="s">
        <v>79</v>
      </c>
      <c r="N120" t="s">
        <v>154</v>
      </c>
      <c r="O120" t="s">
        <v>316</v>
      </c>
      <c r="P120" s="57" t="s">
        <v>156</v>
      </c>
      <c r="Q120" s="57" t="s">
        <v>80</v>
      </c>
      <c r="R120" s="57" t="s">
        <v>16</v>
      </c>
      <c r="S120" s="57"/>
    </row>
    <row r="121" spans="3:26" ht="17" x14ac:dyDescent="0.15">
      <c r="C121" s="6" t="s">
        <v>76</v>
      </c>
      <c r="D121" s="42">
        <v>0.58366899999999999</v>
      </c>
      <c r="E121" s="42">
        <v>0</v>
      </c>
      <c r="F121" s="42">
        <v>0</v>
      </c>
      <c r="G121" s="42">
        <v>0</v>
      </c>
      <c r="H121" s="42">
        <v>0</v>
      </c>
      <c r="I121" s="42">
        <v>0</v>
      </c>
      <c r="J121" s="42">
        <v>0</v>
      </c>
      <c r="K121" s="42">
        <v>5.1572E-2</v>
      </c>
      <c r="L121" s="42">
        <v>7.2450000000000001E-2</v>
      </c>
      <c r="M121" s="42">
        <v>0.29230899999999999</v>
      </c>
      <c r="N121" s="42">
        <v>0</v>
      </c>
      <c r="O121" s="42">
        <v>0</v>
      </c>
      <c r="P121" s="42">
        <v>0</v>
      </c>
      <c r="Q121" s="42">
        <v>0</v>
      </c>
      <c r="R121" s="85">
        <f>SUM(D121:Q121)</f>
        <v>1</v>
      </c>
      <c r="S121" s="85"/>
    </row>
    <row r="122" spans="3:26" ht="17" x14ac:dyDescent="0.15">
      <c r="C122" s="6" t="s">
        <v>148</v>
      </c>
      <c r="D122" s="42">
        <v>0</v>
      </c>
      <c r="E122" s="42">
        <v>0.36205100000000001</v>
      </c>
      <c r="F122" s="42">
        <v>0</v>
      </c>
      <c r="G122" s="42">
        <v>0</v>
      </c>
      <c r="H122" s="42">
        <v>0</v>
      </c>
      <c r="I122" s="42">
        <v>0</v>
      </c>
      <c r="J122" s="42">
        <v>0</v>
      </c>
      <c r="K122" s="42">
        <f>0.284423+0.346126</f>
        <v>0.63054900000000003</v>
      </c>
      <c r="L122" s="42">
        <v>7.4000000000000003E-3</v>
      </c>
      <c r="M122" s="42">
        <v>0</v>
      </c>
      <c r="N122" s="42">
        <v>0</v>
      </c>
      <c r="O122" s="42">
        <v>0</v>
      </c>
      <c r="P122" s="42">
        <v>0</v>
      </c>
      <c r="Q122" s="42">
        <v>0</v>
      </c>
      <c r="R122" s="85">
        <f t="shared" ref="R122:R134" si="44">SUM(D122:Q122)</f>
        <v>1</v>
      </c>
      <c r="S122" s="85"/>
    </row>
    <row r="123" spans="3:26" ht="17" x14ac:dyDescent="0.15">
      <c r="C123" s="6" t="s">
        <v>77</v>
      </c>
      <c r="D123" s="42">
        <v>0</v>
      </c>
      <c r="E123" s="42">
        <v>0</v>
      </c>
      <c r="F123" s="42">
        <v>1</v>
      </c>
      <c r="G123" s="42">
        <v>0</v>
      </c>
      <c r="H123" s="42">
        <v>0</v>
      </c>
      <c r="I123" s="42">
        <v>0</v>
      </c>
      <c r="J123" s="42">
        <v>0</v>
      </c>
      <c r="K123" s="42">
        <v>0</v>
      </c>
      <c r="L123" s="42">
        <v>0</v>
      </c>
      <c r="M123" s="42">
        <v>0</v>
      </c>
      <c r="N123" s="42">
        <v>0</v>
      </c>
      <c r="O123" s="42">
        <v>0</v>
      </c>
      <c r="P123" s="42">
        <v>0</v>
      </c>
      <c r="Q123" s="42">
        <v>0</v>
      </c>
      <c r="R123" s="85">
        <f t="shared" si="44"/>
        <v>1</v>
      </c>
      <c r="S123" s="85"/>
    </row>
    <row r="124" spans="3:26" ht="17" x14ac:dyDescent="0.15">
      <c r="C124" s="6" t="s">
        <v>149</v>
      </c>
      <c r="D124" s="42">
        <v>0</v>
      </c>
      <c r="E124" s="42">
        <v>0</v>
      </c>
      <c r="F124" s="42">
        <v>0</v>
      </c>
      <c r="G124" s="42">
        <v>0.55841200000000002</v>
      </c>
      <c r="H124" s="42">
        <v>0</v>
      </c>
      <c r="I124" s="42">
        <v>0</v>
      </c>
      <c r="J124" s="42">
        <v>0</v>
      </c>
      <c r="K124" s="42">
        <v>2.3014E-2</v>
      </c>
      <c r="L124" s="42">
        <f>0.080398+0.338175</f>
        <v>0.41857299999999997</v>
      </c>
      <c r="M124" s="42">
        <v>0</v>
      </c>
      <c r="N124" s="42">
        <v>0</v>
      </c>
      <c r="O124" s="42">
        <v>0</v>
      </c>
      <c r="P124" s="42">
        <v>0</v>
      </c>
      <c r="Q124" s="42">
        <v>0</v>
      </c>
      <c r="R124" s="85">
        <f t="shared" si="44"/>
        <v>0.99999899999999997</v>
      </c>
      <c r="S124" s="85"/>
    </row>
    <row r="125" spans="3:26" ht="17" x14ac:dyDescent="0.15">
      <c r="C125" s="6" t="s">
        <v>150</v>
      </c>
      <c r="D125" s="42">
        <v>0</v>
      </c>
      <c r="E125" s="42">
        <v>0</v>
      </c>
      <c r="F125" s="42">
        <v>0</v>
      </c>
      <c r="G125" s="42">
        <v>0</v>
      </c>
      <c r="H125" s="42">
        <v>1</v>
      </c>
      <c r="I125" s="42">
        <v>0</v>
      </c>
      <c r="J125" s="42">
        <v>0</v>
      </c>
      <c r="K125" s="42">
        <v>0</v>
      </c>
      <c r="L125" s="42">
        <v>0</v>
      </c>
      <c r="M125" s="42">
        <v>0</v>
      </c>
      <c r="N125" s="42">
        <v>0</v>
      </c>
      <c r="O125" s="42">
        <v>0</v>
      </c>
      <c r="P125" s="42">
        <v>0</v>
      </c>
      <c r="Q125" s="42">
        <v>0</v>
      </c>
      <c r="R125" s="85">
        <f t="shared" si="44"/>
        <v>1</v>
      </c>
      <c r="S125" s="85"/>
    </row>
    <row r="126" spans="3:26" ht="17" x14ac:dyDescent="0.15">
      <c r="C126" s="6" t="s">
        <v>151</v>
      </c>
      <c r="D126" s="42">
        <v>0</v>
      </c>
      <c r="E126" s="42">
        <v>0</v>
      </c>
      <c r="F126" s="42">
        <v>0</v>
      </c>
      <c r="G126" s="42">
        <v>0</v>
      </c>
      <c r="H126" s="42">
        <v>0</v>
      </c>
      <c r="I126" s="42">
        <v>0.63125100000000001</v>
      </c>
      <c r="J126" s="42">
        <v>0</v>
      </c>
      <c r="K126" s="42">
        <f>0.000889</f>
        <v>8.8900000000000003E-4</v>
      </c>
      <c r="L126" s="42">
        <f>0.1018+0.266059</f>
        <v>0.36785899999999999</v>
      </c>
      <c r="M126" s="42">
        <v>0</v>
      </c>
      <c r="N126" s="42">
        <v>0</v>
      </c>
      <c r="O126" s="42">
        <v>0</v>
      </c>
      <c r="P126" s="42">
        <v>0</v>
      </c>
      <c r="Q126" s="42">
        <v>0</v>
      </c>
      <c r="R126" s="85">
        <f t="shared" si="44"/>
        <v>0.99999900000000008</v>
      </c>
      <c r="S126" s="85"/>
    </row>
    <row r="127" spans="3:26" ht="17" x14ac:dyDescent="0.15">
      <c r="C127" s="6" t="s">
        <v>152</v>
      </c>
      <c r="D127" s="42">
        <v>0</v>
      </c>
      <c r="E127" s="42">
        <v>0</v>
      </c>
      <c r="F127" s="42">
        <v>0</v>
      </c>
      <c r="G127" s="42">
        <v>0</v>
      </c>
      <c r="H127" s="42">
        <v>0</v>
      </c>
      <c r="I127" s="42">
        <v>0</v>
      </c>
      <c r="J127" s="42">
        <v>0.51277399999999995</v>
      </c>
      <c r="K127" s="42">
        <v>1.2135999999999999E-2</v>
      </c>
      <c r="L127" s="42">
        <f>0.075345+0.399745</f>
        <v>0.47509000000000001</v>
      </c>
      <c r="M127" s="42">
        <v>0</v>
      </c>
      <c r="N127" s="42">
        <v>0</v>
      </c>
      <c r="O127" s="42">
        <v>0</v>
      </c>
      <c r="P127" s="42">
        <v>0</v>
      </c>
      <c r="Q127" s="42">
        <v>0</v>
      </c>
      <c r="R127" s="85">
        <f t="shared" si="44"/>
        <v>1</v>
      </c>
      <c r="S127" s="85"/>
    </row>
    <row r="128" spans="3:26" ht="17" x14ac:dyDescent="0.15">
      <c r="C128" s="6" t="s">
        <v>153</v>
      </c>
      <c r="D128" s="42">
        <v>0</v>
      </c>
      <c r="E128" s="42">
        <v>0</v>
      </c>
      <c r="F128" s="42">
        <v>0</v>
      </c>
      <c r="G128" s="42">
        <v>0</v>
      </c>
      <c r="H128" s="42">
        <v>0</v>
      </c>
      <c r="I128" s="42">
        <v>0</v>
      </c>
      <c r="J128" s="42">
        <v>0</v>
      </c>
      <c r="K128" s="42">
        <v>1</v>
      </c>
      <c r="L128" s="42">
        <v>0</v>
      </c>
      <c r="M128" s="42">
        <v>0</v>
      </c>
      <c r="N128" s="42">
        <v>0</v>
      </c>
      <c r="O128" s="42">
        <v>0</v>
      </c>
      <c r="P128" s="42">
        <v>0</v>
      </c>
      <c r="Q128" s="42">
        <v>0</v>
      </c>
      <c r="R128" s="85">
        <f t="shared" si="44"/>
        <v>1</v>
      </c>
      <c r="S128" s="85"/>
    </row>
    <row r="129" spans="1:57" ht="17" x14ac:dyDescent="0.15">
      <c r="C129" s="6" t="s">
        <v>78</v>
      </c>
      <c r="D129" s="42">
        <v>0</v>
      </c>
      <c r="E129" s="42">
        <v>0</v>
      </c>
      <c r="F129" s="42">
        <v>0</v>
      </c>
      <c r="G129" s="42">
        <v>0</v>
      </c>
      <c r="H129" s="42">
        <v>0</v>
      </c>
      <c r="I129" s="42">
        <v>0</v>
      </c>
      <c r="J129" s="42">
        <v>0</v>
      </c>
      <c r="K129" s="42">
        <v>0</v>
      </c>
      <c r="L129" s="42">
        <v>1</v>
      </c>
      <c r="M129" s="42">
        <v>0</v>
      </c>
      <c r="N129" s="42">
        <v>0</v>
      </c>
      <c r="O129" s="42">
        <v>0</v>
      </c>
      <c r="P129" s="42">
        <v>0</v>
      </c>
      <c r="Q129" s="42">
        <v>0</v>
      </c>
      <c r="R129" s="85">
        <f t="shared" si="44"/>
        <v>1</v>
      </c>
      <c r="S129" s="85"/>
    </row>
    <row r="130" spans="1:57" ht="17" x14ac:dyDescent="0.15">
      <c r="C130" s="6" t="s">
        <v>79</v>
      </c>
      <c r="D130" s="42">
        <v>0</v>
      </c>
      <c r="E130" s="42">
        <v>0</v>
      </c>
      <c r="F130" s="42">
        <v>0</v>
      </c>
      <c r="G130" s="42">
        <v>0</v>
      </c>
      <c r="H130" s="42">
        <v>0</v>
      </c>
      <c r="I130" s="42">
        <v>0</v>
      </c>
      <c r="J130" s="42">
        <v>0</v>
      </c>
      <c r="K130" s="42">
        <v>0</v>
      </c>
      <c r="L130" s="42">
        <f>1-M130</f>
        <v>0.68871400000000005</v>
      </c>
      <c r="M130" s="42">
        <v>0.31128600000000001</v>
      </c>
      <c r="N130" s="42">
        <v>0</v>
      </c>
      <c r="O130" s="42">
        <v>0</v>
      </c>
      <c r="P130" s="42">
        <v>0</v>
      </c>
      <c r="Q130" s="42">
        <v>0</v>
      </c>
      <c r="R130" s="85">
        <f t="shared" si="44"/>
        <v>1</v>
      </c>
      <c r="S130" s="85"/>
    </row>
    <row r="131" spans="1:57" ht="17" x14ac:dyDescent="0.15">
      <c r="C131" s="6" t="s">
        <v>154</v>
      </c>
      <c r="D131" s="42">
        <v>0</v>
      </c>
      <c r="E131" s="42">
        <v>0</v>
      </c>
      <c r="F131" s="42">
        <v>0</v>
      </c>
      <c r="G131" s="42">
        <v>0</v>
      </c>
      <c r="H131" s="42">
        <v>0</v>
      </c>
      <c r="I131" s="42">
        <v>0</v>
      </c>
      <c r="J131" s="42">
        <v>0</v>
      </c>
      <c r="K131" s="42">
        <v>0</v>
      </c>
      <c r="L131" s="42">
        <v>0</v>
      </c>
      <c r="M131" s="42">
        <v>0</v>
      </c>
      <c r="N131" s="42">
        <v>1</v>
      </c>
      <c r="O131" s="42">
        <v>0</v>
      </c>
      <c r="P131" s="42">
        <v>0</v>
      </c>
      <c r="Q131" s="42">
        <v>0</v>
      </c>
      <c r="R131" s="85">
        <f t="shared" si="44"/>
        <v>1</v>
      </c>
      <c r="S131" s="85"/>
    </row>
    <row r="132" spans="1:57" ht="17" x14ac:dyDescent="0.15">
      <c r="C132" s="6" t="s">
        <v>155</v>
      </c>
      <c r="D132" s="42">
        <v>0</v>
      </c>
      <c r="E132" s="42">
        <v>0</v>
      </c>
      <c r="F132" s="42">
        <v>0</v>
      </c>
      <c r="G132" s="42">
        <v>0</v>
      </c>
      <c r="H132" s="42">
        <v>0</v>
      </c>
      <c r="I132" s="42">
        <v>0</v>
      </c>
      <c r="J132" s="42">
        <v>0</v>
      </c>
      <c r="K132" s="42">
        <v>4.2428E-2</v>
      </c>
      <c r="L132" s="42">
        <v>9.2082999999999998E-2</v>
      </c>
      <c r="M132" s="42">
        <v>0.361097</v>
      </c>
      <c r="N132" s="42">
        <v>0</v>
      </c>
      <c r="O132" s="42">
        <v>0.50439199999999995</v>
      </c>
      <c r="P132" s="42">
        <v>0</v>
      </c>
      <c r="Q132" s="42">
        <v>0</v>
      </c>
      <c r="R132" s="85">
        <f t="shared" si="44"/>
        <v>1</v>
      </c>
      <c r="S132" s="85"/>
    </row>
    <row r="133" spans="1:57" ht="17" x14ac:dyDescent="0.15">
      <c r="C133" s="6" t="s">
        <v>156</v>
      </c>
      <c r="D133" s="42">
        <v>0</v>
      </c>
      <c r="E133" s="42">
        <v>0</v>
      </c>
      <c r="F133" s="42">
        <v>0</v>
      </c>
      <c r="G133" s="42">
        <v>0</v>
      </c>
      <c r="H133" s="42">
        <v>0</v>
      </c>
      <c r="I133" s="42">
        <v>0</v>
      </c>
      <c r="J133" s="42">
        <v>0</v>
      </c>
      <c r="K133" s="42">
        <v>0</v>
      </c>
      <c r="L133" s="42">
        <v>0</v>
      </c>
      <c r="M133" s="42">
        <v>0</v>
      </c>
      <c r="N133" s="42">
        <v>0</v>
      </c>
      <c r="O133" s="42">
        <v>0</v>
      </c>
      <c r="P133" s="42">
        <v>1</v>
      </c>
      <c r="Q133" s="42">
        <v>0</v>
      </c>
      <c r="R133" s="85">
        <f t="shared" si="44"/>
        <v>1</v>
      </c>
      <c r="S133" s="85"/>
    </row>
    <row r="134" spans="1:57" ht="17" x14ac:dyDescent="0.15">
      <c r="C134" s="6" t="s">
        <v>80</v>
      </c>
      <c r="D134" s="42">
        <v>0</v>
      </c>
      <c r="E134" s="42">
        <v>0</v>
      </c>
      <c r="F134" s="42">
        <v>0</v>
      </c>
      <c r="G134" s="42">
        <v>0</v>
      </c>
      <c r="H134" s="42">
        <v>0</v>
      </c>
      <c r="I134" s="42">
        <v>0</v>
      </c>
      <c r="J134" s="42">
        <v>0</v>
      </c>
      <c r="K134" s="42">
        <v>0</v>
      </c>
      <c r="L134" s="42">
        <v>0</v>
      </c>
      <c r="M134" s="42">
        <v>0</v>
      </c>
      <c r="N134" s="42">
        <v>0</v>
      </c>
      <c r="O134" s="42">
        <v>0</v>
      </c>
      <c r="P134" s="42">
        <v>0</v>
      </c>
      <c r="Q134" s="42">
        <v>1</v>
      </c>
      <c r="R134" s="85">
        <f t="shared" si="44"/>
        <v>1</v>
      </c>
      <c r="S134" s="85"/>
    </row>
    <row r="135" spans="1:57" x14ac:dyDescent="0.15">
      <c r="D135" s="42"/>
      <c r="E135" s="42"/>
      <c r="F135" s="42"/>
      <c r="G135" s="42"/>
      <c r="H135" s="42"/>
      <c r="P135" s="57"/>
      <c r="Q135" s="57"/>
    </row>
    <row r="136" spans="1:57" x14ac:dyDescent="0.15">
      <c r="C136" s="283" t="s">
        <v>733</v>
      </c>
      <c r="P136" s="57"/>
      <c r="Q136" s="651" t="s">
        <v>750</v>
      </c>
      <c r="R136" s="283" t="s">
        <v>750</v>
      </c>
      <c r="S136" s="283" t="s">
        <v>742</v>
      </c>
      <c r="T136" s="283" t="s">
        <v>742</v>
      </c>
      <c r="Z136" s="283" t="s">
        <v>750</v>
      </c>
      <c r="AC136" s="283" t="s">
        <v>742</v>
      </c>
      <c r="AD136" s="283" t="s">
        <v>742</v>
      </c>
      <c r="AG136" s="283" t="s">
        <v>742</v>
      </c>
      <c r="AO136" s="283" t="s">
        <v>750</v>
      </c>
      <c r="AP136" s="283" t="s">
        <v>742</v>
      </c>
      <c r="AU136" s="283" t="s">
        <v>742</v>
      </c>
      <c r="AW136" s="283" t="s">
        <v>742</v>
      </c>
      <c r="BD136" s="283" t="s">
        <v>750</v>
      </c>
      <c r="BE136" s="283" t="s">
        <v>742</v>
      </c>
    </row>
    <row r="137" spans="1:57" x14ac:dyDescent="0.15">
      <c r="A137" s="157"/>
      <c r="B137" s="157"/>
      <c r="D137" t="s">
        <v>82</v>
      </c>
      <c r="E137" t="s">
        <v>83</v>
      </c>
      <c r="F137" t="s">
        <v>84</v>
      </c>
      <c r="G137" t="s">
        <v>85</v>
      </c>
      <c r="H137" t="s">
        <v>86</v>
      </c>
      <c r="I137" t="s">
        <v>87</v>
      </c>
      <c r="J137" t="s">
        <v>88</v>
      </c>
      <c r="K137" t="s">
        <v>89</v>
      </c>
      <c r="L137" t="s">
        <v>90</v>
      </c>
      <c r="M137" t="s">
        <v>91</v>
      </c>
      <c r="N137" t="s">
        <v>92</v>
      </c>
      <c r="O137" t="s">
        <v>93</v>
      </c>
      <c r="P137" t="s">
        <v>94</v>
      </c>
      <c r="Q137" t="s">
        <v>95</v>
      </c>
      <c r="R137" t="s">
        <v>96</v>
      </c>
      <c r="S137" t="s">
        <v>97</v>
      </c>
      <c r="T137" t="s">
        <v>98</v>
      </c>
      <c r="U137" t="s">
        <v>99</v>
      </c>
      <c r="V137" t="s">
        <v>100</v>
      </c>
      <c r="W137" t="s">
        <v>101</v>
      </c>
      <c r="X137" t="s">
        <v>102</v>
      </c>
      <c r="Y137" t="s">
        <v>103</v>
      </c>
      <c r="Z137" t="s">
        <v>104</v>
      </c>
      <c r="AA137" t="s">
        <v>105</v>
      </c>
      <c r="AB137" t="s">
        <v>106</v>
      </c>
      <c r="AC137" t="s">
        <v>107</v>
      </c>
      <c r="AD137" t="s">
        <v>108</v>
      </c>
      <c r="AE137" s="38" t="s">
        <v>322</v>
      </c>
      <c r="AF137" s="38" t="s">
        <v>321</v>
      </c>
      <c r="AG137" t="s">
        <v>109</v>
      </c>
      <c r="AH137" t="s">
        <v>110</v>
      </c>
      <c r="AI137" t="s">
        <v>111</v>
      </c>
      <c r="AJ137" t="s">
        <v>112</v>
      </c>
      <c r="AK137" t="s">
        <v>113</v>
      </c>
      <c r="AL137" t="s">
        <v>114</v>
      </c>
      <c r="AM137" t="s">
        <v>115</v>
      </c>
      <c r="AN137" t="s">
        <v>116</v>
      </c>
      <c r="AO137" t="s">
        <v>117</v>
      </c>
      <c r="AP137" t="s">
        <v>118</v>
      </c>
      <c r="AQ137" t="s">
        <v>119</v>
      </c>
      <c r="AR137" t="s">
        <v>120</v>
      </c>
      <c r="AS137" t="s">
        <v>121</v>
      </c>
      <c r="AT137" t="s">
        <v>122</v>
      </c>
      <c r="AU137" t="s">
        <v>123</v>
      </c>
      <c r="AV137" t="s">
        <v>124</v>
      </c>
      <c r="AW137" t="s">
        <v>125</v>
      </c>
      <c r="AX137" s="13" t="s">
        <v>585</v>
      </c>
      <c r="AY137" t="s">
        <v>126</v>
      </c>
      <c r="AZ137" t="s">
        <v>127</v>
      </c>
      <c r="BA137" t="s">
        <v>128</v>
      </c>
      <c r="BB137" t="s">
        <v>129</v>
      </c>
      <c r="BC137" t="s">
        <v>130</v>
      </c>
      <c r="BD137" t="s">
        <v>131</v>
      </c>
      <c r="BE137" t="s">
        <v>81</v>
      </c>
    </row>
    <row r="138" spans="1:57" x14ac:dyDescent="0.15">
      <c r="C138" s="25" t="s">
        <v>438</v>
      </c>
      <c r="D138" s="169"/>
      <c r="E138" s="169">
        <v>15651</v>
      </c>
      <c r="F138" s="169">
        <v>6173</v>
      </c>
      <c r="G138" s="169">
        <v>9266</v>
      </c>
      <c r="H138" s="169">
        <v>15693</v>
      </c>
      <c r="I138" s="169">
        <v>2971</v>
      </c>
      <c r="J138" s="169"/>
      <c r="K138" s="169"/>
      <c r="L138" s="169"/>
      <c r="M138" s="169"/>
      <c r="N138" s="169"/>
      <c r="O138" s="169"/>
      <c r="P138" s="169">
        <v>13361</v>
      </c>
      <c r="Q138" s="169">
        <v>10080</v>
      </c>
      <c r="R138" s="169">
        <v>5179</v>
      </c>
      <c r="S138" s="169">
        <v>7244</v>
      </c>
      <c r="T138" s="169">
        <v>5130</v>
      </c>
      <c r="U138" s="169"/>
      <c r="V138" s="169"/>
      <c r="W138" s="169">
        <v>18418</v>
      </c>
      <c r="X138" s="169">
        <v>10471</v>
      </c>
      <c r="Y138" s="169">
        <v>8850</v>
      </c>
      <c r="Z138" s="169">
        <v>16282</v>
      </c>
      <c r="AA138" s="169">
        <v>5558</v>
      </c>
      <c r="AB138" s="169"/>
      <c r="AC138" s="169">
        <v>6257</v>
      </c>
      <c r="AD138" s="169">
        <v>5000</v>
      </c>
      <c r="AE138" s="169"/>
      <c r="AF138" s="169"/>
      <c r="AG138" s="169">
        <v>6085</v>
      </c>
      <c r="AH138" s="169">
        <v>7279</v>
      </c>
      <c r="AI138" s="169">
        <v>21622</v>
      </c>
      <c r="AJ138" s="169"/>
      <c r="AK138" s="169">
        <v>4619</v>
      </c>
      <c r="AL138" s="169">
        <v>14092</v>
      </c>
      <c r="AM138" s="169">
        <v>4808</v>
      </c>
      <c r="AN138" s="169">
        <v>3803</v>
      </c>
      <c r="AO138" s="169">
        <v>9602</v>
      </c>
      <c r="AP138" s="169">
        <v>13256</v>
      </c>
      <c r="AQ138" s="169">
        <v>15873</v>
      </c>
      <c r="AR138" s="169">
        <v>1461</v>
      </c>
      <c r="AS138" s="169">
        <v>26667</v>
      </c>
      <c r="AT138" s="169"/>
      <c r="AU138" s="169">
        <v>8832</v>
      </c>
      <c r="AV138" s="169">
        <v>6864</v>
      </c>
      <c r="AW138" s="169">
        <v>11448</v>
      </c>
      <c r="AX138">
        <v>5919</v>
      </c>
      <c r="AY138" s="169">
        <v>5115</v>
      </c>
      <c r="AZ138" s="169">
        <v>6711</v>
      </c>
      <c r="BA138" s="169">
        <v>9900</v>
      </c>
      <c r="BB138" s="169">
        <v>6177</v>
      </c>
      <c r="BC138" s="169">
        <v>5831</v>
      </c>
      <c r="BD138" s="169">
        <v>1939</v>
      </c>
      <c r="BE138" s="169">
        <v>5376</v>
      </c>
    </row>
    <row r="139" spans="1:57" x14ac:dyDescent="0.15">
      <c r="C139" s="25"/>
      <c r="P139" s="57"/>
      <c r="Q139" s="57"/>
    </row>
    <row r="140" spans="1:57" x14ac:dyDescent="0.15">
      <c r="C140" s="25" t="s">
        <v>439</v>
      </c>
      <c r="D140" s="45">
        <f>HLOOKUP(Calculations!$E$1,D137:BE138,2)</f>
        <v>2971</v>
      </c>
      <c r="P140" s="57"/>
      <c r="Q140" s="57"/>
    </row>
    <row r="141" spans="1:57" x14ac:dyDescent="0.15">
      <c r="D141" s="45">
        <f>IF(D140=0,"NA",D140)</f>
        <v>2971</v>
      </c>
      <c r="P141" s="57"/>
      <c r="Q141" s="57"/>
    </row>
    <row r="142" spans="1:57" x14ac:dyDescent="0.15">
      <c r="P142" s="57"/>
      <c r="Q142" s="57"/>
    </row>
    <row r="143" spans="1:57" x14ac:dyDescent="0.15">
      <c r="C143" s="25" t="s">
        <v>442</v>
      </c>
      <c r="D143" s="8">
        <f>AVERAGE(D138:BE138)</f>
        <v>9121.5750000000007</v>
      </c>
      <c r="P143" s="57"/>
      <c r="Q143" s="57"/>
    </row>
    <row r="144" spans="1:57" x14ac:dyDescent="0.15">
      <c r="C144" s="25" t="s">
        <v>441</v>
      </c>
      <c r="D144" s="8">
        <f>MEDIAN(D138:BE138)</f>
        <v>7054</v>
      </c>
      <c r="P144" s="57"/>
      <c r="Q144" s="57"/>
    </row>
    <row r="145" spans="3:58" x14ac:dyDescent="0.15">
      <c r="P145" s="57"/>
      <c r="Q145" s="57"/>
    </row>
    <row r="146" spans="3:58" x14ac:dyDescent="0.15">
      <c r="C146" s="235" t="s">
        <v>591</v>
      </c>
      <c r="D146" s="236">
        <v>0.04</v>
      </c>
      <c r="E146" s="236">
        <v>0</v>
      </c>
      <c r="F146" s="236">
        <v>5.6000000000000001E-2</v>
      </c>
      <c r="G146" s="236">
        <v>6.5000000000000002E-2</v>
      </c>
      <c r="H146" s="236">
        <v>7.2499999999999995E-2</v>
      </c>
      <c r="I146" s="236">
        <v>2.9000000000000001E-2</v>
      </c>
      <c r="J146" s="236">
        <v>6.3500000000000001E-2</v>
      </c>
      <c r="K146" s="236">
        <v>0</v>
      </c>
      <c r="L146" s="236">
        <v>5.7500000000000002E-2</v>
      </c>
      <c r="M146" s="236">
        <v>0.06</v>
      </c>
      <c r="N146" s="236">
        <v>0.04</v>
      </c>
      <c r="O146" s="236">
        <v>0.04</v>
      </c>
      <c r="P146" s="236">
        <v>0.06</v>
      </c>
      <c r="Q146" s="236">
        <v>6.25E-2</v>
      </c>
      <c r="R146" s="236">
        <v>7.0000000000000007E-2</v>
      </c>
      <c r="S146" s="236">
        <v>0.06</v>
      </c>
      <c r="T146" s="236">
        <v>6.5000000000000002E-2</v>
      </c>
      <c r="U146" s="236">
        <v>0.06</v>
      </c>
      <c r="V146" s="236">
        <v>4.4499999999999998E-2</v>
      </c>
      <c r="W146" s="236">
        <v>5.5E-2</v>
      </c>
      <c r="X146" s="236">
        <v>0.06</v>
      </c>
      <c r="Y146" s="236">
        <v>6.25E-2</v>
      </c>
      <c r="Z146" s="236">
        <v>0.06</v>
      </c>
      <c r="AA146" s="236">
        <v>6.8750000000000006E-2</v>
      </c>
      <c r="AB146" s="236">
        <v>7.0000000000000007E-2</v>
      </c>
      <c r="AC146" s="237">
        <v>4.2250000000000003E-2</v>
      </c>
      <c r="AD146" s="237">
        <v>0</v>
      </c>
      <c r="AE146" s="42" t="e">
        <f>$D150</f>
        <v>#N/A</v>
      </c>
      <c r="AF146" s="42" t="e">
        <f>$D150</f>
        <v>#N/A</v>
      </c>
      <c r="AG146" s="237">
        <v>5.5E-2</v>
      </c>
      <c r="AH146" s="237">
        <v>6.8500000000000005E-2</v>
      </c>
      <c r="AI146" s="237">
        <v>0</v>
      </c>
      <c r="AJ146" s="237">
        <v>6.6250000000000003E-2</v>
      </c>
      <c r="AK146" s="237">
        <v>5.1249999999999997E-2</v>
      </c>
      <c r="AL146" s="237">
        <v>0.04</v>
      </c>
      <c r="AM146" s="237">
        <v>4.7500000000000001E-2</v>
      </c>
      <c r="AN146" s="237">
        <v>0.05</v>
      </c>
      <c r="AO146" s="237">
        <v>5.7500000000000002E-2</v>
      </c>
      <c r="AP146" s="237">
        <v>4.4999999999999998E-2</v>
      </c>
      <c r="AQ146" s="237">
        <v>0</v>
      </c>
      <c r="AR146" s="237">
        <v>0.06</v>
      </c>
      <c r="AS146" s="237">
        <v>7.0000000000000007E-2</v>
      </c>
      <c r="AT146" s="237">
        <v>0.06</v>
      </c>
      <c r="AU146" s="237">
        <v>4.4999999999999998E-2</v>
      </c>
      <c r="AV146" s="237">
        <v>7.0000000000000007E-2</v>
      </c>
      <c r="AW146" s="237">
        <v>6.25E-2</v>
      </c>
      <c r="AX146" s="238">
        <v>4.7E-2</v>
      </c>
      <c r="AY146" s="237">
        <v>5.9499999999999997E-2</v>
      </c>
      <c r="AZ146" s="237">
        <v>0.06</v>
      </c>
      <c r="BA146" s="237">
        <v>5.2999999999999999E-2</v>
      </c>
      <c r="BB146" s="237">
        <v>6.5000000000000002E-2</v>
      </c>
      <c r="BC146" s="237">
        <v>0.06</v>
      </c>
      <c r="BD146" s="237">
        <v>0.05</v>
      </c>
      <c r="BE146" s="237">
        <v>0.04</v>
      </c>
      <c r="BF146" s="240" t="e">
        <f>AVERAGE(D146:BE146)</f>
        <v>#N/A</v>
      </c>
    </row>
    <row r="147" spans="3:58" x14ac:dyDescent="0.15">
      <c r="P147" s="57"/>
      <c r="Q147" s="57"/>
    </row>
    <row r="148" spans="3:58" x14ac:dyDescent="0.15">
      <c r="P148" s="57"/>
      <c r="Q148" s="57"/>
    </row>
    <row r="149" spans="3:58" x14ac:dyDescent="0.15">
      <c r="D149" s="42">
        <f>HLOOKUP('STEP 3 - Edit Project Data'!B13,DefaultData!$D$137:$BE$147,10)</f>
        <v>2.9000000000000001E-2</v>
      </c>
      <c r="P149" s="57"/>
      <c r="Q149" s="57"/>
    </row>
    <row r="150" spans="3:58" x14ac:dyDescent="0.15">
      <c r="D150" s="42" t="e">
        <f>HLOOKUP('User Add-in Location'!B5,DefaultData!$D$137:$BE$147,10)</f>
        <v>#N/A</v>
      </c>
      <c r="P150" s="57"/>
      <c r="Q150" s="57"/>
    </row>
    <row r="151" spans="3:58" x14ac:dyDescent="0.15">
      <c r="P151" s="57"/>
      <c r="Q151" s="57"/>
    </row>
    <row r="152" spans="3:58" x14ac:dyDescent="0.15">
      <c r="P152" s="57"/>
      <c r="Q152" s="57"/>
    </row>
    <row r="153" spans="3:58" x14ac:dyDescent="0.15">
      <c r="C153">
        <v>2016</v>
      </c>
      <c r="D153" t="s">
        <v>82</v>
      </c>
      <c r="E153" t="s">
        <v>83</v>
      </c>
      <c r="F153" t="s">
        <v>84</v>
      </c>
      <c r="G153" t="s">
        <v>85</v>
      </c>
      <c r="H153" t="s">
        <v>86</v>
      </c>
      <c r="I153" t="s">
        <v>87</v>
      </c>
      <c r="J153" t="s">
        <v>88</v>
      </c>
      <c r="K153" t="s">
        <v>89</v>
      </c>
      <c r="L153" t="s">
        <v>90</v>
      </c>
      <c r="M153" t="s">
        <v>91</v>
      </c>
      <c r="N153" t="s">
        <v>92</v>
      </c>
      <c r="O153" t="s">
        <v>93</v>
      </c>
      <c r="P153" s="57" t="s">
        <v>94</v>
      </c>
      <c r="Q153" s="57" t="s">
        <v>95</v>
      </c>
      <c r="R153" t="s">
        <v>96</v>
      </c>
      <c r="S153" t="s">
        <v>97</v>
      </c>
      <c r="T153" t="s">
        <v>98</v>
      </c>
      <c r="U153" t="s">
        <v>99</v>
      </c>
      <c r="V153" t="s">
        <v>100</v>
      </c>
      <c r="W153" t="s">
        <v>101</v>
      </c>
      <c r="X153" t="s">
        <v>102</v>
      </c>
      <c r="Y153" t="s">
        <v>103</v>
      </c>
      <c r="Z153" t="s">
        <v>104</v>
      </c>
      <c r="AA153" t="s">
        <v>105</v>
      </c>
      <c r="AB153" t="s">
        <v>106</v>
      </c>
      <c r="AC153" t="s">
        <v>107</v>
      </c>
      <c r="AD153" t="s">
        <v>108</v>
      </c>
      <c r="AE153" t="s">
        <v>322</v>
      </c>
      <c r="AF153" t="s">
        <v>321</v>
      </c>
      <c r="AG153" t="s">
        <v>109</v>
      </c>
      <c r="AH153" t="s">
        <v>110</v>
      </c>
      <c r="AI153" t="s">
        <v>111</v>
      </c>
      <c r="AJ153" t="s">
        <v>112</v>
      </c>
      <c r="AK153" t="s">
        <v>113</v>
      </c>
      <c r="AL153" t="s">
        <v>114</v>
      </c>
      <c r="AM153" t="s">
        <v>115</v>
      </c>
      <c r="AN153" t="s">
        <v>116</v>
      </c>
      <c r="AO153" t="s">
        <v>117</v>
      </c>
      <c r="AP153" t="s">
        <v>118</v>
      </c>
      <c r="AQ153" t="s">
        <v>119</v>
      </c>
      <c r="AR153" t="s">
        <v>120</v>
      </c>
      <c r="AS153" t="s">
        <v>121</v>
      </c>
      <c r="AT153" t="s">
        <v>122</v>
      </c>
      <c r="AU153" t="s">
        <v>123</v>
      </c>
      <c r="AV153" t="s">
        <v>124</v>
      </c>
      <c r="AW153" t="s">
        <v>125</v>
      </c>
      <c r="AX153" t="s">
        <v>585</v>
      </c>
      <c r="AY153" t="s">
        <v>126</v>
      </c>
      <c r="AZ153" t="s">
        <v>127</v>
      </c>
      <c r="BA153" t="s">
        <v>128</v>
      </c>
      <c r="BB153" t="s">
        <v>129</v>
      </c>
      <c r="BC153" t="s">
        <v>130</v>
      </c>
      <c r="BD153" t="s">
        <v>131</v>
      </c>
      <c r="BE153" t="s">
        <v>81</v>
      </c>
    </row>
    <row r="154" spans="3:58" s="297" customFormat="1" x14ac:dyDescent="0.15">
      <c r="C154" s="297" t="s">
        <v>647</v>
      </c>
      <c r="D154" s="297">
        <v>0.3</v>
      </c>
      <c r="E154" s="297">
        <v>1</v>
      </c>
      <c r="F154" s="297">
        <v>0.04</v>
      </c>
      <c r="G154" s="297">
        <v>0.2</v>
      </c>
      <c r="H154" s="297">
        <v>1</v>
      </c>
      <c r="I154" s="297" t="s">
        <v>648</v>
      </c>
      <c r="J154" s="297">
        <v>0.7</v>
      </c>
      <c r="K154" s="297">
        <v>1</v>
      </c>
      <c r="L154" s="297" t="s">
        <v>648</v>
      </c>
      <c r="M154" s="297">
        <v>1</v>
      </c>
      <c r="N154" s="297">
        <v>0.4</v>
      </c>
      <c r="O154" s="297">
        <v>1</v>
      </c>
      <c r="P154" s="530" t="s">
        <v>648</v>
      </c>
      <c r="Q154" s="58">
        <v>0.33</v>
      </c>
      <c r="R154" s="297">
        <v>0.95</v>
      </c>
      <c r="S154" s="297">
        <v>1</v>
      </c>
      <c r="T154" s="297">
        <v>0.25</v>
      </c>
      <c r="U154" s="297">
        <v>1</v>
      </c>
      <c r="V154" s="297">
        <v>0.1</v>
      </c>
      <c r="W154" s="297">
        <v>1</v>
      </c>
      <c r="X154" s="297">
        <v>0.5</v>
      </c>
      <c r="Y154" s="297">
        <v>1</v>
      </c>
      <c r="Z154" s="297">
        <v>0.5</v>
      </c>
      <c r="AA154" s="502" t="s">
        <v>648</v>
      </c>
      <c r="AB154" s="297">
        <v>0.15</v>
      </c>
      <c r="AC154" s="297">
        <v>0.4</v>
      </c>
      <c r="AD154" s="297">
        <v>0.03</v>
      </c>
      <c r="AE154" s="297">
        <v>0.03</v>
      </c>
      <c r="AF154" s="297">
        <v>0.03</v>
      </c>
      <c r="AG154" s="297">
        <v>0.05</v>
      </c>
      <c r="AH154" s="297">
        <v>0.35</v>
      </c>
      <c r="AI154" s="297">
        <v>1</v>
      </c>
      <c r="AJ154" s="297">
        <v>1</v>
      </c>
      <c r="AK154" s="297">
        <v>0.33</v>
      </c>
      <c r="AL154" s="297" t="s">
        <v>648</v>
      </c>
      <c r="AM154" s="297">
        <v>1</v>
      </c>
      <c r="AN154" s="297">
        <v>0.5</v>
      </c>
      <c r="AO154" s="502" t="s">
        <v>648</v>
      </c>
      <c r="AP154" s="297">
        <v>0.15</v>
      </c>
      <c r="AQ154" s="297">
        <v>1</v>
      </c>
      <c r="AR154" s="297" t="s">
        <v>648</v>
      </c>
      <c r="AS154" s="297">
        <v>0.5</v>
      </c>
      <c r="AT154" s="297">
        <v>0.11</v>
      </c>
      <c r="AU154" s="502" t="s">
        <v>648</v>
      </c>
      <c r="AV154" s="297">
        <v>0.33</v>
      </c>
      <c r="AW154" s="297">
        <v>1</v>
      </c>
      <c r="AX154" s="297" t="s">
        <v>648</v>
      </c>
      <c r="AY154" s="297">
        <v>1</v>
      </c>
      <c r="AZ154" s="297">
        <v>1</v>
      </c>
      <c r="BA154" s="502" t="s">
        <v>648</v>
      </c>
      <c r="BB154" s="297">
        <v>0.91500000000000004</v>
      </c>
      <c r="BC154" s="297">
        <v>0.6</v>
      </c>
      <c r="BD154" s="297">
        <v>0.05</v>
      </c>
      <c r="BE154" s="297">
        <v>0.115</v>
      </c>
    </row>
    <row r="155" spans="3:58" s="20" customFormat="1" x14ac:dyDescent="0.15">
      <c r="C155" s="20" t="s">
        <v>649</v>
      </c>
      <c r="D155" s="20">
        <v>42.5</v>
      </c>
      <c r="E155" s="20">
        <v>10.98</v>
      </c>
      <c r="F155" s="20">
        <v>129.5</v>
      </c>
      <c r="G155" s="20">
        <v>46.69</v>
      </c>
      <c r="H155" s="20">
        <v>10</v>
      </c>
      <c r="I155" s="20" t="s">
        <v>648</v>
      </c>
      <c r="J155" s="20">
        <v>29.19</v>
      </c>
      <c r="K155" s="20">
        <v>23.4</v>
      </c>
      <c r="L155" s="20" t="s">
        <v>648</v>
      </c>
      <c r="M155" s="20">
        <v>17.329999999999998</v>
      </c>
      <c r="N155" s="20">
        <v>30</v>
      </c>
      <c r="O155" s="20">
        <v>8.35</v>
      </c>
      <c r="P155" s="531" t="s">
        <v>648</v>
      </c>
      <c r="Q155" s="298">
        <v>90</v>
      </c>
      <c r="R155" s="20">
        <v>24.8</v>
      </c>
      <c r="S155" s="20">
        <v>26</v>
      </c>
      <c r="T155" s="20">
        <v>134.80000000000001</v>
      </c>
      <c r="U155" s="20">
        <v>11.4</v>
      </c>
      <c r="V155" s="20">
        <v>151</v>
      </c>
      <c r="W155" s="20">
        <v>12.44</v>
      </c>
      <c r="X155" s="20">
        <v>24.1</v>
      </c>
      <c r="Y155" s="20">
        <v>18.625</v>
      </c>
      <c r="Z155" s="20">
        <v>17.12</v>
      </c>
      <c r="AA155" s="532" t="s">
        <v>648</v>
      </c>
      <c r="AB155" s="20">
        <v>112.57</v>
      </c>
      <c r="AC155" s="20">
        <v>54.6</v>
      </c>
      <c r="AD155" s="20">
        <v>555.46</v>
      </c>
      <c r="AE155" s="20">
        <v>435</v>
      </c>
      <c r="AF155" s="20">
        <v>435</v>
      </c>
      <c r="AG155" s="20">
        <v>17</v>
      </c>
      <c r="AH155" s="20">
        <v>31.5</v>
      </c>
      <c r="AI155" s="20">
        <v>26.6</v>
      </c>
      <c r="AJ155" s="20">
        <v>2.59</v>
      </c>
      <c r="AK155" s="20">
        <v>26.67</v>
      </c>
      <c r="AL155" s="20" t="s">
        <v>648</v>
      </c>
      <c r="AM155" s="20">
        <v>6.52</v>
      </c>
      <c r="AN155" s="20">
        <v>221.9</v>
      </c>
      <c r="AO155" s="532" t="s">
        <v>648</v>
      </c>
      <c r="AP155" s="20">
        <v>105.84</v>
      </c>
      <c r="AQ155" s="20">
        <v>15</v>
      </c>
      <c r="AR155" s="20" t="s">
        <v>648</v>
      </c>
      <c r="AS155" s="20">
        <v>30</v>
      </c>
      <c r="AT155" s="20">
        <v>467</v>
      </c>
      <c r="AU155" s="532" t="s">
        <v>648</v>
      </c>
      <c r="AV155" s="20">
        <v>31.9</v>
      </c>
      <c r="AW155" s="20">
        <v>20.8</v>
      </c>
      <c r="AX155" s="20" t="s">
        <v>648</v>
      </c>
      <c r="AY155" s="20">
        <v>13</v>
      </c>
      <c r="AZ155" s="20">
        <v>20.8</v>
      </c>
      <c r="BA155" s="532" t="s">
        <v>648</v>
      </c>
      <c r="BB155" s="20">
        <v>12.25</v>
      </c>
      <c r="BC155" s="20">
        <v>21.9</v>
      </c>
      <c r="BD155" s="20">
        <v>18.36</v>
      </c>
      <c r="BE155" s="20">
        <v>62.86</v>
      </c>
    </row>
    <row r="156" spans="3:58" x14ac:dyDescent="0.15">
      <c r="P156" s="57"/>
      <c r="Q156" s="57"/>
    </row>
    <row r="157" spans="3:58" x14ac:dyDescent="0.15">
      <c r="C157" s="297" t="s">
        <v>647</v>
      </c>
      <c r="D157" s="63" t="str">
        <f>HLOOKUP(Calculations!$E$1,D153:BE155,2)</f>
        <v>NA</v>
      </c>
      <c r="P157" s="57"/>
      <c r="Q157" s="57"/>
    </row>
    <row r="158" spans="3:58" x14ac:dyDescent="0.15">
      <c r="C158" s="20" t="s">
        <v>649</v>
      </c>
      <c r="D158" s="80" t="str">
        <f>HLOOKUP(Calculations!$E$1,D153:BE155,3)</f>
        <v>NA</v>
      </c>
      <c r="P158" s="57"/>
      <c r="Q158" s="57"/>
    </row>
    <row r="160" spans="3:58" x14ac:dyDescent="0.15">
      <c r="C160" t="s">
        <v>654</v>
      </c>
    </row>
    <row r="163" spans="3:58" x14ac:dyDescent="0.15">
      <c r="C163" s="283" t="s">
        <v>769</v>
      </c>
      <c r="D163" s="382" t="s">
        <v>82</v>
      </c>
      <c r="E163" s="382" t="s">
        <v>83</v>
      </c>
      <c r="F163" s="382" t="s">
        <v>84</v>
      </c>
      <c r="G163" s="382" t="s">
        <v>85</v>
      </c>
      <c r="H163" s="382" t="s">
        <v>86</v>
      </c>
      <c r="I163" s="382" t="s">
        <v>87</v>
      </c>
      <c r="J163" s="382" t="s">
        <v>88</v>
      </c>
      <c r="K163" s="382" t="s">
        <v>89</v>
      </c>
      <c r="L163" s="382" t="s">
        <v>90</v>
      </c>
      <c r="M163" s="382" t="s">
        <v>91</v>
      </c>
      <c r="N163" s="382" t="s">
        <v>92</v>
      </c>
      <c r="O163" s="382" t="s">
        <v>93</v>
      </c>
      <c r="P163" s="382" t="s">
        <v>94</v>
      </c>
      <c r="Q163" s="382" t="s">
        <v>95</v>
      </c>
      <c r="R163" s="382" t="s">
        <v>96</v>
      </c>
      <c r="S163" s="382" t="s">
        <v>97</v>
      </c>
      <c r="T163" s="382" t="s">
        <v>98</v>
      </c>
      <c r="U163" s="382" t="s">
        <v>99</v>
      </c>
      <c r="V163" s="382" t="s">
        <v>100</v>
      </c>
      <c r="W163" s="382" t="s">
        <v>101</v>
      </c>
      <c r="X163" s="382" t="s">
        <v>102</v>
      </c>
      <c r="Y163" s="382" t="s">
        <v>103</v>
      </c>
      <c r="Z163" s="382" t="s">
        <v>104</v>
      </c>
      <c r="AA163" s="382" t="s">
        <v>105</v>
      </c>
      <c r="AB163" s="382" t="s">
        <v>106</v>
      </c>
      <c r="AC163" s="382" t="s">
        <v>107</v>
      </c>
      <c r="AD163" s="382" t="s">
        <v>108</v>
      </c>
      <c r="AE163" s="38" t="s">
        <v>322</v>
      </c>
      <c r="AF163" s="38" t="s">
        <v>321</v>
      </c>
      <c r="AG163" s="382" t="s">
        <v>109</v>
      </c>
      <c r="AH163" s="382" t="s">
        <v>110</v>
      </c>
      <c r="AI163" s="382" t="s">
        <v>111</v>
      </c>
      <c r="AJ163" s="382" t="s">
        <v>112</v>
      </c>
      <c r="AK163" s="382" t="s">
        <v>113</v>
      </c>
      <c r="AL163" s="382" t="s">
        <v>114</v>
      </c>
      <c r="AM163" s="382" t="s">
        <v>115</v>
      </c>
      <c r="AN163" s="382" t="s">
        <v>116</v>
      </c>
      <c r="AO163" s="382" t="s">
        <v>117</v>
      </c>
      <c r="AP163" s="382" t="s">
        <v>118</v>
      </c>
      <c r="AQ163" s="382" t="s">
        <v>119</v>
      </c>
      <c r="AR163" s="382" t="s">
        <v>120</v>
      </c>
      <c r="AS163" s="382" t="s">
        <v>121</v>
      </c>
      <c r="AT163" s="382" t="s">
        <v>122</v>
      </c>
      <c r="AU163" s="382" t="s">
        <v>123</v>
      </c>
      <c r="AV163" s="382" t="s">
        <v>124</v>
      </c>
      <c r="AW163" s="382" t="s">
        <v>125</v>
      </c>
      <c r="AX163" s="13" t="s">
        <v>585</v>
      </c>
      <c r="AY163" s="382" t="s">
        <v>126</v>
      </c>
      <c r="AZ163" s="382" t="s">
        <v>127</v>
      </c>
      <c r="BA163" s="382" t="s">
        <v>128</v>
      </c>
      <c r="BB163" s="382" t="s">
        <v>129</v>
      </c>
      <c r="BC163" s="382" t="s">
        <v>130</v>
      </c>
      <c r="BD163" s="382" t="s">
        <v>131</v>
      </c>
      <c r="BE163" s="382" t="s">
        <v>81</v>
      </c>
    </row>
    <row r="164" spans="3:58" x14ac:dyDescent="0.15">
      <c r="D164" s="169">
        <v>6423</v>
      </c>
      <c r="E164" s="169">
        <v>4751</v>
      </c>
      <c r="F164" s="169">
        <v>7463</v>
      </c>
      <c r="G164" s="169">
        <v>6423</v>
      </c>
      <c r="H164" s="169">
        <v>8394</v>
      </c>
      <c r="I164" s="169">
        <v>5213</v>
      </c>
      <c r="J164" s="169">
        <v>4751</v>
      </c>
      <c r="K164" s="169">
        <v>4751</v>
      </c>
      <c r="L164" s="169">
        <v>7517</v>
      </c>
      <c r="M164" s="169">
        <v>6423</v>
      </c>
      <c r="N164" s="169">
        <v>6423</v>
      </c>
      <c r="O164" s="169">
        <v>4127</v>
      </c>
      <c r="P164" s="169">
        <v>7194</v>
      </c>
      <c r="Q164" s="169">
        <v>6769</v>
      </c>
      <c r="R164" s="169">
        <v>6239</v>
      </c>
      <c r="S164" s="169">
        <v>7003</v>
      </c>
      <c r="T164" s="169">
        <v>4017</v>
      </c>
      <c r="U164" s="169">
        <v>6423</v>
      </c>
      <c r="V164" s="169">
        <v>6423</v>
      </c>
      <c r="W164" s="169">
        <v>6501</v>
      </c>
      <c r="X164" s="169">
        <v>5236</v>
      </c>
      <c r="Y164" s="169">
        <v>4751</v>
      </c>
      <c r="Z164" s="169">
        <v>8403</v>
      </c>
      <c r="AA164" s="169">
        <v>5615</v>
      </c>
      <c r="AB164" s="169">
        <v>6423</v>
      </c>
      <c r="AC164" s="169">
        <v>7129</v>
      </c>
      <c r="AD164" s="169">
        <v>7500</v>
      </c>
      <c r="AE164" s="169">
        <v>6993</v>
      </c>
      <c r="AF164" s="169">
        <v>6993</v>
      </c>
      <c r="AG164" s="169">
        <v>7606</v>
      </c>
      <c r="AH164" s="169">
        <v>6579</v>
      </c>
      <c r="AI164" s="169">
        <v>10811</v>
      </c>
      <c r="AJ164" s="169">
        <v>4751</v>
      </c>
      <c r="AK164" s="169">
        <v>6145</v>
      </c>
      <c r="AL164" s="169">
        <v>7822</v>
      </c>
      <c r="AM164" s="169">
        <v>4808</v>
      </c>
      <c r="AN164" s="169">
        <v>6973</v>
      </c>
      <c r="AO164" s="169">
        <v>6900</v>
      </c>
      <c r="AP164" s="169">
        <v>7027</v>
      </c>
      <c r="AQ164" s="169">
        <v>7890</v>
      </c>
      <c r="AR164" s="169">
        <v>8035</v>
      </c>
      <c r="AS164" s="169">
        <v>7517</v>
      </c>
      <c r="AT164" s="169">
        <v>6423</v>
      </c>
      <c r="AU164" s="169">
        <v>7058</v>
      </c>
      <c r="AV164" s="169">
        <v>4751</v>
      </c>
      <c r="AW164" s="169">
        <v>7397</v>
      </c>
      <c r="AX164" s="382">
        <v>6993</v>
      </c>
      <c r="AY164" s="169">
        <v>7673</v>
      </c>
      <c r="AZ164" s="169">
        <v>6711</v>
      </c>
      <c r="BA164" s="169">
        <v>6423</v>
      </c>
      <c r="BB164" s="169">
        <v>7353</v>
      </c>
      <c r="BC164" s="169">
        <v>7289</v>
      </c>
      <c r="BD164" s="169">
        <v>10855</v>
      </c>
      <c r="BE164" s="169">
        <v>7392</v>
      </c>
    </row>
    <row r="165" spans="3:58" x14ac:dyDescent="0.15">
      <c r="AE165" s="283" t="s">
        <v>771</v>
      </c>
      <c r="AF165" s="283" t="s">
        <v>771</v>
      </c>
      <c r="AS165" s="283" t="s">
        <v>770</v>
      </c>
      <c r="AT165" s="283" t="s">
        <v>770</v>
      </c>
      <c r="AX165" s="283" t="s">
        <v>771</v>
      </c>
      <c r="BA165" s="283" t="s">
        <v>770</v>
      </c>
    </row>
    <row r="166" spans="3:58" x14ac:dyDescent="0.15">
      <c r="C166" s="283" t="s">
        <v>775</v>
      </c>
      <c r="D166" s="315">
        <f>HLOOKUP('STEP 3 - Edit Project Data'!B13,DefaultData!$D$163:$BE$164,2)*'STEP 3 - Edit Project Data'!B18/1000</f>
        <v>13032.5</v>
      </c>
    </row>
    <row r="169" spans="3:58" ht="14" x14ac:dyDescent="0.15">
      <c r="C169" s="488" t="s">
        <v>793</v>
      </c>
      <c r="D169" s="489"/>
      <c r="E169" s="489"/>
      <c r="F169" s="489"/>
      <c r="G169" s="489"/>
      <c r="H169" s="489"/>
      <c r="I169" s="489"/>
      <c r="J169" s="489"/>
      <c r="K169" s="489"/>
      <c r="L169" s="489"/>
      <c r="M169" s="489"/>
      <c r="N169" s="489"/>
      <c r="O169" s="489"/>
      <c r="P169" s="489"/>
      <c r="Q169" s="489"/>
      <c r="R169" s="489"/>
      <c r="S169" s="489"/>
      <c r="T169" s="489"/>
      <c r="U169" s="489"/>
      <c r="V169" s="489"/>
      <c r="W169" s="489"/>
      <c r="X169" s="489"/>
      <c r="Y169" s="489"/>
      <c r="Z169" s="489"/>
      <c r="AA169" s="489"/>
      <c r="AB169" s="489"/>
      <c r="AC169" s="489"/>
      <c r="AD169" s="489"/>
      <c r="AE169" s="489"/>
      <c r="AF169" s="489"/>
      <c r="AG169" s="489"/>
      <c r="AH169" s="489"/>
      <c r="AI169" s="489"/>
      <c r="AJ169" s="489"/>
      <c r="AK169" s="489"/>
      <c r="AL169" s="489"/>
      <c r="AM169" s="489"/>
      <c r="AN169" s="489"/>
      <c r="AO169" s="489"/>
      <c r="AP169" s="489"/>
      <c r="AQ169" s="489"/>
      <c r="AR169" s="489"/>
      <c r="AS169" s="489"/>
      <c r="AT169" s="489"/>
      <c r="AU169" s="489"/>
      <c r="AV169" s="489"/>
      <c r="AW169" s="489"/>
      <c r="AX169" s="489"/>
      <c r="AY169" s="489"/>
      <c r="AZ169" s="489"/>
      <c r="BA169" s="489"/>
      <c r="BB169" s="489"/>
      <c r="BC169" s="489"/>
      <c r="BD169" s="489"/>
      <c r="BE169" s="489"/>
      <c r="BF169" s="489"/>
    </row>
    <row r="170" spans="3:58" ht="14" x14ac:dyDescent="0.15">
      <c r="C170" s="490" t="s">
        <v>789</v>
      </c>
      <c r="D170" s="506">
        <v>0.2</v>
      </c>
      <c r="E170" s="489"/>
      <c r="F170" s="489"/>
      <c r="G170" s="489"/>
      <c r="H170" s="489"/>
      <c r="I170" s="489"/>
      <c r="J170" s="489"/>
      <c r="K170" s="489"/>
      <c r="L170" s="489"/>
      <c r="M170" s="489"/>
      <c r="N170" s="489"/>
      <c r="O170" s="489"/>
      <c r="P170" s="489"/>
      <c r="Q170" s="489"/>
      <c r="R170" s="489"/>
      <c r="S170" s="489"/>
      <c r="T170" s="489"/>
      <c r="U170" s="489"/>
      <c r="V170" s="489"/>
      <c r="W170" s="489"/>
      <c r="X170" s="489"/>
      <c r="Y170" s="489"/>
      <c r="Z170" s="489"/>
      <c r="AA170" s="489"/>
      <c r="AB170" s="489"/>
      <c r="AC170" s="489"/>
      <c r="AD170" s="489"/>
      <c r="AE170" s="489"/>
      <c r="AF170" s="489"/>
      <c r="AG170" s="489"/>
      <c r="AH170" s="489"/>
      <c r="AI170" s="489"/>
      <c r="AJ170" s="489"/>
      <c r="AK170" s="489"/>
      <c r="AL170" s="489"/>
      <c r="AM170" s="489"/>
      <c r="AN170" s="489"/>
      <c r="AO170" s="489"/>
      <c r="AP170" s="489"/>
      <c r="AQ170" s="489"/>
      <c r="AR170" s="489"/>
      <c r="AS170" s="489"/>
      <c r="AT170" s="489"/>
      <c r="AU170" s="489"/>
      <c r="AV170" s="489"/>
      <c r="AW170" s="489"/>
      <c r="AX170" s="489"/>
      <c r="AY170" s="489"/>
      <c r="AZ170" s="489"/>
      <c r="BA170" s="489"/>
      <c r="BB170" s="489"/>
      <c r="BC170" s="489"/>
      <c r="BD170" s="489"/>
      <c r="BE170" s="489"/>
      <c r="BF170" s="489"/>
    </row>
    <row r="171" spans="3:58" ht="14" x14ac:dyDescent="0.15">
      <c r="C171" s="491" t="s">
        <v>791</v>
      </c>
      <c r="D171" s="507">
        <v>0.66</v>
      </c>
      <c r="E171" s="489"/>
      <c r="F171" s="489"/>
      <c r="G171" s="489"/>
      <c r="H171" s="489"/>
      <c r="I171" s="489"/>
      <c r="J171" s="489"/>
      <c r="K171" s="489"/>
      <c r="L171" s="489"/>
      <c r="M171" s="489"/>
      <c r="N171" s="489"/>
      <c r="O171" s="489"/>
      <c r="P171" s="489"/>
      <c r="Q171" s="489"/>
      <c r="R171" s="489"/>
      <c r="S171" s="489"/>
      <c r="T171" s="489"/>
      <c r="U171" s="489"/>
      <c r="V171" s="489"/>
      <c r="W171" s="489"/>
      <c r="X171" s="489"/>
      <c r="Y171" s="489"/>
      <c r="Z171" s="489"/>
      <c r="AA171" s="489"/>
      <c r="AB171" s="489"/>
      <c r="AC171" s="489"/>
      <c r="AD171" s="489"/>
      <c r="AE171" s="489"/>
      <c r="AF171" s="489"/>
      <c r="AG171" s="489"/>
      <c r="AH171" s="489"/>
      <c r="AI171" s="489"/>
      <c r="AJ171" s="489"/>
      <c r="AK171" s="489"/>
      <c r="AL171" s="489"/>
      <c r="AM171" s="489"/>
      <c r="AN171" s="489"/>
      <c r="AO171" s="489"/>
      <c r="AP171" s="489"/>
      <c r="AQ171" s="489"/>
      <c r="AR171" s="489"/>
      <c r="AS171" s="489"/>
      <c r="AT171" s="489"/>
      <c r="AU171" s="489"/>
      <c r="AV171" s="489"/>
      <c r="AW171" s="489"/>
      <c r="AX171" s="489"/>
      <c r="AY171" s="489"/>
      <c r="AZ171" s="489"/>
      <c r="BA171" s="489"/>
      <c r="BB171" s="489"/>
      <c r="BC171" s="489"/>
      <c r="BD171" s="489"/>
      <c r="BE171" s="489"/>
      <c r="BF171" s="489"/>
    </row>
    <row r="172" spans="3:58" x14ac:dyDescent="0.15">
      <c r="C172" s="495" t="s">
        <v>790</v>
      </c>
      <c r="D172" s="508">
        <v>0.36</v>
      </c>
      <c r="E172" s="489"/>
      <c r="F172" s="489"/>
      <c r="G172" s="489"/>
      <c r="H172" s="489"/>
      <c r="I172" s="489"/>
      <c r="J172" s="489"/>
      <c r="K172" s="489"/>
      <c r="L172" s="489"/>
      <c r="M172" s="489"/>
      <c r="N172" s="489"/>
      <c r="O172" s="489"/>
      <c r="P172" s="489"/>
      <c r="Q172" s="489"/>
      <c r="R172" s="489"/>
      <c r="S172" s="489"/>
      <c r="T172" s="489"/>
      <c r="U172" s="489"/>
      <c r="V172" s="489"/>
      <c r="W172" s="489"/>
      <c r="X172" s="489"/>
      <c r="Y172" s="489"/>
      <c r="Z172" s="489"/>
      <c r="AA172" s="489"/>
      <c r="AB172" s="489"/>
      <c r="AC172" s="489"/>
      <c r="AD172" s="489"/>
      <c r="AE172" s="489"/>
      <c r="AF172" s="489"/>
      <c r="AG172" s="489"/>
      <c r="AH172" s="489"/>
      <c r="AI172" s="489"/>
      <c r="AJ172" s="489"/>
      <c r="AK172" s="489"/>
      <c r="AL172" s="489"/>
      <c r="AM172" s="489"/>
      <c r="AN172" s="489"/>
      <c r="AO172" s="489"/>
      <c r="AP172" s="489"/>
      <c r="AQ172" s="489"/>
      <c r="AR172" s="489"/>
      <c r="AS172" s="489"/>
      <c r="AT172" s="489"/>
      <c r="AU172" s="489"/>
      <c r="AV172" s="489"/>
      <c r="AW172" s="489"/>
      <c r="AX172" s="489"/>
      <c r="AY172" s="489"/>
      <c r="AZ172" s="489"/>
      <c r="BA172" s="489"/>
      <c r="BB172" s="489"/>
      <c r="BC172" s="489"/>
      <c r="BD172" s="489"/>
      <c r="BE172" s="489"/>
      <c r="BF172" s="489"/>
    </row>
    <row r="173" spans="3:58" x14ac:dyDescent="0.15">
      <c r="C173" s="247"/>
      <c r="D173" s="247"/>
      <c r="E173" s="489"/>
      <c r="F173" s="489"/>
      <c r="G173" s="489"/>
      <c r="H173" s="489"/>
      <c r="I173" s="489"/>
      <c r="J173" s="489"/>
      <c r="K173" s="489"/>
      <c r="L173" s="489"/>
      <c r="M173" s="489"/>
      <c r="N173" s="489"/>
      <c r="O173" s="489"/>
      <c r="P173" s="489"/>
      <c r="Q173" s="489"/>
      <c r="R173" s="489"/>
      <c r="S173" s="489"/>
      <c r="T173" s="489"/>
      <c r="U173" s="489"/>
      <c r="V173" s="489"/>
      <c r="W173" s="489"/>
      <c r="X173" s="489"/>
      <c r="Y173" s="489"/>
      <c r="Z173" s="489"/>
      <c r="AA173" s="489"/>
      <c r="AB173" s="489"/>
      <c r="AC173" s="489"/>
      <c r="AD173" s="489"/>
      <c r="AE173" s="489"/>
      <c r="AF173" s="489"/>
      <c r="AG173" s="489"/>
      <c r="AH173" s="489"/>
      <c r="AI173" s="489"/>
      <c r="AJ173" s="489"/>
      <c r="AK173" s="489"/>
      <c r="AL173" s="489"/>
      <c r="AM173" s="489"/>
      <c r="AN173" s="489"/>
      <c r="AO173" s="489"/>
      <c r="AP173" s="489"/>
      <c r="AQ173" s="489"/>
      <c r="AR173" s="489"/>
      <c r="AS173" s="489"/>
      <c r="AT173" s="489"/>
      <c r="AU173" s="489"/>
      <c r="AV173" s="489"/>
      <c r="AW173" s="489"/>
      <c r="AX173" s="489"/>
      <c r="AY173" s="489"/>
      <c r="AZ173" s="489"/>
      <c r="BA173" s="489"/>
      <c r="BB173" s="489"/>
      <c r="BC173" s="489"/>
      <c r="BD173" s="489"/>
      <c r="BE173" s="489"/>
      <c r="BF173" s="489"/>
    </row>
    <row r="174" spans="3:58" ht="14" x14ac:dyDescent="0.15">
      <c r="C174" s="489"/>
      <c r="D174" s="492" t="s">
        <v>792</v>
      </c>
      <c r="E174" s="486" t="s">
        <v>82</v>
      </c>
      <c r="F174" s="486" t="s">
        <v>83</v>
      </c>
      <c r="G174" s="486" t="s">
        <v>84</v>
      </c>
      <c r="H174" s="486" t="s">
        <v>85</v>
      </c>
      <c r="I174" s="486" t="s">
        <v>86</v>
      </c>
      <c r="J174" s="486" t="s">
        <v>87</v>
      </c>
      <c r="K174" s="486" t="s">
        <v>88</v>
      </c>
      <c r="L174" s="486" t="s">
        <v>89</v>
      </c>
      <c r="M174" s="486" t="s">
        <v>90</v>
      </c>
      <c r="N174" s="486" t="s">
        <v>91</v>
      </c>
      <c r="O174" s="486" t="s">
        <v>92</v>
      </c>
      <c r="P174" s="486" t="s">
        <v>93</v>
      </c>
      <c r="Q174" s="486" t="s">
        <v>94</v>
      </c>
      <c r="R174" s="486" t="s">
        <v>95</v>
      </c>
      <c r="S174" s="486" t="s">
        <v>96</v>
      </c>
      <c r="T174" s="486" t="s">
        <v>97</v>
      </c>
      <c r="U174" s="486" t="s">
        <v>98</v>
      </c>
      <c r="V174" s="486" t="s">
        <v>99</v>
      </c>
      <c r="W174" s="486" t="s">
        <v>100</v>
      </c>
      <c r="X174" s="486" t="s">
        <v>101</v>
      </c>
      <c r="Y174" s="486" t="s">
        <v>102</v>
      </c>
      <c r="Z174" s="486" t="s">
        <v>103</v>
      </c>
      <c r="AA174" s="486" t="s">
        <v>104</v>
      </c>
      <c r="AB174" s="486" t="s">
        <v>105</v>
      </c>
      <c r="AC174" s="486" t="s">
        <v>106</v>
      </c>
      <c r="AD174" s="486" t="s">
        <v>107</v>
      </c>
      <c r="AE174" s="486" t="s">
        <v>108</v>
      </c>
      <c r="AF174" s="38" t="s">
        <v>322</v>
      </c>
      <c r="AG174" s="38" t="s">
        <v>321</v>
      </c>
      <c r="AH174" s="486" t="s">
        <v>109</v>
      </c>
      <c r="AI174" s="486" t="s">
        <v>110</v>
      </c>
      <c r="AJ174" s="486" t="s">
        <v>111</v>
      </c>
      <c r="AK174" s="486" t="s">
        <v>112</v>
      </c>
      <c r="AL174" s="486" t="s">
        <v>113</v>
      </c>
      <c r="AM174" s="486" t="s">
        <v>114</v>
      </c>
      <c r="AN174" s="486" t="s">
        <v>115</v>
      </c>
      <c r="AO174" s="486" t="s">
        <v>116</v>
      </c>
      <c r="AP174" s="486" t="s">
        <v>117</v>
      </c>
      <c r="AQ174" s="486" t="s">
        <v>118</v>
      </c>
      <c r="AR174" s="486" t="s">
        <v>119</v>
      </c>
      <c r="AS174" s="486" t="s">
        <v>120</v>
      </c>
      <c r="AT174" s="486" t="s">
        <v>121</v>
      </c>
      <c r="AU174" s="486" t="s">
        <v>122</v>
      </c>
      <c r="AV174" s="486" t="s">
        <v>123</v>
      </c>
      <c r="AW174" s="486" t="s">
        <v>124</v>
      </c>
      <c r="AX174" s="486" t="s">
        <v>125</v>
      </c>
      <c r="AY174" s="283" t="s">
        <v>585</v>
      </c>
      <c r="AZ174" s="486" t="s">
        <v>126</v>
      </c>
      <c r="BA174" s="486" t="s">
        <v>127</v>
      </c>
      <c r="BB174" s="486" t="s">
        <v>128</v>
      </c>
      <c r="BC174" s="486" t="s">
        <v>129</v>
      </c>
      <c r="BD174" s="486" t="s">
        <v>130</v>
      </c>
      <c r="BE174" s="486" t="s">
        <v>131</v>
      </c>
      <c r="BF174" s="486" t="s">
        <v>81</v>
      </c>
    </row>
    <row r="175" spans="3:58" x14ac:dyDescent="0.15">
      <c r="C175" s="493" t="s">
        <v>238</v>
      </c>
      <c r="D175" s="499">
        <f>IF('STEP 3 - Edit Project Data'!$B$13="UNITED STATES",0.2,0)</f>
        <v>0</v>
      </c>
      <c r="E175" s="498">
        <f>$B$7</f>
        <v>0</v>
      </c>
      <c r="F175" s="498">
        <f t="shared" ref="F175:BF175" si="45">$B$7</f>
        <v>0</v>
      </c>
      <c r="G175" s="498">
        <f t="shared" si="45"/>
        <v>0</v>
      </c>
      <c r="H175" s="498">
        <f t="shared" si="45"/>
        <v>0</v>
      </c>
      <c r="I175" s="498">
        <f t="shared" si="45"/>
        <v>0</v>
      </c>
      <c r="J175" s="498">
        <f>D170</f>
        <v>0.2</v>
      </c>
      <c r="K175" s="498">
        <f t="shared" si="45"/>
        <v>0</v>
      </c>
      <c r="L175" s="498">
        <f t="shared" si="45"/>
        <v>0</v>
      </c>
      <c r="M175" s="498">
        <f t="shared" si="45"/>
        <v>0</v>
      </c>
      <c r="N175" s="498">
        <f>D170</f>
        <v>0.2</v>
      </c>
      <c r="O175" s="498">
        <f t="shared" si="45"/>
        <v>0</v>
      </c>
      <c r="P175" s="498">
        <f t="shared" si="45"/>
        <v>0</v>
      </c>
      <c r="Q175" s="498">
        <f t="shared" si="45"/>
        <v>0</v>
      </c>
      <c r="R175" s="498">
        <f t="shared" si="45"/>
        <v>0</v>
      </c>
      <c r="S175" s="498">
        <f t="shared" si="45"/>
        <v>0</v>
      </c>
      <c r="T175" s="498">
        <f>D170</f>
        <v>0.2</v>
      </c>
      <c r="U175" s="498">
        <f>D170</f>
        <v>0.2</v>
      </c>
      <c r="V175" s="498">
        <f t="shared" si="45"/>
        <v>0</v>
      </c>
      <c r="W175" s="498">
        <f t="shared" si="45"/>
        <v>0</v>
      </c>
      <c r="X175" s="498">
        <f t="shared" si="45"/>
        <v>0</v>
      </c>
      <c r="Y175" s="498">
        <f t="shared" si="45"/>
        <v>0</v>
      </c>
      <c r="Z175" s="498">
        <f>D170</f>
        <v>0.2</v>
      </c>
      <c r="AA175" s="498">
        <f t="shared" si="45"/>
        <v>0</v>
      </c>
      <c r="AB175" s="498">
        <f t="shared" si="45"/>
        <v>0</v>
      </c>
      <c r="AC175" s="498">
        <f t="shared" si="45"/>
        <v>0</v>
      </c>
      <c r="AD175" s="498">
        <f t="shared" si="45"/>
        <v>0</v>
      </c>
      <c r="AE175" s="498">
        <f t="shared" si="45"/>
        <v>0</v>
      </c>
      <c r="AF175" s="498">
        <f t="shared" si="45"/>
        <v>0</v>
      </c>
      <c r="AG175" s="498">
        <f t="shared" si="45"/>
        <v>0</v>
      </c>
      <c r="AH175" s="498">
        <f t="shared" si="45"/>
        <v>0</v>
      </c>
      <c r="AI175" s="498">
        <f t="shared" si="45"/>
        <v>0</v>
      </c>
      <c r="AJ175" s="498">
        <f t="shared" si="45"/>
        <v>0</v>
      </c>
      <c r="AK175" s="498">
        <f t="shared" si="45"/>
        <v>0</v>
      </c>
      <c r="AL175" s="498">
        <f t="shared" si="45"/>
        <v>0</v>
      </c>
      <c r="AM175" s="498">
        <f t="shared" si="45"/>
        <v>0</v>
      </c>
      <c r="AN175" s="498">
        <f t="shared" si="45"/>
        <v>0</v>
      </c>
      <c r="AO175" s="498">
        <f t="shared" si="45"/>
        <v>0</v>
      </c>
      <c r="AP175" s="498">
        <f t="shared" si="45"/>
        <v>0</v>
      </c>
      <c r="AQ175" s="498">
        <f t="shared" si="45"/>
        <v>0</v>
      </c>
      <c r="AR175" s="498">
        <f t="shared" si="45"/>
        <v>0</v>
      </c>
      <c r="AS175" s="498">
        <f t="shared" si="45"/>
        <v>0</v>
      </c>
      <c r="AT175" s="498">
        <f t="shared" si="45"/>
        <v>0</v>
      </c>
      <c r="AU175" s="498">
        <f t="shared" si="45"/>
        <v>0</v>
      </c>
      <c r="AV175" s="498">
        <f t="shared" si="45"/>
        <v>0</v>
      </c>
      <c r="AW175" s="498">
        <f t="shared" si="45"/>
        <v>0</v>
      </c>
      <c r="AX175" s="498">
        <f>D170</f>
        <v>0.2</v>
      </c>
      <c r="AY175" s="498">
        <f>D170</f>
        <v>0.2</v>
      </c>
      <c r="AZ175" s="498">
        <f t="shared" si="45"/>
        <v>0</v>
      </c>
      <c r="BA175" s="498">
        <f t="shared" si="45"/>
        <v>0</v>
      </c>
      <c r="BB175" s="498">
        <f t="shared" si="45"/>
        <v>0</v>
      </c>
      <c r="BC175" s="498">
        <f t="shared" si="45"/>
        <v>0</v>
      </c>
      <c r="BD175" s="498">
        <f t="shared" si="45"/>
        <v>0</v>
      </c>
      <c r="BE175" s="498">
        <f t="shared" si="45"/>
        <v>0</v>
      </c>
      <c r="BF175" s="498">
        <f t="shared" si="45"/>
        <v>0</v>
      </c>
    </row>
    <row r="176" spans="3:58" x14ac:dyDescent="0.15">
      <c r="C176" s="494" t="s">
        <v>237</v>
      </c>
      <c r="D176" s="500">
        <f>IF('STEP 3 - Edit Project Data'!$B$13="UNITED STATES",0.6,0)</f>
        <v>0</v>
      </c>
      <c r="E176" s="496">
        <f>$B$8</f>
        <v>0</v>
      </c>
      <c r="F176" s="496">
        <f t="shared" ref="F176:BF176" si="46">$B$8</f>
        <v>0</v>
      </c>
      <c r="G176" s="496">
        <f t="shared" si="46"/>
        <v>0</v>
      </c>
      <c r="H176" s="496">
        <f>D171</f>
        <v>0.66</v>
      </c>
      <c r="I176" s="496">
        <f t="shared" si="46"/>
        <v>0</v>
      </c>
      <c r="J176" s="496">
        <f>D171</f>
        <v>0.66</v>
      </c>
      <c r="K176" s="496">
        <f t="shared" si="46"/>
        <v>0</v>
      </c>
      <c r="L176" s="496">
        <f t="shared" si="46"/>
        <v>0</v>
      </c>
      <c r="M176" s="496">
        <f t="shared" si="46"/>
        <v>0</v>
      </c>
      <c r="N176" s="496">
        <f t="shared" si="46"/>
        <v>0</v>
      </c>
      <c r="O176" s="496">
        <f t="shared" si="46"/>
        <v>0</v>
      </c>
      <c r="P176" s="496">
        <f t="shared" si="46"/>
        <v>0</v>
      </c>
      <c r="Q176" s="496">
        <f t="shared" si="46"/>
        <v>0</v>
      </c>
      <c r="R176" s="496">
        <f t="shared" si="46"/>
        <v>0</v>
      </c>
      <c r="S176" s="496">
        <f t="shared" si="46"/>
        <v>0</v>
      </c>
      <c r="T176" s="496">
        <f t="shared" ref="T176:T177" si="47">D171</f>
        <v>0.66</v>
      </c>
      <c r="U176" s="496">
        <f t="shared" si="46"/>
        <v>0</v>
      </c>
      <c r="V176" s="496">
        <f t="shared" si="46"/>
        <v>0</v>
      </c>
      <c r="W176" s="496">
        <f>D171</f>
        <v>0.66</v>
      </c>
      <c r="X176" s="496">
        <f t="shared" si="46"/>
        <v>0</v>
      </c>
      <c r="Y176" s="496">
        <f t="shared" si="46"/>
        <v>0</v>
      </c>
      <c r="Z176" s="496">
        <f t="shared" si="46"/>
        <v>0</v>
      </c>
      <c r="AA176" s="496">
        <f>D171</f>
        <v>0.66</v>
      </c>
      <c r="AB176" s="496">
        <f t="shared" si="46"/>
        <v>0</v>
      </c>
      <c r="AC176" s="496">
        <f t="shared" si="46"/>
        <v>0</v>
      </c>
      <c r="AD176" s="496">
        <f t="shared" si="46"/>
        <v>0</v>
      </c>
      <c r="AE176" s="496">
        <f t="shared" si="46"/>
        <v>0</v>
      </c>
      <c r="AF176" s="496">
        <f t="shared" si="46"/>
        <v>0</v>
      </c>
      <c r="AG176" s="496">
        <f t="shared" si="46"/>
        <v>0</v>
      </c>
      <c r="AH176" s="496">
        <f t="shared" si="46"/>
        <v>0</v>
      </c>
      <c r="AI176" s="496">
        <f t="shared" si="46"/>
        <v>0</v>
      </c>
      <c r="AJ176" s="496">
        <f t="shared" si="46"/>
        <v>0</v>
      </c>
      <c r="AK176" s="496">
        <f t="shared" si="46"/>
        <v>0</v>
      </c>
      <c r="AL176" s="496">
        <f t="shared" si="46"/>
        <v>0</v>
      </c>
      <c r="AM176" s="496">
        <f t="shared" si="46"/>
        <v>0</v>
      </c>
      <c r="AN176" s="496">
        <f t="shared" si="46"/>
        <v>0</v>
      </c>
      <c r="AO176" s="496">
        <f>D171</f>
        <v>0.66</v>
      </c>
      <c r="AP176" s="496">
        <f t="shared" si="46"/>
        <v>0</v>
      </c>
      <c r="AQ176" s="496">
        <f t="shared" si="46"/>
        <v>0</v>
      </c>
      <c r="AR176" s="496">
        <f t="shared" si="46"/>
        <v>0</v>
      </c>
      <c r="AS176" s="496">
        <f t="shared" si="46"/>
        <v>0</v>
      </c>
      <c r="AT176" s="496">
        <f t="shared" si="46"/>
        <v>0</v>
      </c>
      <c r="AU176" s="496">
        <f t="shared" si="46"/>
        <v>0</v>
      </c>
      <c r="AV176" s="496">
        <f>D171</f>
        <v>0.66</v>
      </c>
      <c r="AW176" s="496">
        <f t="shared" si="46"/>
        <v>0</v>
      </c>
      <c r="AX176" s="496">
        <f t="shared" ref="AX176:AX177" si="48">D171</f>
        <v>0.66</v>
      </c>
      <c r="AY176" s="496">
        <f>D171</f>
        <v>0.66</v>
      </c>
      <c r="AZ176" s="496">
        <f t="shared" si="46"/>
        <v>0</v>
      </c>
      <c r="BA176" s="496">
        <f t="shared" si="46"/>
        <v>0</v>
      </c>
      <c r="BB176" s="496">
        <f t="shared" si="46"/>
        <v>0</v>
      </c>
      <c r="BC176" s="496">
        <f t="shared" si="46"/>
        <v>0</v>
      </c>
      <c r="BD176" s="496">
        <f t="shared" si="46"/>
        <v>0</v>
      </c>
      <c r="BE176" s="496">
        <f t="shared" si="46"/>
        <v>0</v>
      </c>
      <c r="BF176" s="496">
        <f t="shared" si="46"/>
        <v>0</v>
      </c>
    </row>
    <row r="177" spans="3:58" x14ac:dyDescent="0.15">
      <c r="C177" s="495" t="s">
        <v>15</v>
      </c>
      <c r="D177" s="501">
        <f>IF('STEP 3 - Edit Project Data'!$B$13="UNITED STATES",0.8,0)</f>
        <v>0</v>
      </c>
      <c r="E177" s="497">
        <f>$B$9</f>
        <v>0</v>
      </c>
      <c r="F177" s="497">
        <f t="shared" ref="F177:BF177" si="49">$B$9</f>
        <v>0</v>
      </c>
      <c r="G177" s="497">
        <f t="shared" si="49"/>
        <v>0</v>
      </c>
      <c r="H177" s="497">
        <f t="shared" si="49"/>
        <v>0</v>
      </c>
      <c r="I177" s="497">
        <f t="shared" si="49"/>
        <v>0</v>
      </c>
      <c r="J177" s="497">
        <f>D172</f>
        <v>0.36</v>
      </c>
      <c r="K177" s="497">
        <f t="shared" si="49"/>
        <v>0</v>
      </c>
      <c r="L177" s="497">
        <f t="shared" si="49"/>
        <v>0</v>
      </c>
      <c r="M177" s="497">
        <f t="shared" si="49"/>
        <v>0</v>
      </c>
      <c r="N177" s="497">
        <f t="shared" si="49"/>
        <v>0</v>
      </c>
      <c r="O177" s="497">
        <f t="shared" si="49"/>
        <v>0</v>
      </c>
      <c r="P177" s="497">
        <f t="shared" si="49"/>
        <v>0</v>
      </c>
      <c r="Q177" s="497">
        <f t="shared" si="49"/>
        <v>0</v>
      </c>
      <c r="R177" s="497">
        <f>D172</f>
        <v>0.36</v>
      </c>
      <c r="S177" s="497">
        <f t="shared" si="49"/>
        <v>0</v>
      </c>
      <c r="T177" s="497">
        <f t="shared" si="47"/>
        <v>0.36</v>
      </c>
      <c r="U177" s="497">
        <f>D172</f>
        <v>0.36</v>
      </c>
      <c r="V177" s="497">
        <f t="shared" si="49"/>
        <v>0</v>
      </c>
      <c r="W177" s="497">
        <f t="shared" si="49"/>
        <v>0</v>
      </c>
      <c r="X177" s="497">
        <f t="shared" si="49"/>
        <v>0</v>
      </c>
      <c r="Y177" s="497">
        <f t="shared" si="49"/>
        <v>0</v>
      </c>
      <c r="Z177" s="497">
        <f t="shared" si="49"/>
        <v>0</v>
      </c>
      <c r="AA177" s="497">
        <f>D172</f>
        <v>0.36</v>
      </c>
      <c r="AB177" s="497">
        <f t="shared" si="49"/>
        <v>0</v>
      </c>
      <c r="AC177" s="497">
        <f t="shared" si="49"/>
        <v>0</v>
      </c>
      <c r="AD177" s="497">
        <f t="shared" si="49"/>
        <v>0</v>
      </c>
      <c r="AE177" s="497">
        <f t="shared" si="49"/>
        <v>0</v>
      </c>
      <c r="AF177" s="497">
        <f t="shared" si="49"/>
        <v>0</v>
      </c>
      <c r="AG177" s="497">
        <f t="shared" si="49"/>
        <v>0</v>
      </c>
      <c r="AH177" s="497">
        <f t="shared" si="49"/>
        <v>0</v>
      </c>
      <c r="AI177" s="497">
        <f t="shared" si="49"/>
        <v>0</v>
      </c>
      <c r="AJ177" s="497">
        <f t="shared" si="49"/>
        <v>0</v>
      </c>
      <c r="AK177" s="497">
        <f t="shared" si="49"/>
        <v>0</v>
      </c>
      <c r="AL177" s="497">
        <f t="shared" si="49"/>
        <v>0</v>
      </c>
      <c r="AM177" s="497">
        <f t="shared" si="49"/>
        <v>0</v>
      </c>
      <c r="AN177" s="497">
        <f t="shared" si="49"/>
        <v>0</v>
      </c>
      <c r="AO177" s="497">
        <f>D172</f>
        <v>0.36</v>
      </c>
      <c r="AP177" s="497">
        <f t="shared" si="49"/>
        <v>0</v>
      </c>
      <c r="AQ177" s="497">
        <f>D172</f>
        <v>0.36</v>
      </c>
      <c r="AR177" s="497">
        <f t="shared" si="49"/>
        <v>0</v>
      </c>
      <c r="AS177" s="497">
        <f t="shared" si="49"/>
        <v>0</v>
      </c>
      <c r="AT177" s="497">
        <f t="shared" si="49"/>
        <v>0</v>
      </c>
      <c r="AU177" s="497">
        <f t="shared" si="49"/>
        <v>0</v>
      </c>
      <c r="AV177" s="497">
        <f>D172</f>
        <v>0.36</v>
      </c>
      <c r="AW177" s="497">
        <f t="shared" si="49"/>
        <v>0</v>
      </c>
      <c r="AX177" s="497">
        <f t="shared" si="48"/>
        <v>0.36</v>
      </c>
      <c r="AY177" s="497">
        <f>D172</f>
        <v>0.36</v>
      </c>
      <c r="AZ177" s="497">
        <f t="shared" si="49"/>
        <v>0</v>
      </c>
      <c r="BA177" s="497">
        <f t="shared" si="49"/>
        <v>0</v>
      </c>
      <c r="BB177" s="497">
        <f t="shared" si="49"/>
        <v>0</v>
      </c>
      <c r="BC177" s="497">
        <f t="shared" si="49"/>
        <v>0</v>
      </c>
      <c r="BD177" s="497">
        <f t="shared" si="49"/>
        <v>0</v>
      </c>
      <c r="BE177" s="497">
        <f>D172</f>
        <v>0.36</v>
      </c>
      <c r="BF177" s="497">
        <f t="shared" si="49"/>
        <v>0</v>
      </c>
    </row>
    <row r="179" spans="3:58" x14ac:dyDescent="0.15">
      <c r="C179" s="1" t="s">
        <v>776</v>
      </c>
    </row>
    <row r="180" spans="3:58" ht="16" x14ac:dyDescent="0.2">
      <c r="C180" s="383" t="s">
        <v>731</v>
      </c>
      <c r="D180" s="384" t="s">
        <v>732</v>
      </c>
    </row>
    <row r="181" spans="3:58" ht="16" x14ac:dyDescent="0.2">
      <c r="C181" s="383" t="s">
        <v>734</v>
      </c>
      <c r="D181" s="384">
        <v>9</v>
      </c>
      <c r="F181" t="b">
        <v>1</v>
      </c>
    </row>
    <row r="182" spans="3:58" ht="16" x14ac:dyDescent="0.2">
      <c r="C182" s="383" t="s">
        <v>736</v>
      </c>
      <c r="D182" s="384">
        <v>1.5</v>
      </c>
      <c r="F182" t="b">
        <v>0</v>
      </c>
    </row>
    <row r="183" spans="3:58" ht="16" x14ac:dyDescent="0.2">
      <c r="C183" s="383" t="s">
        <v>738</v>
      </c>
      <c r="D183" s="384">
        <v>80</v>
      </c>
      <c r="F183">
        <v>100</v>
      </c>
    </row>
    <row r="184" spans="3:58" ht="16" x14ac:dyDescent="0.2">
      <c r="C184" s="383" t="s">
        <v>739</v>
      </c>
      <c r="D184" s="384">
        <v>77</v>
      </c>
      <c r="F184" t="b">
        <v>1</v>
      </c>
    </row>
    <row r="185" spans="3:58" ht="16" x14ac:dyDescent="0.2">
      <c r="C185" s="383" t="s">
        <v>740</v>
      </c>
      <c r="D185" s="384">
        <v>4</v>
      </c>
    </row>
    <row r="186" spans="3:58" ht="16" x14ac:dyDescent="0.2">
      <c r="C186" s="383" t="s">
        <v>741</v>
      </c>
      <c r="D186" s="384">
        <v>10</v>
      </c>
      <c r="F186" s="502"/>
    </row>
    <row r="187" spans="3:58" ht="16" x14ac:dyDescent="0.2">
      <c r="C187" s="383" t="s">
        <v>743</v>
      </c>
      <c r="D187" s="384">
        <v>67</v>
      </c>
    </row>
    <row r="188" spans="3:58" ht="16" x14ac:dyDescent="0.2">
      <c r="C188" s="383" t="s">
        <v>745</v>
      </c>
      <c r="D188" s="384">
        <v>0.7</v>
      </c>
    </row>
    <row r="189" spans="3:58" ht="16" x14ac:dyDescent="0.2">
      <c r="C189" s="383" t="s">
        <v>746</v>
      </c>
      <c r="D189" s="384">
        <v>1.5</v>
      </c>
    </row>
    <row r="190" spans="3:58" ht="16" x14ac:dyDescent="0.2">
      <c r="C190" s="383" t="s">
        <v>747</v>
      </c>
      <c r="D190" s="384">
        <v>10</v>
      </c>
    </row>
    <row r="191" spans="3:58" ht="16" x14ac:dyDescent="0.2">
      <c r="C191" s="383" t="s">
        <v>748</v>
      </c>
      <c r="D191" s="384">
        <v>0.2</v>
      </c>
    </row>
    <row r="192" spans="3:58" ht="16" x14ac:dyDescent="0.2">
      <c r="C192" s="383" t="s">
        <v>749</v>
      </c>
      <c r="D192" s="384">
        <v>2.36</v>
      </c>
    </row>
    <row r="193" spans="3:4" ht="16" x14ac:dyDescent="0.2">
      <c r="C193" s="383" t="s">
        <v>702</v>
      </c>
      <c r="D193" s="385">
        <v>589000</v>
      </c>
    </row>
    <row r="194" spans="3:4" ht="16" x14ac:dyDescent="0.2">
      <c r="C194" s="383" t="s">
        <v>703</v>
      </c>
      <c r="D194" s="384">
        <v>191521</v>
      </c>
    </row>
    <row r="195" spans="3:4" ht="16" x14ac:dyDescent="0.2">
      <c r="C195" s="383" t="s">
        <v>672</v>
      </c>
      <c r="D195" s="384">
        <v>59.5</v>
      </c>
    </row>
    <row r="196" spans="3:4" ht="16" x14ac:dyDescent="0.2">
      <c r="C196" s="383" t="s">
        <v>694</v>
      </c>
      <c r="D196" s="384">
        <v>60</v>
      </c>
    </row>
    <row r="197" spans="3:4" ht="16" x14ac:dyDescent="0.2">
      <c r="C197" s="383" t="s">
        <v>751</v>
      </c>
      <c r="D197" s="384">
        <v>0</v>
      </c>
    </row>
    <row r="198" spans="3:4" ht="16" x14ac:dyDescent="0.2">
      <c r="C198" s="383" t="s">
        <v>697</v>
      </c>
      <c r="D198" s="384">
        <v>50</v>
      </c>
    </row>
    <row r="199" spans="3:4" ht="16" x14ac:dyDescent="0.2">
      <c r="C199" s="383" t="s">
        <v>704</v>
      </c>
      <c r="D199" s="384">
        <v>10</v>
      </c>
    </row>
    <row r="200" spans="3:4" ht="16" x14ac:dyDescent="0.2">
      <c r="C200" s="383" t="s">
        <v>705</v>
      </c>
      <c r="D200" s="384">
        <v>15</v>
      </c>
    </row>
    <row r="201" spans="3:4" ht="16" x14ac:dyDescent="0.2">
      <c r="C201" s="386" t="s">
        <v>752</v>
      </c>
      <c r="D201" s="384">
        <v>5</v>
      </c>
    </row>
    <row r="202" spans="3:4" ht="16" x14ac:dyDescent="0.2">
      <c r="C202" s="386" t="s">
        <v>692</v>
      </c>
      <c r="D202" s="384">
        <v>130</v>
      </c>
    </row>
    <row r="203" spans="3:4" ht="16" x14ac:dyDescent="0.2">
      <c r="C203" s="386" t="s">
        <v>696</v>
      </c>
      <c r="D203" s="384" t="s">
        <v>753</v>
      </c>
    </row>
    <row r="204" spans="3:4" ht="16" x14ac:dyDescent="0.2">
      <c r="C204" s="383" t="s">
        <v>754</v>
      </c>
      <c r="D204" s="384">
        <v>5000</v>
      </c>
    </row>
    <row r="205" spans="3:4" ht="16" x14ac:dyDescent="0.2">
      <c r="C205" s="386" t="s">
        <v>683</v>
      </c>
      <c r="D205" s="384">
        <v>0.6</v>
      </c>
    </row>
    <row r="206" spans="3:4" ht="16" x14ac:dyDescent="0.2">
      <c r="C206" s="386" t="s">
        <v>755</v>
      </c>
      <c r="D206" s="387">
        <v>0.33</v>
      </c>
    </row>
    <row r="207" spans="3:4" ht="16" x14ac:dyDescent="0.2">
      <c r="C207" s="383" t="s">
        <v>678</v>
      </c>
      <c r="D207" s="384">
        <v>20</v>
      </c>
    </row>
    <row r="208" spans="3:4" ht="16" x14ac:dyDescent="0.2">
      <c r="C208" s="383" t="s">
        <v>679</v>
      </c>
      <c r="D208" s="384">
        <v>8</v>
      </c>
    </row>
    <row r="209" spans="3:4" ht="16" x14ac:dyDescent="0.2">
      <c r="C209" s="383" t="s">
        <v>756</v>
      </c>
      <c r="D209" s="384">
        <v>11</v>
      </c>
    </row>
    <row r="210" spans="3:4" ht="16" x14ac:dyDescent="0.2">
      <c r="C210" s="383" t="s">
        <v>757</v>
      </c>
      <c r="D210" s="384">
        <v>10</v>
      </c>
    </row>
    <row r="211" spans="3:4" ht="16" x14ac:dyDescent="0.2">
      <c r="C211" s="383" t="s">
        <v>758</v>
      </c>
      <c r="D211" s="384">
        <v>2</v>
      </c>
    </row>
    <row r="212" spans="3:4" ht="16" x14ac:dyDescent="0.2">
      <c r="C212" s="383" t="s">
        <v>759</v>
      </c>
      <c r="D212" s="384">
        <v>1.4</v>
      </c>
    </row>
    <row r="213" spans="3:4" ht="16" x14ac:dyDescent="0.2">
      <c r="C213" s="383" t="s">
        <v>760</v>
      </c>
      <c r="D213" s="384" t="s">
        <v>761</v>
      </c>
    </row>
    <row r="214" spans="3:4" ht="16" x14ac:dyDescent="0.2">
      <c r="C214" s="383" t="s">
        <v>762</v>
      </c>
      <c r="D214" s="384">
        <v>0.03</v>
      </c>
    </row>
    <row r="215" spans="3:4" ht="16" x14ac:dyDescent="0.2">
      <c r="C215" s="383" t="s">
        <v>763</v>
      </c>
      <c r="D215" s="384">
        <v>2.0000000000000001E-4</v>
      </c>
    </row>
    <row r="216" spans="3:4" ht="16" x14ac:dyDescent="0.2">
      <c r="C216" s="383" t="s">
        <v>764</v>
      </c>
      <c r="D216" s="384">
        <v>0</v>
      </c>
    </row>
    <row r="217" spans="3:4" ht="16" x14ac:dyDescent="0.2">
      <c r="C217" s="383" t="s">
        <v>765</v>
      </c>
      <c r="D217" s="384">
        <v>0.05</v>
      </c>
    </row>
    <row r="218" spans="3:4" ht="16" x14ac:dyDescent="0.2">
      <c r="C218" s="383" t="s">
        <v>766</v>
      </c>
      <c r="D218" s="384">
        <v>0.05</v>
      </c>
    </row>
    <row r="219" spans="3:4" ht="16" x14ac:dyDescent="0.2">
      <c r="C219" s="386" t="s">
        <v>767</v>
      </c>
      <c r="D219" s="388">
        <v>0</v>
      </c>
    </row>
    <row r="220" spans="3:4" ht="16" x14ac:dyDescent="0.2">
      <c r="C220" s="386" t="s">
        <v>768</v>
      </c>
      <c r="D220" s="388">
        <v>1</v>
      </c>
    </row>
    <row r="226" spans="3:25" x14ac:dyDescent="0.15">
      <c r="C226" s="283" t="s">
        <v>799</v>
      </c>
    </row>
    <row r="228" spans="3:25" x14ac:dyDescent="0.15">
      <c r="C228" s="283" t="s">
        <v>800</v>
      </c>
      <c r="D228" s="283">
        <f>'STEP 3 - Edit Project Data'!B16</f>
        <v>300</v>
      </c>
      <c r="E228" s="283" t="s">
        <v>801</v>
      </c>
    </row>
    <row r="229" spans="3:25" x14ac:dyDescent="0.15">
      <c r="K229" s="283" t="s">
        <v>822</v>
      </c>
    </row>
    <row r="230" spans="3:25" x14ac:dyDescent="0.15">
      <c r="C230" s="283" t="s">
        <v>802</v>
      </c>
      <c r="D230" s="283" t="s">
        <v>803</v>
      </c>
      <c r="E230" s="283" t="s">
        <v>804</v>
      </c>
      <c r="F230" s="283" t="s">
        <v>805</v>
      </c>
      <c r="G230" s="283" t="s">
        <v>806</v>
      </c>
      <c r="H230" s="283" t="s">
        <v>807</v>
      </c>
      <c r="K230" s="283" t="s">
        <v>804</v>
      </c>
      <c r="L230" s="283" t="s">
        <v>805</v>
      </c>
      <c r="M230" s="283" t="s">
        <v>806</v>
      </c>
      <c r="N230" s="283" t="s">
        <v>807</v>
      </c>
      <c r="Q230" s="283" t="s">
        <v>824</v>
      </c>
      <c r="R230">
        <v>2</v>
      </c>
      <c r="S230">
        <v>3</v>
      </c>
      <c r="T230">
        <v>4</v>
      </c>
      <c r="U230">
        <v>5</v>
      </c>
    </row>
    <row r="231" spans="3:25" x14ac:dyDescent="0.15">
      <c r="R231" s="283" t="s">
        <v>804</v>
      </c>
      <c r="S231" s="283" t="s">
        <v>805</v>
      </c>
      <c r="T231" s="283" t="s">
        <v>806</v>
      </c>
      <c r="U231" s="283" t="s">
        <v>807</v>
      </c>
      <c r="W231" s="283" t="s">
        <v>459</v>
      </c>
      <c r="X231">
        <f>'STEP 3 - Edit Project Data'!B21*1000*'STEP 3 - Edit Project Data'!B16</f>
        <v>13200000</v>
      </c>
    </row>
    <row r="232" spans="3:25" x14ac:dyDescent="0.15">
      <c r="C232" s="283" t="s">
        <v>744</v>
      </c>
      <c r="D232" s="283" t="s">
        <v>808</v>
      </c>
      <c r="E232" s="505">
        <f>4.037*LN(D228)-12.145</f>
        <v>10.881169850187081</v>
      </c>
      <c r="F232" s="14">
        <f>(0.4615*($D$228)^0.0907)*E232</f>
        <v>8.4240743777042706</v>
      </c>
      <c r="G232" s="14">
        <f>(0.1364*($D$228)^-0.003)*E232</f>
        <v>1.4590111002679418</v>
      </c>
      <c r="H232" s="14">
        <f>(1.1195*($D$228)^-0.437)*E232</f>
        <v>1.0073901476210225</v>
      </c>
      <c r="J232" s="283" t="s">
        <v>744</v>
      </c>
      <c r="K232">
        <f>$D$228*E240</f>
        <v>10.881169850187081</v>
      </c>
      <c r="L232" s="505">
        <f t="shared" ref="L232:N236" si="50">$D$228*F240</f>
        <v>8.4240743777042706</v>
      </c>
      <c r="M232" s="505">
        <f t="shared" si="50"/>
        <v>1.4590111002679418</v>
      </c>
      <c r="N232" s="505">
        <f t="shared" si="50"/>
        <v>1.0073901476210225</v>
      </c>
      <c r="P232" s="283" t="s">
        <v>823</v>
      </c>
      <c r="Q232" t="str">
        <f>C244</f>
        <v>Interior</v>
      </c>
      <c r="R232">
        <f>VLOOKUP($Q$232,$J$232:$N$236,R230,FALSE)</f>
        <v>13.469469349523276</v>
      </c>
      <c r="S232" s="505">
        <f t="shared" ref="S232:U232" si="51">VLOOKUP($Q$232,$J$232:$N$236,S230,FALSE)</f>
        <v>10.427905564459246</v>
      </c>
      <c r="T232" s="505">
        <f t="shared" si="51"/>
        <v>1.8060654843408583</v>
      </c>
      <c r="U232" s="505">
        <f t="shared" si="51"/>
        <v>1.2470176371853803</v>
      </c>
      <c r="W232" s="283" t="s">
        <v>456</v>
      </c>
      <c r="X232">
        <f>IF(X231-R236&gt;0,X231-R236,0)</f>
        <v>12355958.977981098</v>
      </c>
      <c r="Y232" s="314" t="s">
        <v>838</v>
      </c>
    </row>
    <row r="233" spans="3:25" x14ac:dyDescent="0.15">
      <c r="C233" s="283" t="s">
        <v>735</v>
      </c>
      <c r="D233" s="283" t="s">
        <v>809</v>
      </c>
      <c r="E233" s="505">
        <f>4.037*LN(D228)-12.145</f>
        <v>10.881169850187081</v>
      </c>
      <c r="F233" s="14">
        <f t="shared" ref="F233:F236" si="52">(0.4615*($D$228)^0.0907)*E233</f>
        <v>8.4240743777042706</v>
      </c>
      <c r="G233" s="14">
        <f t="shared" ref="G233:G236" si="53">(0.1364*($D$228)^-0.003)*E233</f>
        <v>1.4590111002679418</v>
      </c>
      <c r="H233" s="14">
        <f t="shared" ref="H233:H236" si="54">(1.1195*($D$228)^-0.437)*E233</f>
        <v>1.0073901476210225</v>
      </c>
      <c r="J233" s="283" t="s">
        <v>735</v>
      </c>
      <c r="K233" s="505">
        <f t="shared" ref="K233:K236" si="55">$D$228*E241</f>
        <v>10.881169850187081</v>
      </c>
      <c r="L233" s="505">
        <f t="shared" si="50"/>
        <v>8.4240743777042706</v>
      </c>
      <c r="M233" s="505">
        <f t="shared" si="50"/>
        <v>1.4590111002679418</v>
      </c>
      <c r="N233" s="505">
        <f t="shared" si="50"/>
        <v>1.0073901476210225</v>
      </c>
    </row>
    <row r="234" spans="3:25" x14ac:dyDescent="0.15">
      <c r="C234" s="283" t="s">
        <v>742</v>
      </c>
      <c r="D234" s="283" t="s">
        <v>810</v>
      </c>
      <c r="E234" s="505">
        <f>4.1717*LN(D228)-10.325</f>
        <v>13.469469349523276</v>
      </c>
      <c r="F234" s="14">
        <f t="shared" si="52"/>
        <v>10.427905564459246</v>
      </c>
      <c r="G234" s="14">
        <f t="shared" si="53"/>
        <v>1.8060654843408581</v>
      </c>
      <c r="H234" s="14">
        <f t="shared" si="54"/>
        <v>1.2470176371853803</v>
      </c>
      <c r="J234" s="283" t="s">
        <v>742</v>
      </c>
      <c r="K234" s="505">
        <f t="shared" si="55"/>
        <v>13.469469349523276</v>
      </c>
      <c r="L234" s="505">
        <f t="shared" si="50"/>
        <v>10.427905564459246</v>
      </c>
      <c r="M234" s="505">
        <f t="shared" si="50"/>
        <v>1.8060654843408583</v>
      </c>
      <c r="N234" s="505">
        <f t="shared" si="50"/>
        <v>1.2470176371853803</v>
      </c>
      <c r="Q234" s="283" t="s">
        <v>826</v>
      </c>
      <c r="S234">
        <f>R239</f>
        <v>30.19585972850679</v>
      </c>
      <c r="T234">
        <f>D116</f>
        <v>21.854081159014232</v>
      </c>
      <c r="U234">
        <f>R240</f>
        <v>41.25</v>
      </c>
    </row>
    <row r="235" spans="3:25" x14ac:dyDescent="0.15">
      <c r="C235" s="283" t="s">
        <v>750</v>
      </c>
      <c r="D235" s="283" t="s">
        <v>811</v>
      </c>
      <c r="E235" s="505">
        <f>4.017*LN(D228)-11.026</f>
        <v>11.886094200693961</v>
      </c>
      <c r="F235" s="14">
        <f t="shared" si="52"/>
        <v>9.2020750512706861</v>
      </c>
      <c r="G235" s="14">
        <f t="shared" si="53"/>
        <v>1.5937572537152094</v>
      </c>
      <c r="H235" s="14">
        <f t="shared" si="54"/>
        <v>1.1004271007927149</v>
      </c>
      <c r="J235" s="283" t="s">
        <v>750</v>
      </c>
      <c r="K235" s="505">
        <f t="shared" si="55"/>
        <v>11.886094200693961</v>
      </c>
      <c r="L235" s="505">
        <f t="shared" si="50"/>
        <v>9.2020750512706861</v>
      </c>
      <c r="M235" s="505">
        <f t="shared" si="50"/>
        <v>1.5937572537152094</v>
      </c>
      <c r="N235" s="505">
        <f t="shared" si="50"/>
        <v>1.1004271007927149</v>
      </c>
      <c r="Q235" s="283" t="s">
        <v>827</v>
      </c>
      <c r="S235">
        <f>S234*40*52</f>
        <v>62807.388235294115</v>
      </c>
      <c r="T235" s="505">
        <f t="shared" ref="T235:U235" si="56">T234*40*52</f>
        <v>45456.488810749601</v>
      </c>
      <c r="U235" s="505">
        <f t="shared" si="56"/>
        <v>85800</v>
      </c>
      <c r="W235" s="283" t="s">
        <v>835</v>
      </c>
    </row>
    <row r="236" spans="3:25" x14ac:dyDescent="0.15">
      <c r="C236" s="283" t="s">
        <v>737</v>
      </c>
      <c r="D236" s="283" t="s">
        <v>812</v>
      </c>
      <c r="E236" s="505">
        <f>4.1917*LN(D228)-11.445</f>
        <v>12.463544999016396</v>
      </c>
      <c r="F236" s="14">
        <f t="shared" si="52"/>
        <v>9.6491307025938067</v>
      </c>
      <c r="G236" s="14">
        <f t="shared" si="53"/>
        <v>1.6711852450259534</v>
      </c>
      <c r="H236" s="14">
        <f t="shared" si="54"/>
        <v>1.1538881029620647</v>
      </c>
      <c r="J236" s="283" t="s">
        <v>737</v>
      </c>
      <c r="K236" s="505">
        <f t="shared" si="55"/>
        <v>12.463544999016396</v>
      </c>
      <c r="L236" s="505">
        <f t="shared" si="50"/>
        <v>9.6491307025938067</v>
      </c>
      <c r="M236" s="505">
        <f t="shared" si="50"/>
        <v>1.6711852450259534</v>
      </c>
      <c r="N236" s="505">
        <f t="shared" si="50"/>
        <v>1.1538881029620647</v>
      </c>
      <c r="Q236" s="283" t="s">
        <v>825</v>
      </c>
      <c r="R236" s="315">
        <f>SUM(S236:U236)</f>
        <v>844041.02201890247</v>
      </c>
      <c r="S236" s="315">
        <f>S232*S235</f>
        <v>654949.51326797565</v>
      </c>
      <c r="T236" s="315">
        <f t="shared" ref="T236:U236" si="57">T232*T235</f>
        <v>82097.395480421284</v>
      </c>
      <c r="U236" s="315">
        <f t="shared" si="57"/>
        <v>106994.11327050562</v>
      </c>
    </row>
    <row r="237" spans="3:25" x14ac:dyDescent="0.15">
      <c r="W237" t="s">
        <v>182</v>
      </c>
      <c r="X237" s="283">
        <f>$X$232*AA63</f>
        <v>352976.97408887587</v>
      </c>
    </row>
    <row r="238" spans="3:25" x14ac:dyDescent="0.15">
      <c r="E238" s="283" t="s">
        <v>813</v>
      </c>
      <c r="F238" s="283" t="s">
        <v>450</v>
      </c>
      <c r="G238" s="283" t="s">
        <v>478</v>
      </c>
      <c r="H238" s="283" t="s">
        <v>488</v>
      </c>
      <c r="W238" t="s">
        <v>494</v>
      </c>
      <c r="X238" s="505">
        <f t="shared" ref="X238:X244" si="58">$X$232*AA64</f>
        <v>137661.01989466159</v>
      </c>
    </row>
    <row r="239" spans="3:25" x14ac:dyDescent="0.15">
      <c r="J239" s="283"/>
      <c r="Q239" t="s">
        <v>828</v>
      </c>
      <c r="R239">
        <v>30.19585972850679</v>
      </c>
      <c r="S239" s="314" t="s">
        <v>833</v>
      </c>
      <c r="T239" t="s">
        <v>660</v>
      </c>
      <c r="U239">
        <f>S236</f>
        <v>654949.51326797565</v>
      </c>
      <c r="W239" t="s">
        <v>174</v>
      </c>
      <c r="X239" s="505">
        <f t="shared" si="58"/>
        <v>68830.509947330793</v>
      </c>
    </row>
    <row r="240" spans="3:25" x14ac:dyDescent="0.15">
      <c r="D240" s="283" t="s">
        <v>744</v>
      </c>
      <c r="E240" s="42">
        <f>E232/$D$228</f>
        <v>3.6270566167290269E-2</v>
      </c>
      <c r="F240" s="42">
        <f t="shared" ref="F240:H240" si="59">F232/$D$228</f>
        <v>2.8080247925680903E-2</v>
      </c>
      <c r="G240" s="42">
        <f t="shared" si="59"/>
        <v>4.8633703342264726E-3</v>
      </c>
      <c r="H240" s="42">
        <f t="shared" si="59"/>
        <v>3.357967158736742E-3</v>
      </c>
      <c r="Q240" t="s">
        <v>829</v>
      </c>
      <c r="R240">
        <v>41.25</v>
      </c>
      <c r="S240" s="314" t="s">
        <v>833</v>
      </c>
      <c r="T240" t="s">
        <v>409</v>
      </c>
      <c r="U240">
        <f>T236</f>
        <v>82097.395480421284</v>
      </c>
      <c r="W240" t="s">
        <v>232</v>
      </c>
      <c r="X240" s="505">
        <f t="shared" si="58"/>
        <v>275322.03978932317</v>
      </c>
    </row>
    <row r="241" spans="1:24" x14ac:dyDescent="0.15">
      <c r="D241" s="283" t="s">
        <v>735</v>
      </c>
      <c r="E241" s="42">
        <f t="shared" ref="E241:H241" si="60">E233/$D$228</f>
        <v>3.6270566167290269E-2</v>
      </c>
      <c r="F241" s="42">
        <f t="shared" si="60"/>
        <v>2.8080247925680903E-2</v>
      </c>
      <c r="G241" s="42">
        <f t="shared" si="60"/>
        <v>4.8633703342264726E-3</v>
      </c>
      <c r="H241" s="42">
        <f t="shared" si="60"/>
        <v>3.357967158736742E-3</v>
      </c>
      <c r="Q241" t="s">
        <v>830</v>
      </c>
      <c r="R241" t="s">
        <v>831</v>
      </c>
      <c r="S241" s="314" t="s">
        <v>832</v>
      </c>
      <c r="T241" t="s">
        <v>410</v>
      </c>
      <c r="U241">
        <f>U236</f>
        <v>106994.11327050562</v>
      </c>
      <c r="W241" t="s">
        <v>172</v>
      </c>
      <c r="X241" s="505">
        <f t="shared" si="58"/>
        <v>2647327.3056665687</v>
      </c>
    </row>
    <row r="242" spans="1:24" x14ac:dyDescent="0.15">
      <c r="B242" s="283" t="s">
        <v>814</v>
      </c>
      <c r="C242" t="str">
        <f>'STEP 3 - Edit Project Data'!B13</f>
        <v>COLORADO</v>
      </c>
      <c r="D242" s="283" t="s">
        <v>742</v>
      </c>
      <c r="E242" s="42">
        <f t="shared" ref="E242:H242" si="61">E234/$D$228</f>
        <v>4.4898231165077587E-2</v>
      </c>
      <c r="F242" s="42">
        <f t="shared" si="61"/>
        <v>3.4759685214864153E-2</v>
      </c>
      <c r="G242" s="42">
        <f t="shared" si="61"/>
        <v>6.0202182811361941E-3</v>
      </c>
      <c r="H242" s="42">
        <f t="shared" si="61"/>
        <v>4.1567254572846008E-3</v>
      </c>
      <c r="W242" t="s">
        <v>207</v>
      </c>
      <c r="X242" s="505">
        <f t="shared" si="58"/>
        <v>137661.01989466159</v>
      </c>
    </row>
    <row r="243" spans="1:24" x14ac:dyDescent="0.15">
      <c r="B243" s="283" t="s">
        <v>815</v>
      </c>
      <c r="C243" t="str">
        <f>IF(OR("MYREGION"=C242,C242="MYCOUNTY"),'User Add-in Location'!B5,C242)</f>
        <v>COLORADO</v>
      </c>
      <c r="D243" s="283" t="s">
        <v>750</v>
      </c>
      <c r="E243" s="42">
        <f t="shared" ref="E243:H243" si="62">E235/$D$228</f>
        <v>3.9620314002313202E-2</v>
      </c>
      <c r="F243" s="42">
        <f t="shared" si="62"/>
        <v>3.0673583504235619E-2</v>
      </c>
      <c r="G243" s="42">
        <f t="shared" si="62"/>
        <v>5.3125241790506978E-3</v>
      </c>
      <c r="H243" s="42">
        <f t="shared" si="62"/>
        <v>3.6680903359757162E-3</v>
      </c>
      <c r="W243" t="s">
        <v>495</v>
      </c>
      <c r="X243" s="505">
        <f t="shared" si="58"/>
        <v>894796.62931530038</v>
      </c>
    </row>
    <row r="244" spans="1:24" x14ac:dyDescent="0.15">
      <c r="B244" s="283" t="s">
        <v>817</v>
      </c>
      <c r="C244" t="str">
        <f>VLOOKUP(C243,C248:D297,2,FALSE)</f>
        <v>Interior</v>
      </c>
      <c r="D244" s="283" t="s">
        <v>737</v>
      </c>
      <c r="E244" s="42">
        <f t="shared" ref="E244:H244" si="63">E236/$D$228</f>
        <v>4.154514999672132E-2</v>
      </c>
      <c r="F244" s="42">
        <f t="shared" si="63"/>
        <v>3.2163769008646023E-2</v>
      </c>
      <c r="G244" s="42">
        <f t="shared" si="63"/>
        <v>5.5706174834198449E-3</v>
      </c>
      <c r="H244" s="42">
        <f t="shared" si="63"/>
        <v>3.8462936765402155E-3</v>
      </c>
      <c r="W244" t="s">
        <v>496</v>
      </c>
      <c r="X244" s="505">
        <f t="shared" si="58"/>
        <v>7841383.4793843757</v>
      </c>
    </row>
    <row r="245" spans="1:24" x14ac:dyDescent="0.15">
      <c r="D245" s="283"/>
    </row>
    <row r="246" spans="1:24" x14ac:dyDescent="0.15">
      <c r="C246" s="283"/>
      <c r="D246" s="283"/>
    </row>
    <row r="247" spans="1:24" x14ac:dyDescent="0.15">
      <c r="B247" s="1" t="s">
        <v>816</v>
      </c>
    </row>
    <row r="248" spans="1:24" ht="15" x14ac:dyDescent="0.2">
      <c r="B248" s="512" t="s">
        <v>82</v>
      </c>
      <c r="C248" t="str">
        <f>UPPER(B248)</f>
        <v>ALABAMA</v>
      </c>
      <c r="D248" s="513" t="s">
        <v>735</v>
      </c>
    </row>
    <row r="249" spans="1:24" ht="15" x14ac:dyDescent="0.2">
      <c r="A249" s="505"/>
      <c r="B249" s="512" t="s">
        <v>83</v>
      </c>
      <c r="C249" s="529" t="str">
        <f t="shared" ref="C249:C297" si="64">UPPER(B249)</f>
        <v>ALASKA</v>
      </c>
      <c r="D249" s="513" t="s">
        <v>737</v>
      </c>
      <c r="E249" s="283" t="s">
        <v>813</v>
      </c>
      <c r="F249" s="283" t="s">
        <v>450</v>
      </c>
      <c r="G249" s="283" t="s">
        <v>478</v>
      </c>
      <c r="H249" s="283" t="s">
        <v>488</v>
      </c>
      <c r="L249" s="516" t="s">
        <v>818</v>
      </c>
    </row>
    <row r="250" spans="1:24" ht="15" x14ac:dyDescent="0.2">
      <c r="A250" s="505"/>
      <c r="B250" s="512" t="s">
        <v>84</v>
      </c>
      <c r="C250" s="529" t="str">
        <f t="shared" si="64"/>
        <v>ARIZONA</v>
      </c>
      <c r="D250" s="513" t="s">
        <v>737</v>
      </c>
      <c r="M250" s="283">
        <v>19</v>
      </c>
      <c r="N250" s="283">
        <v>49</v>
      </c>
      <c r="O250" s="283">
        <v>99</v>
      </c>
      <c r="P250" s="283">
        <v>199</v>
      </c>
      <c r="Q250" s="283">
        <v>500</v>
      </c>
    </row>
    <row r="251" spans="1:24" ht="15" x14ac:dyDescent="0.2">
      <c r="A251" s="505"/>
      <c r="B251" s="512" t="s">
        <v>85</v>
      </c>
      <c r="C251" s="529" t="str">
        <f t="shared" si="64"/>
        <v>ARKANSAS</v>
      </c>
      <c r="D251" s="513" t="s">
        <v>735</v>
      </c>
      <c r="L251" s="283" t="s">
        <v>449</v>
      </c>
      <c r="M251" s="510">
        <v>30</v>
      </c>
      <c r="N251" s="510">
        <v>60</v>
      </c>
      <c r="O251" s="510">
        <v>75</v>
      </c>
      <c r="P251" s="510">
        <v>100</v>
      </c>
      <c r="Q251" s="510">
        <v>150</v>
      </c>
      <c r="R251" s="510">
        <v>200</v>
      </c>
      <c r="S251" s="510">
        <v>250</v>
      </c>
    </row>
    <row r="252" spans="1:24" ht="15" x14ac:dyDescent="0.2">
      <c r="A252" s="505"/>
      <c r="B252" s="512" t="s">
        <v>86</v>
      </c>
      <c r="C252" s="529" t="str">
        <f t="shared" si="64"/>
        <v>CALIFORNIA</v>
      </c>
      <c r="D252" s="513" t="s">
        <v>737</v>
      </c>
      <c r="L252" s="283" t="s">
        <v>450</v>
      </c>
      <c r="M252" s="510">
        <v>6.7000000000000004E-2</v>
      </c>
      <c r="N252" s="510">
        <v>0.04</v>
      </c>
      <c r="O252" s="510">
        <v>0.04</v>
      </c>
      <c r="P252" s="510">
        <v>0.04</v>
      </c>
      <c r="Q252" s="510">
        <v>0.04</v>
      </c>
      <c r="R252" s="510">
        <v>0.04</v>
      </c>
      <c r="S252" s="510">
        <v>3.5999999999999997E-2</v>
      </c>
    </row>
    <row r="253" spans="1:24" ht="15" x14ac:dyDescent="0.2">
      <c r="A253" s="505"/>
      <c r="B253" s="512" t="s">
        <v>87</v>
      </c>
      <c r="C253" s="529" t="str">
        <f t="shared" si="64"/>
        <v>COLORADO</v>
      </c>
      <c r="D253" s="513" t="s">
        <v>742</v>
      </c>
      <c r="L253" s="283" t="s">
        <v>478</v>
      </c>
      <c r="M253" s="510">
        <v>0.01</v>
      </c>
      <c r="N253" s="510">
        <v>0.01</v>
      </c>
      <c r="O253" s="510">
        <v>0.01</v>
      </c>
      <c r="P253" s="510">
        <v>0.01</v>
      </c>
      <c r="Q253" s="510">
        <v>7.0000000000000001E-3</v>
      </c>
      <c r="R253" s="510">
        <v>7.0000000000000001E-3</v>
      </c>
      <c r="S253" s="510">
        <v>5.0000000000000001E-3</v>
      </c>
    </row>
    <row r="254" spans="1:24" ht="15" x14ac:dyDescent="0.2">
      <c r="A254" s="505"/>
      <c r="B254" s="512" t="s">
        <v>88</v>
      </c>
      <c r="C254" s="529" t="str">
        <f t="shared" si="64"/>
        <v>CONNECTICUT</v>
      </c>
      <c r="D254" s="513" t="s">
        <v>744</v>
      </c>
      <c r="L254" s="283" t="s">
        <v>488</v>
      </c>
      <c r="M254" s="510">
        <v>1.7000000000000001E-2</v>
      </c>
      <c r="N254" s="510">
        <v>1.7000000000000001E-2</v>
      </c>
      <c r="O254" s="510">
        <v>1.2999999999999999E-2</v>
      </c>
      <c r="P254" s="510">
        <v>0.01</v>
      </c>
      <c r="Q254" s="510">
        <v>7.0000000000000001E-3</v>
      </c>
      <c r="R254" s="510">
        <v>5.0000000000000001E-3</v>
      </c>
      <c r="S254" s="510">
        <v>4.0000000000000001E-3</v>
      </c>
    </row>
    <row r="255" spans="1:24" ht="15" x14ac:dyDescent="0.2">
      <c r="A255" s="505"/>
      <c r="B255" s="512" t="s">
        <v>89</v>
      </c>
      <c r="C255" s="529" t="str">
        <f t="shared" si="64"/>
        <v>DELAWARE</v>
      </c>
      <c r="D255" s="513" t="s">
        <v>744</v>
      </c>
      <c r="M255" s="283">
        <v>9.2999999999999999E-2</v>
      </c>
      <c r="N255" s="283">
        <v>6.7000000000000004E-2</v>
      </c>
      <c r="O255" s="283">
        <v>6.3E-2</v>
      </c>
      <c r="P255" s="283">
        <v>0.06</v>
      </c>
      <c r="Q255" s="283">
        <v>5.2999999999999999E-2</v>
      </c>
      <c r="R255" s="283">
        <v>5.1999999999999998E-2</v>
      </c>
      <c r="S255" s="283">
        <v>4.4999999999999998E-2</v>
      </c>
    </row>
    <row r="256" spans="1:24" ht="15" x14ac:dyDescent="0.2">
      <c r="A256" s="505"/>
      <c r="B256" s="512" t="s">
        <v>91</v>
      </c>
      <c r="C256" s="529" t="str">
        <f t="shared" si="64"/>
        <v>FLORIDA</v>
      </c>
      <c r="D256" s="513" t="s">
        <v>735</v>
      </c>
    </row>
    <row r="257" spans="1:30" ht="15" x14ac:dyDescent="0.2">
      <c r="A257" s="505"/>
      <c r="B257" s="512" t="s">
        <v>92</v>
      </c>
      <c r="C257" s="529" t="str">
        <f t="shared" si="64"/>
        <v>GEORGIA</v>
      </c>
      <c r="D257" s="513" t="s">
        <v>735</v>
      </c>
      <c r="M257" s="502">
        <v>0.71430000000000005</v>
      </c>
      <c r="N257" s="502">
        <v>0.6</v>
      </c>
      <c r="O257" s="502">
        <v>0.63160000000000005</v>
      </c>
      <c r="P257" s="502">
        <v>0.66669999999999996</v>
      </c>
      <c r="Q257" s="502">
        <v>0.75</v>
      </c>
      <c r="R257" s="502">
        <v>0.7742</v>
      </c>
      <c r="S257" s="502">
        <v>0.79410000000000003</v>
      </c>
      <c r="W257" s="283" t="s">
        <v>476</v>
      </c>
      <c r="Z257" s="283">
        <v>3.5999999999999997E-2</v>
      </c>
      <c r="AB257" s="283" t="s">
        <v>487</v>
      </c>
      <c r="AD257" s="283">
        <v>19.289429999999999</v>
      </c>
    </row>
    <row r="258" spans="1:30" ht="15" x14ac:dyDescent="0.2">
      <c r="A258" s="505"/>
      <c r="B258" s="512" t="s">
        <v>93</v>
      </c>
      <c r="C258" s="529" t="str">
        <f t="shared" si="64"/>
        <v>HAWAII</v>
      </c>
      <c r="D258" s="513" t="s">
        <v>737</v>
      </c>
      <c r="M258" s="502">
        <v>0.1071</v>
      </c>
      <c r="N258" s="502">
        <v>0.15</v>
      </c>
      <c r="O258" s="502">
        <v>0.15790000000000001</v>
      </c>
      <c r="P258" s="502">
        <v>0.16669999999999999</v>
      </c>
      <c r="Q258" s="502">
        <v>0.125</v>
      </c>
      <c r="R258" s="502">
        <v>0.129</v>
      </c>
      <c r="S258" s="502">
        <v>0.1176</v>
      </c>
      <c r="W258" s="283" t="s">
        <v>479</v>
      </c>
      <c r="Z258" s="283">
        <v>5.3330000000000001E-3</v>
      </c>
      <c r="AB258" s="283" t="s">
        <v>491</v>
      </c>
      <c r="AD258" s="283">
        <v>0.99712299999999998</v>
      </c>
    </row>
    <row r="259" spans="1:30" ht="15" x14ac:dyDescent="0.2">
      <c r="A259" s="505"/>
      <c r="B259" s="512" t="s">
        <v>94</v>
      </c>
      <c r="C259" s="529" t="str">
        <f t="shared" si="64"/>
        <v>IDAHO</v>
      </c>
      <c r="D259" s="513" t="s">
        <v>737</v>
      </c>
      <c r="M259" s="502">
        <v>0.17860000000000001</v>
      </c>
      <c r="N259" s="502">
        <v>0.25</v>
      </c>
      <c r="O259" s="502">
        <v>0.21049999999999999</v>
      </c>
      <c r="P259" s="502">
        <v>0.16669999999999999</v>
      </c>
      <c r="Q259" s="502">
        <v>0.125</v>
      </c>
      <c r="R259" s="502">
        <v>9.6799999999999997E-2</v>
      </c>
      <c r="S259" s="502">
        <v>8.8200000000000001E-2</v>
      </c>
      <c r="W259" s="283" t="s">
        <v>489</v>
      </c>
      <c r="Z259" s="283">
        <v>4.0000000000000001E-3</v>
      </c>
    </row>
    <row r="260" spans="1:30" ht="15" x14ac:dyDescent="0.2">
      <c r="A260" s="505"/>
      <c r="B260" s="512" t="s">
        <v>95</v>
      </c>
      <c r="C260" s="529" t="str">
        <f t="shared" si="64"/>
        <v>ILLINOIS</v>
      </c>
      <c r="D260" s="513" t="s">
        <v>750</v>
      </c>
      <c r="M260" s="283" t="s">
        <v>819</v>
      </c>
      <c r="U260" s="283" t="s">
        <v>820</v>
      </c>
      <c r="V260" s="283" t="s">
        <v>821</v>
      </c>
      <c r="AD260" s="283">
        <v>24.289429999999999</v>
      </c>
    </row>
    <row r="261" spans="1:30" ht="15" x14ac:dyDescent="0.2">
      <c r="A261" s="505"/>
      <c r="B261" s="512" t="s">
        <v>96</v>
      </c>
      <c r="C261" s="529" t="str">
        <f t="shared" si="64"/>
        <v>INDIANA</v>
      </c>
      <c r="D261" s="513" t="s">
        <v>750</v>
      </c>
      <c r="L261" s="283" t="s">
        <v>450</v>
      </c>
      <c r="M261" s="297">
        <f>IF(AND($D$228&gt;M$250,$D$228&lt;=M$251),M257,0)</f>
        <v>0</v>
      </c>
      <c r="N261" s="297">
        <f t="shared" ref="N261:S261" si="65">IF(AND($D$228&gt;N$250,$D$228&lt;=N$251),N257,0)</f>
        <v>0</v>
      </c>
      <c r="O261" s="297">
        <f t="shared" si="65"/>
        <v>0</v>
      </c>
      <c r="P261" s="297">
        <f t="shared" si="65"/>
        <v>0</v>
      </c>
      <c r="Q261" s="297">
        <f t="shared" si="65"/>
        <v>0</v>
      </c>
      <c r="R261" s="297">
        <f t="shared" si="65"/>
        <v>0</v>
      </c>
      <c r="S261" s="297">
        <f t="shared" si="65"/>
        <v>0</v>
      </c>
      <c r="T261" s="283" t="s">
        <v>450</v>
      </c>
      <c r="U261" s="297">
        <f>SUM(M261:S261)</f>
        <v>0</v>
      </c>
      <c r="AD261" s="283">
        <v>19.289429999999999</v>
      </c>
    </row>
    <row r="262" spans="1:30" ht="15" x14ac:dyDescent="0.2">
      <c r="A262" s="505"/>
      <c r="B262" s="512" t="s">
        <v>97</v>
      </c>
      <c r="C262" s="529" t="str">
        <f t="shared" si="64"/>
        <v>IOWA</v>
      </c>
      <c r="D262" s="513" t="s">
        <v>742</v>
      </c>
      <c r="L262" s="283" t="s">
        <v>478</v>
      </c>
      <c r="M262" s="297">
        <f t="shared" ref="M262:S263" si="66">IF(AND($D$228&gt;M$250,$D$228&lt;=M$251),M258,0)</f>
        <v>0</v>
      </c>
      <c r="N262" s="297">
        <f t="shared" si="66"/>
        <v>0</v>
      </c>
      <c r="O262" s="297">
        <f t="shared" si="66"/>
        <v>0</v>
      </c>
      <c r="P262" s="297">
        <f t="shared" si="66"/>
        <v>0</v>
      </c>
      <c r="Q262" s="297">
        <f t="shared" si="66"/>
        <v>0</v>
      </c>
      <c r="R262" s="297">
        <f t="shared" si="66"/>
        <v>0</v>
      </c>
      <c r="S262" s="297">
        <f t="shared" si="66"/>
        <v>0</v>
      </c>
      <c r="T262" s="283" t="s">
        <v>478</v>
      </c>
      <c r="U262" s="297">
        <f t="shared" ref="U262:U263" si="67">SUM(M262:S262)</f>
        <v>0</v>
      </c>
    </row>
    <row r="263" spans="1:30" ht="15" x14ac:dyDescent="0.2">
      <c r="A263" s="505"/>
      <c r="B263" s="512" t="s">
        <v>98</v>
      </c>
      <c r="C263" s="529" t="str">
        <f t="shared" si="64"/>
        <v>KANSAS</v>
      </c>
      <c r="D263" s="513" t="s">
        <v>742</v>
      </c>
      <c r="L263" s="283" t="s">
        <v>488</v>
      </c>
      <c r="M263" s="297">
        <f t="shared" si="66"/>
        <v>0</v>
      </c>
      <c r="N263" s="297">
        <f t="shared" si="66"/>
        <v>0</v>
      </c>
      <c r="O263" s="297">
        <f t="shared" si="66"/>
        <v>0</v>
      </c>
      <c r="P263" s="297">
        <f t="shared" si="66"/>
        <v>0</v>
      </c>
      <c r="Q263" s="297">
        <f t="shared" si="66"/>
        <v>0</v>
      </c>
      <c r="R263" s="297">
        <f t="shared" si="66"/>
        <v>0</v>
      </c>
      <c r="S263" s="297">
        <f t="shared" si="66"/>
        <v>0</v>
      </c>
      <c r="T263" s="283" t="s">
        <v>488</v>
      </c>
      <c r="U263" s="297">
        <f t="shared" si="67"/>
        <v>0</v>
      </c>
    </row>
    <row r="264" spans="1:30" ht="15" x14ac:dyDescent="0.2">
      <c r="A264" s="505"/>
      <c r="B264" s="512" t="s">
        <v>99</v>
      </c>
      <c r="C264" s="529" t="str">
        <f t="shared" si="64"/>
        <v>KENTUCKY</v>
      </c>
      <c r="D264" s="513" t="s">
        <v>735</v>
      </c>
    </row>
    <row r="265" spans="1:30" ht="15" x14ac:dyDescent="0.2">
      <c r="A265" s="505"/>
      <c r="B265" s="512" t="s">
        <v>100</v>
      </c>
      <c r="C265" s="529" t="str">
        <f t="shared" si="64"/>
        <v>LOUISIANA</v>
      </c>
      <c r="D265" s="513" t="s">
        <v>735</v>
      </c>
    </row>
    <row r="266" spans="1:30" ht="15" x14ac:dyDescent="0.2">
      <c r="A266" s="505"/>
      <c r="B266" s="512" t="s">
        <v>101</v>
      </c>
      <c r="C266" s="529" t="str">
        <f t="shared" si="64"/>
        <v>MAINE</v>
      </c>
      <c r="D266" s="513" t="s">
        <v>744</v>
      </c>
    </row>
    <row r="267" spans="1:30" ht="15" x14ac:dyDescent="0.2">
      <c r="A267" s="505"/>
      <c r="B267" s="512" t="s">
        <v>102</v>
      </c>
      <c r="C267" s="529" t="str">
        <f t="shared" si="64"/>
        <v>MARYLAND</v>
      </c>
      <c r="D267" s="513" t="s">
        <v>744</v>
      </c>
    </row>
    <row r="268" spans="1:30" ht="15" x14ac:dyDescent="0.2">
      <c r="A268" s="505"/>
      <c r="B268" s="512" t="s">
        <v>103</v>
      </c>
      <c r="C268" s="529" t="str">
        <f t="shared" si="64"/>
        <v>MASSACHUSETTS</v>
      </c>
      <c r="D268" s="513" t="s">
        <v>744</v>
      </c>
    </row>
    <row r="269" spans="1:30" ht="15" x14ac:dyDescent="0.2">
      <c r="A269" s="505"/>
      <c r="B269" s="512" t="s">
        <v>104</v>
      </c>
      <c r="C269" s="529" t="str">
        <f t="shared" si="64"/>
        <v>MICHIGAN</v>
      </c>
      <c r="D269" s="513" t="s">
        <v>750</v>
      </c>
    </row>
    <row r="270" spans="1:30" ht="15" x14ac:dyDescent="0.2">
      <c r="A270" s="505"/>
      <c r="B270" s="512" t="s">
        <v>105</v>
      </c>
      <c r="C270" s="529" t="str">
        <f>UPPER(B270)</f>
        <v>MINNESOTA</v>
      </c>
      <c r="D270" s="513" t="s">
        <v>742</v>
      </c>
    </row>
    <row r="271" spans="1:30" ht="15" x14ac:dyDescent="0.2">
      <c r="A271" s="505"/>
      <c r="B271" s="512" t="s">
        <v>106</v>
      </c>
      <c r="C271" s="529" t="str">
        <f t="shared" si="64"/>
        <v>MISSISSIPPI</v>
      </c>
      <c r="D271" s="513" t="s">
        <v>735</v>
      </c>
    </row>
    <row r="272" spans="1:30" ht="15" x14ac:dyDescent="0.2">
      <c r="A272" s="505"/>
      <c r="B272" s="512" t="s">
        <v>107</v>
      </c>
      <c r="C272" s="529" t="str">
        <f t="shared" si="64"/>
        <v>MISSOURI</v>
      </c>
      <c r="D272" s="513" t="s">
        <v>742</v>
      </c>
    </row>
    <row r="273" spans="1:4" ht="15" x14ac:dyDescent="0.2">
      <c r="A273" s="505"/>
      <c r="B273" s="512" t="s">
        <v>108</v>
      </c>
      <c r="C273" s="529" t="str">
        <f t="shared" si="64"/>
        <v>MONTANA</v>
      </c>
      <c r="D273" s="513" t="s">
        <v>742</v>
      </c>
    </row>
    <row r="274" spans="1:4" ht="15" x14ac:dyDescent="0.2">
      <c r="A274" s="505"/>
      <c r="B274" s="512" t="s">
        <v>109</v>
      </c>
      <c r="C274" s="529" t="str">
        <f t="shared" si="64"/>
        <v>NEBRASKA</v>
      </c>
      <c r="D274" s="513" t="s">
        <v>742</v>
      </c>
    </row>
    <row r="275" spans="1:4" ht="15" x14ac:dyDescent="0.2">
      <c r="A275" s="505"/>
      <c r="B275" s="512" t="s">
        <v>110</v>
      </c>
      <c r="C275" s="529" t="str">
        <f t="shared" si="64"/>
        <v>NEVADA</v>
      </c>
      <c r="D275" s="513" t="s">
        <v>737</v>
      </c>
    </row>
    <row r="276" spans="1:4" ht="15" x14ac:dyDescent="0.2">
      <c r="A276" s="505"/>
      <c r="B276" s="512" t="s">
        <v>111</v>
      </c>
      <c r="C276" s="529" t="str">
        <f t="shared" si="64"/>
        <v>NEW HAMPSHIRE</v>
      </c>
      <c r="D276" s="513" t="s">
        <v>744</v>
      </c>
    </row>
    <row r="277" spans="1:4" ht="15" x14ac:dyDescent="0.2">
      <c r="A277" s="505"/>
      <c r="B277" s="512" t="s">
        <v>112</v>
      </c>
      <c r="C277" s="529" t="str">
        <f t="shared" si="64"/>
        <v>NEW JERSEY</v>
      </c>
      <c r="D277" s="513" t="s">
        <v>744</v>
      </c>
    </row>
    <row r="278" spans="1:4" ht="15" x14ac:dyDescent="0.2">
      <c r="A278" s="505"/>
      <c r="B278" s="512" t="s">
        <v>113</v>
      </c>
      <c r="C278" s="529" t="str">
        <f t="shared" si="64"/>
        <v>NEW MEXICO</v>
      </c>
      <c r="D278" s="513" t="s">
        <v>742</v>
      </c>
    </row>
    <row r="279" spans="1:4" ht="15" x14ac:dyDescent="0.2">
      <c r="A279" s="505"/>
      <c r="B279" s="512" t="s">
        <v>114</v>
      </c>
      <c r="C279" s="529" t="str">
        <f t="shared" si="64"/>
        <v>NEW YORK</v>
      </c>
      <c r="D279" s="513" t="s">
        <v>744</v>
      </c>
    </row>
    <row r="280" spans="1:4" ht="15" x14ac:dyDescent="0.2">
      <c r="A280" s="505"/>
      <c r="B280" s="512" t="s">
        <v>115</v>
      </c>
      <c r="C280" s="529" t="str">
        <f t="shared" si="64"/>
        <v>NORTH CAROLINA</v>
      </c>
      <c r="D280" s="513" t="s">
        <v>735</v>
      </c>
    </row>
    <row r="281" spans="1:4" ht="15" x14ac:dyDescent="0.2">
      <c r="A281" s="505"/>
      <c r="B281" s="512" t="s">
        <v>116</v>
      </c>
      <c r="C281" s="529" t="str">
        <f t="shared" si="64"/>
        <v>NORTH DAKOTA</v>
      </c>
      <c r="D281" s="513" t="s">
        <v>742</v>
      </c>
    </row>
    <row r="282" spans="1:4" ht="15" x14ac:dyDescent="0.2">
      <c r="A282" s="505"/>
      <c r="B282" s="512" t="s">
        <v>117</v>
      </c>
      <c r="C282" s="529" t="str">
        <f t="shared" si="64"/>
        <v>OHIO</v>
      </c>
      <c r="D282" s="513" t="s">
        <v>750</v>
      </c>
    </row>
    <row r="283" spans="1:4" ht="15" x14ac:dyDescent="0.2">
      <c r="A283" s="505"/>
      <c r="B283" s="512" t="s">
        <v>118</v>
      </c>
      <c r="C283" s="529" t="str">
        <f t="shared" si="64"/>
        <v>OKLAHOMA</v>
      </c>
      <c r="D283" s="513" t="s">
        <v>742</v>
      </c>
    </row>
    <row r="284" spans="1:4" ht="15" x14ac:dyDescent="0.2">
      <c r="A284" s="505"/>
      <c r="B284" s="512" t="s">
        <v>119</v>
      </c>
      <c r="C284" s="529" t="str">
        <f t="shared" si="64"/>
        <v>OREGON</v>
      </c>
      <c r="D284" s="513" t="s">
        <v>737</v>
      </c>
    </row>
    <row r="285" spans="1:4" ht="15" x14ac:dyDescent="0.2">
      <c r="A285" s="505"/>
      <c r="B285" s="512" t="s">
        <v>120</v>
      </c>
      <c r="C285" s="529" t="str">
        <f t="shared" si="64"/>
        <v>PENNSYLVANIA</v>
      </c>
      <c r="D285" s="513" t="s">
        <v>744</v>
      </c>
    </row>
    <row r="286" spans="1:4" ht="15" x14ac:dyDescent="0.2">
      <c r="A286" s="505"/>
      <c r="B286" s="512" t="s">
        <v>121</v>
      </c>
      <c r="C286" s="529" t="str">
        <f t="shared" si="64"/>
        <v>RHODE ISLAND</v>
      </c>
      <c r="D286" s="513" t="s">
        <v>744</v>
      </c>
    </row>
    <row r="287" spans="1:4" ht="15" x14ac:dyDescent="0.2">
      <c r="A287" s="505"/>
      <c r="B287" s="512" t="s">
        <v>122</v>
      </c>
      <c r="C287" s="529" t="str">
        <f t="shared" si="64"/>
        <v>SOUTH CAROLINA</v>
      </c>
      <c r="D287" s="513" t="s">
        <v>735</v>
      </c>
    </row>
    <row r="288" spans="1:4" ht="15" x14ac:dyDescent="0.2">
      <c r="A288" s="505"/>
      <c r="B288" s="512" t="s">
        <v>123</v>
      </c>
      <c r="C288" s="529" t="str">
        <f>UPPER(B288)</f>
        <v>SOUTH DAKOTA</v>
      </c>
      <c r="D288" s="513" t="s">
        <v>742</v>
      </c>
    </row>
    <row r="289" spans="1:4" ht="15" x14ac:dyDescent="0.2">
      <c r="A289" s="505"/>
      <c r="B289" s="512" t="s">
        <v>124</v>
      </c>
      <c r="C289" s="529" t="str">
        <f t="shared" si="64"/>
        <v>TENNESSEE</v>
      </c>
      <c r="D289" s="513" t="s">
        <v>735</v>
      </c>
    </row>
    <row r="290" spans="1:4" ht="15" x14ac:dyDescent="0.2">
      <c r="A290" s="505"/>
      <c r="B290" s="512" t="s">
        <v>125</v>
      </c>
      <c r="C290" s="529" t="str">
        <f t="shared" si="64"/>
        <v>TEXAS</v>
      </c>
      <c r="D290" s="513" t="s">
        <v>742</v>
      </c>
    </row>
    <row r="291" spans="1:4" ht="15" x14ac:dyDescent="0.2">
      <c r="A291" s="505"/>
      <c r="B291" s="512" t="s">
        <v>126</v>
      </c>
      <c r="C291" s="529" t="str">
        <f t="shared" si="64"/>
        <v>UTAH</v>
      </c>
      <c r="D291" s="513" t="s">
        <v>737</v>
      </c>
    </row>
    <row r="292" spans="1:4" ht="15" x14ac:dyDescent="0.2">
      <c r="A292" s="505"/>
      <c r="B292" s="512" t="s">
        <v>127</v>
      </c>
      <c r="C292" s="529" t="str">
        <f t="shared" si="64"/>
        <v>VERMONT</v>
      </c>
      <c r="D292" s="513" t="s">
        <v>744</v>
      </c>
    </row>
    <row r="293" spans="1:4" ht="15" x14ac:dyDescent="0.2">
      <c r="A293" s="505"/>
      <c r="B293" s="512" t="s">
        <v>128</v>
      </c>
      <c r="C293" s="529" t="str">
        <f t="shared" si="64"/>
        <v>VIRGINIA</v>
      </c>
      <c r="D293" s="513" t="s">
        <v>735</v>
      </c>
    </row>
    <row r="294" spans="1:4" ht="15" x14ac:dyDescent="0.2">
      <c r="A294" s="505"/>
      <c r="B294" s="512" t="s">
        <v>129</v>
      </c>
      <c r="C294" s="529" t="str">
        <f t="shared" si="64"/>
        <v>WASHINGTON</v>
      </c>
      <c r="D294" s="513" t="s">
        <v>737</v>
      </c>
    </row>
    <row r="295" spans="1:4" ht="15" x14ac:dyDescent="0.2">
      <c r="A295" s="505"/>
      <c r="B295" s="512" t="s">
        <v>130</v>
      </c>
      <c r="C295" s="529" t="str">
        <f t="shared" si="64"/>
        <v>WEST VIRGINIA</v>
      </c>
      <c r="D295" s="513" t="s">
        <v>735</v>
      </c>
    </row>
    <row r="296" spans="1:4" ht="15" x14ac:dyDescent="0.2">
      <c r="A296" s="505"/>
      <c r="B296" s="512" t="s">
        <v>131</v>
      </c>
      <c r="C296" s="529" t="str">
        <f t="shared" si="64"/>
        <v>WISCONSIN</v>
      </c>
      <c r="D296" s="513" t="s">
        <v>750</v>
      </c>
    </row>
    <row r="297" spans="1:4" ht="16" thickBot="1" x14ac:dyDescent="0.25">
      <c r="A297" s="505"/>
      <c r="B297" s="514" t="s">
        <v>81</v>
      </c>
      <c r="C297" s="529" t="str">
        <f t="shared" si="64"/>
        <v>WYOMING</v>
      </c>
      <c r="D297" s="515" t="s">
        <v>742</v>
      </c>
    </row>
  </sheetData>
  <sheetProtection algorithmName="SHA-512" hashValue="LZTMQHOZ9VHVhh66gDgysDrfY2stkO6jNuqUg7eJr93mrwfScELvkldkprt+qgaef2TaMvrlQCBVnbB0RJAaIg==" saltValue="3wxUq/x2oMyGUdu7GjGMyQ==" spinCount="100000" sheet="1" objects="1" scenarios="1"/>
  <customSheetViews>
    <customSheetView guid="{55B80D82-F000-11D6-8735-C8E5A357943D}" showRuler="0" topLeftCell="A56">
      <selection activeCell="B65" sqref="B65"/>
      <pageMargins left="0.75" right="0.75" top="1" bottom="1" header="0.5" footer="0.5"/>
      <headerFooter alignWithMargins="0"/>
    </customSheetView>
  </customSheetViews>
  <phoneticPr fontId="0" type="noConversion"/>
  <hyperlinks>
    <hyperlink ref="BF146" r:id="rId1" display="=@AVERAGE(A144" xr:uid="{00000000-0004-0000-0600-000000000000}"/>
  </hyperlinks>
  <pageMargins left="0.75" right="0.75" top="1" bottom="1" header="0.5" footer="0.5"/>
  <pageSetup orientation="portrait" horizontalDpi="4294967293" verticalDpi="300" r:id="rId2"/>
  <headerFooter alignWithMargins="0"/>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AM60"/>
  <sheetViews>
    <sheetView workbookViewId="0">
      <selection activeCell="C1" sqref="C1"/>
    </sheetView>
  </sheetViews>
  <sheetFormatPr baseColWidth="10" defaultColWidth="8.83203125" defaultRowHeight="13" x14ac:dyDescent="0.15"/>
  <cols>
    <col min="1" max="1" width="161.33203125" customWidth="1"/>
    <col min="2" max="2" width="21.1640625" style="278" customWidth="1"/>
    <col min="3" max="3" width="9.6640625" customWidth="1"/>
    <col min="4" max="5" width="11.6640625" customWidth="1"/>
    <col min="6" max="33" width="11.6640625" bestFit="1" customWidth="1"/>
    <col min="34" max="38" width="11.6640625" customWidth="1"/>
  </cols>
  <sheetData>
    <row r="1" spans="1:39" x14ac:dyDescent="0.15">
      <c r="A1" s="157"/>
      <c r="B1" s="157"/>
      <c r="H1" s="14"/>
    </row>
    <row r="2" spans="1:39" x14ac:dyDescent="0.15">
      <c r="A2" s="157"/>
      <c r="B2" s="157"/>
      <c r="C2" s="90" t="str">
        <f>CONCATENATE("Conversion to Year ",E4," dollars and back for consistency with multiplier data.")</f>
        <v>Conversion to Year 2016 dollars and back for consistency with multiplier data.</v>
      </c>
      <c r="G2" s="14"/>
    </row>
    <row r="3" spans="1:39" x14ac:dyDescent="0.15">
      <c r="A3" s="157"/>
      <c r="B3" s="157"/>
      <c r="C3" s="90"/>
      <c r="G3" s="14"/>
    </row>
    <row r="4" spans="1:39" ht="11.25" customHeight="1" x14ac:dyDescent="0.15">
      <c r="A4" s="157"/>
      <c r="B4" s="157"/>
      <c r="C4" s="24" t="s">
        <v>337</v>
      </c>
      <c r="E4">
        <f>IF('STEP 3 - Edit Project Data'!B13="MYCOUNTY",'User Add-in Location'!D3,IF('STEP 3 - Edit Project Data'!B13="MYREGION",'User Add-in Location'!D4,Multipliers!D2))</f>
        <v>2016</v>
      </c>
      <c r="F4" s="98" t="str">
        <f>IF(E4=0,"ERROR","")</f>
        <v/>
      </c>
      <c r="G4" s="14" t="s">
        <v>338</v>
      </c>
      <c r="I4" s="1" t="str">
        <f>'STEP 3 - Edit Project Data'!B13</f>
        <v>COLORADO</v>
      </c>
    </row>
    <row r="5" spans="1:39" ht="20.25" customHeight="1" x14ac:dyDescent="0.25">
      <c r="A5" s="159" t="s">
        <v>418</v>
      </c>
      <c r="B5" s="159"/>
      <c r="C5" s="24" t="s">
        <v>339</v>
      </c>
      <c r="E5">
        <f>'STEP 3 - Edit Project Data'!B22</f>
        <v>2020</v>
      </c>
    </row>
    <row r="6" spans="1:39" x14ac:dyDescent="0.15">
      <c r="A6" s="157"/>
      <c r="B6" s="157"/>
      <c r="F6" s="97"/>
    </row>
    <row r="7" spans="1:39" ht="16" x14ac:dyDescent="0.2">
      <c r="A7" s="160" t="s">
        <v>419</v>
      </c>
      <c r="B7" s="160"/>
      <c r="D7" t="s">
        <v>142</v>
      </c>
      <c r="E7" s="193"/>
      <c r="F7" s="193">
        <f>HLOOKUP($E$5,$D$11:$AM$43,$D$53)</f>
        <v>0.93469999999999998</v>
      </c>
    </row>
    <row r="8" spans="1:39" ht="16" x14ac:dyDescent="0.2">
      <c r="A8" s="161"/>
      <c r="B8" s="161"/>
      <c r="D8" t="s">
        <v>314</v>
      </c>
      <c r="E8" s="193"/>
      <c r="F8" s="193">
        <f>HLOOKUP($E$5,$D$11:$AM$43,$D$54)</f>
        <v>1.0698000000000001</v>
      </c>
    </row>
    <row r="9" spans="1:39" ht="16" x14ac:dyDescent="0.2">
      <c r="A9" s="160" t="s">
        <v>420</v>
      </c>
      <c r="B9" s="160"/>
      <c r="D9" s="38"/>
      <c r="E9" s="38"/>
      <c r="F9" s="38"/>
      <c r="Q9" s="38"/>
      <c r="R9" s="38"/>
      <c r="S9" s="38"/>
      <c r="T9" s="38"/>
      <c r="U9" s="38"/>
      <c r="V9" s="38"/>
      <c r="W9" s="38"/>
      <c r="X9" s="38"/>
      <c r="Y9" s="38"/>
      <c r="Z9" s="38"/>
      <c r="AA9" s="38"/>
      <c r="AB9" s="38"/>
      <c r="AC9" s="38"/>
      <c r="AD9" s="38"/>
      <c r="AE9" s="38"/>
      <c r="AF9" s="38"/>
      <c r="AG9" s="38"/>
      <c r="AH9" s="38"/>
      <c r="AI9" s="38"/>
      <c r="AJ9" s="38"/>
      <c r="AK9" s="38"/>
      <c r="AL9" s="38"/>
    </row>
    <row r="10" spans="1:39" ht="16" x14ac:dyDescent="0.2">
      <c r="A10" s="160"/>
      <c r="B10" s="160"/>
      <c r="D10" s="42"/>
      <c r="E10" s="42"/>
      <c r="F10" s="42"/>
      <c r="G10" s="42"/>
      <c r="H10" s="42"/>
      <c r="I10" s="42"/>
      <c r="J10" s="42"/>
      <c r="K10" s="42"/>
      <c r="L10" s="42"/>
      <c r="V10" s="38"/>
    </row>
    <row r="11" spans="1:39" ht="16" x14ac:dyDescent="0.2">
      <c r="A11" s="160" t="s">
        <v>421</v>
      </c>
      <c r="B11" s="160"/>
      <c r="D11" s="25">
        <v>2005</v>
      </c>
      <c r="E11" s="25">
        <v>2006</v>
      </c>
      <c r="F11" s="25">
        <v>2007</v>
      </c>
      <c r="G11" s="25">
        <v>2008</v>
      </c>
      <c r="H11" s="25">
        <v>2009</v>
      </c>
      <c r="I11" s="25">
        <v>2010</v>
      </c>
      <c r="J11" s="25">
        <v>2011</v>
      </c>
      <c r="K11" s="25">
        <v>2012</v>
      </c>
      <c r="L11" s="25">
        <v>2013</v>
      </c>
      <c r="M11" s="25">
        <v>2014</v>
      </c>
      <c r="N11" s="25">
        <v>2015</v>
      </c>
      <c r="O11" s="25">
        <v>2016</v>
      </c>
      <c r="P11" s="25">
        <v>2017</v>
      </c>
      <c r="Q11" s="25">
        <v>2018</v>
      </c>
      <c r="R11" s="25">
        <v>2019</v>
      </c>
      <c r="S11" s="25">
        <v>2020</v>
      </c>
      <c r="T11" s="25">
        <v>2021</v>
      </c>
      <c r="U11" s="25">
        <v>2022</v>
      </c>
      <c r="V11" s="25">
        <v>2023</v>
      </c>
      <c r="W11" s="25">
        <v>2024</v>
      </c>
      <c r="X11" s="25">
        <v>2025</v>
      </c>
      <c r="Y11" s="25">
        <v>2026</v>
      </c>
      <c r="Z11" s="25">
        <v>2027</v>
      </c>
      <c r="AA11" s="25">
        <v>2028</v>
      </c>
      <c r="AB11" s="25">
        <v>2029</v>
      </c>
      <c r="AC11" s="25">
        <v>2030</v>
      </c>
      <c r="AD11" s="25">
        <v>2031</v>
      </c>
      <c r="AE11" s="25">
        <v>2032</v>
      </c>
      <c r="AF11" s="25">
        <v>2033</v>
      </c>
      <c r="AG11" s="25">
        <v>2034</v>
      </c>
      <c r="AH11" s="25">
        <v>2035</v>
      </c>
      <c r="AI11" s="25">
        <v>2036</v>
      </c>
      <c r="AJ11" s="25">
        <v>2037</v>
      </c>
      <c r="AK11" s="25">
        <v>2038</v>
      </c>
      <c r="AL11" s="25">
        <v>2039</v>
      </c>
      <c r="AM11" s="25">
        <v>2040</v>
      </c>
    </row>
    <row r="12" spans="1:39" s="151" customFormat="1" ht="14" x14ac:dyDescent="0.15">
      <c r="A12" s="157"/>
      <c r="B12" s="157"/>
      <c r="C12" s="229" t="s">
        <v>635</v>
      </c>
      <c r="D12" s="230">
        <v>1</v>
      </c>
      <c r="E12" s="230">
        <v>1.0325</v>
      </c>
      <c r="F12" s="230">
        <v>1.0606</v>
      </c>
      <c r="G12" s="230">
        <v>1.0826</v>
      </c>
      <c r="H12" s="230">
        <v>1.0952</v>
      </c>
      <c r="I12" s="230">
        <v>1.1048</v>
      </c>
      <c r="J12" s="230">
        <v>1.1273</v>
      </c>
      <c r="K12" s="230">
        <v>1.1477999999999999</v>
      </c>
      <c r="L12" s="230">
        <v>1.1672</v>
      </c>
      <c r="M12" s="230">
        <v>1.1884999999999999</v>
      </c>
      <c r="N12" s="230">
        <v>1.2028000000000001</v>
      </c>
      <c r="O12" s="230">
        <v>1.2166999999999999</v>
      </c>
      <c r="P12" s="230">
        <v>1.2377</v>
      </c>
      <c r="Q12" s="230">
        <v>1.2569999999999999</v>
      </c>
      <c r="R12" s="230">
        <v>1.2781</v>
      </c>
      <c r="S12" s="230">
        <v>1.3017000000000001</v>
      </c>
      <c r="T12" s="230">
        <v>1.3274999999999999</v>
      </c>
      <c r="U12" s="231">
        <v>1.3541000000000001</v>
      </c>
      <c r="V12" s="231">
        <v>1.3813</v>
      </c>
      <c r="W12" s="231">
        <v>1.4069</v>
      </c>
      <c r="X12" s="231">
        <v>1.4329000000000001</v>
      </c>
      <c r="Y12" s="231">
        <v>1.4593</v>
      </c>
      <c r="Z12" s="231">
        <v>1.4863</v>
      </c>
      <c r="AA12" s="231">
        <v>1.5138</v>
      </c>
      <c r="AB12" s="231">
        <v>1.5417000000000001</v>
      </c>
      <c r="AC12" s="231">
        <v>1.5702</v>
      </c>
      <c r="AD12" s="231">
        <v>1.5992</v>
      </c>
      <c r="AE12" s="231">
        <v>1.6288</v>
      </c>
      <c r="AF12" s="231">
        <v>1.6589</v>
      </c>
      <c r="AG12" s="231">
        <v>1.6895</v>
      </c>
      <c r="AH12" s="231">
        <v>1.7206999999999999</v>
      </c>
      <c r="AI12" s="231">
        <v>1.7524999999999999</v>
      </c>
      <c r="AJ12" s="231">
        <v>1.7848999999999999</v>
      </c>
      <c r="AK12" s="231">
        <v>1.8179000000000001</v>
      </c>
      <c r="AL12" s="231">
        <v>1.8514999999999999</v>
      </c>
      <c r="AM12" s="231">
        <v>1.8856999999999999</v>
      </c>
    </row>
    <row r="13" spans="1:39" s="151" customFormat="1" x14ac:dyDescent="0.15">
      <c r="A13" s="157"/>
      <c r="B13" s="157"/>
      <c r="C13" s="229"/>
      <c r="D13" s="231">
        <v>1</v>
      </c>
      <c r="E13" s="231">
        <v>0.96850000000000003</v>
      </c>
      <c r="F13" s="231">
        <v>0.94289999999999996</v>
      </c>
      <c r="G13" s="231">
        <v>0.92369999999999997</v>
      </c>
      <c r="H13" s="231">
        <v>0.91310000000000002</v>
      </c>
      <c r="I13" s="231">
        <v>0.90510000000000002</v>
      </c>
      <c r="J13" s="231">
        <v>0.8871</v>
      </c>
      <c r="K13" s="231">
        <v>0.87119999999999997</v>
      </c>
      <c r="L13" s="231">
        <v>0.85670000000000002</v>
      </c>
      <c r="M13" s="231">
        <v>0.84140000000000004</v>
      </c>
      <c r="N13" s="231">
        <v>0.83140000000000003</v>
      </c>
      <c r="O13" s="231">
        <v>0.82189999999999996</v>
      </c>
      <c r="P13" s="231">
        <v>0.80800000000000005</v>
      </c>
      <c r="Q13" s="231">
        <v>0.79549999999999998</v>
      </c>
      <c r="R13" s="231">
        <v>0.78239999999999998</v>
      </c>
      <c r="S13" s="231">
        <v>0.76819999999999999</v>
      </c>
      <c r="T13" s="231">
        <v>0.75329999999999997</v>
      </c>
      <c r="U13" s="231">
        <v>0.73850000000000005</v>
      </c>
      <c r="V13" s="231">
        <v>0.72389999999999999</v>
      </c>
      <c r="W13" s="231">
        <v>0.71079999999999999</v>
      </c>
      <c r="X13" s="231">
        <v>0.69789999999999996</v>
      </c>
      <c r="Y13" s="231">
        <v>0.68520000000000003</v>
      </c>
      <c r="Z13" s="231">
        <v>0.67279999999999995</v>
      </c>
      <c r="AA13" s="231">
        <v>0.66059999999999997</v>
      </c>
      <c r="AB13" s="231">
        <v>0.64859999999999995</v>
      </c>
      <c r="AC13" s="231">
        <v>0.63690000000000002</v>
      </c>
      <c r="AD13" s="231">
        <v>0.62529999999999997</v>
      </c>
      <c r="AE13" s="231">
        <v>0.61399999999999999</v>
      </c>
      <c r="AF13" s="231">
        <v>0.6028</v>
      </c>
      <c r="AG13" s="231">
        <v>0.59189999999999998</v>
      </c>
      <c r="AH13" s="231">
        <v>0.58120000000000005</v>
      </c>
      <c r="AI13" s="231">
        <v>0.5706</v>
      </c>
      <c r="AJ13" s="231">
        <v>0.56030000000000002</v>
      </c>
      <c r="AK13" s="231">
        <v>0.55010000000000003</v>
      </c>
      <c r="AL13" s="231">
        <v>0.54010000000000002</v>
      </c>
      <c r="AM13" s="231">
        <v>0.53029999999999999</v>
      </c>
    </row>
    <row r="14" spans="1:39" ht="14" x14ac:dyDescent="0.15">
      <c r="A14" s="157"/>
      <c r="B14" s="157"/>
      <c r="C14" s="229" t="s">
        <v>636</v>
      </c>
      <c r="D14" s="230">
        <v>0.96850000000000003</v>
      </c>
      <c r="E14" s="230">
        <v>1</v>
      </c>
      <c r="F14" s="230">
        <v>1.0271999999999999</v>
      </c>
      <c r="G14" s="230">
        <v>1.0485</v>
      </c>
      <c r="H14" s="230">
        <v>1.0607</v>
      </c>
      <c r="I14" s="230">
        <v>1.07</v>
      </c>
      <c r="J14" s="230">
        <v>1.0916999999999999</v>
      </c>
      <c r="K14" s="230">
        <v>1.1116999999999999</v>
      </c>
      <c r="L14" s="230">
        <v>1.1305000000000001</v>
      </c>
      <c r="M14" s="230">
        <v>1.151</v>
      </c>
      <c r="N14" s="230">
        <v>1.1649</v>
      </c>
      <c r="O14" s="230">
        <v>1.1783999999999999</v>
      </c>
      <c r="P14" s="230">
        <v>1.1987000000000001</v>
      </c>
      <c r="Q14" s="230">
        <v>1.2174</v>
      </c>
      <c r="R14" s="230">
        <v>1.2378</v>
      </c>
      <c r="S14" s="230">
        <v>1.2606999999999999</v>
      </c>
      <c r="T14" s="230">
        <v>1.2856000000000001</v>
      </c>
      <c r="U14" s="231">
        <v>1.3113999999999999</v>
      </c>
      <c r="V14" s="231">
        <v>1.3378000000000001</v>
      </c>
      <c r="W14" s="231">
        <v>1.3625</v>
      </c>
      <c r="X14" s="231">
        <v>1.3876999999999999</v>
      </c>
      <c r="Y14" s="231">
        <v>1.4134</v>
      </c>
      <c r="Z14" s="231">
        <v>1.4395</v>
      </c>
      <c r="AA14" s="231">
        <v>1.4661</v>
      </c>
      <c r="AB14" s="231">
        <v>1.4932000000000001</v>
      </c>
      <c r="AC14" s="231">
        <v>1.5206999999999999</v>
      </c>
      <c r="AD14" s="231">
        <v>1.5488</v>
      </c>
      <c r="AE14" s="231">
        <v>1.5774999999999999</v>
      </c>
      <c r="AF14" s="231">
        <v>1.6066</v>
      </c>
      <c r="AG14" s="231">
        <v>1.6363000000000001</v>
      </c>
      <c r="AH14" s="231">
        <v>1.6665000000000001</v>
      </c>
      <c r="AI14" s="231">
        <v>1.6973</v>
      </c>
      <c r="AJ14" s="231">
        <v>1.7286999999999999</v>
      </c>
      <c r="AK14" s="231">
        <v>1.7605999999999999</v>
      </c>
      <c r="AL14" s="231">
        <v>1.7930999999999999</v>
      </c>
      <c r="AM14" s="231">
        <v>1.8263</v>
      </c>
    </row>
    <row r="15" spans="1:39" s="151" customFormat="1" x14ac:dyDescent="0.15">
      <c r="A15" s="157"/>
      <c r="B15" s="157"/>
      <c r="C15" s="229"/>
      <c r="D15" s="231">
        <v>1.0325</v>
      </c>
      <c r="E15" s="231">
        <v>1</v>
      </c>
      <c r="F15" s="231">
        <v>0.97360000000000002</v>
      </c>
      <c r="G15" s="231">
        <v>0.95379999999999998</v>
      </c>
      <c r="H15" s="231">
        <v>0.94279999999999997</v>
      </c>
      <c r="I15" s="231">
        <v>0.93459999999999999</v>
      </c>
      <c r="J15" s="231">
        <v>0.91600000000000004</v>
      </c>
      <c r="K15" s="231">
        <v>0.89949999999999997</v>
      </c>
      <c r="L15" s="231">
        <v>0.88460000000000005</v>
      </c>
      <c r="M15" s="231">
        <v>0.86880000000000002</v>
      </c>
      <c r="N15" s="231">
        <v>0.85840000000000005</v>
      </c>
      <c r="O15" s="231">
        <v>0.84860000000000002</v>
      </c>
      <c r="P15" s="231">
        <v>0.83430000000000004</v>
      </c>
      <c r="Q15" s="231">
        <v>0.82140000000000002</v>
      </c>
      <c r="R15" s="231">
        <v>0.80789999999999995</v>
      </c>
      <c r="S15" s="231">
        <v>0.83169999999999999</v>
      </c>
      <c r="T15" s="231">
        <v>0.77780000000000005</v>
      </c>
      <c r="U15" s="231">
        <v>0.76249999999999996</v>
      </c>
      <c r="V15" s="231">
        <v>0.74750000000000005</v>
      </c>
      <c r="W15" s="231">
        <v>0.7339</v>
      </c>
      <c r="X15" s="231">
        <v>0.72060000000000002</v>
      </c>
      <c r="Y15" s="231">
        <v>0.70750000000000002</v>
      </c>
      <c r="Z15" s="231">
        <v>0.69469999999999998</v>
      </c>
      <c r="AA15" s="231">
        <v>0.68210000000000004</v>
      </c>
      <c r="AB15" s="231">
        <v>0.66969999999999996</v>
      </c>
      <c r="AC15" s="231">
        <v>0.65759999999999996</v>
      </c>
      <c r="AD15" s="231">
        <v>0.64559999999999995</v>
      </c>
      <c r="AE15" s="231">
        <v>0.63390000000000002</v>
      </c>
      <c r="AF15" s="231">
        <v>0.62239999999999995</v>
      </c>
      <c r="AG15" s="231">
        <v>0.61109999999999998</v>
      </c>
      <c r="AH15" s="231">
        <v>0.60009999999999997</v>
      </c>
      <c r="AI15" s="231">
        <v>0.58919999999999995</v>
      </c>
      <c r="AJ15" s="231">
        <v>0.57850000000000001</v>
      </c>
      <c r="AK15" s="231">
        <v>0.56799999999999995</v>
      </c>
      <c r="AL15" s="231">
        <v>0.55769999999999997</v>
      </c>
      <c r="AM15" s="231">
        <v>0.54759999999999998</v>
      </c>
    </row>
    <row r="16" spans="1:39" s="151" customFormat="1" ht="14" x14ac:dyDescent="0.15">
      <c r="A16" s="157"/>
      <c r="B16" s="157"/>
      <c r="C16" s="229" t="s">
        <v>404</v>
      </c>
      <c r="D16" s="230">
        <v>0.94289999999999996</v>
      </c>
      <c r="E16" s="230">
        <v>0.97360000000000002</v>
      </c>
      <c r="F16" s="230">
        <v>1</v>
      </c>
      <c r="G16" s="230">
        <v>1.0207999999999999</v>
      </c>
      <c r="H16" s="230">
        <v>1.0326</v>
      </c>
      <c r="I16" s="230">
        <v>1.0417000000000001</v>
      </c>
      <c r="J16" s="230">
        <v>1.0629</v>
      </c>
      <c r="K16" s="230">
        <v>1.0823</v>
      </c>
      <c r="L16" s="230">
        <v>1.1006</v>
      </c>
      <c r="M16" s="230">
        <v>1.1206</v>
      </c>
      <c r="N16" s="230">
        <v>1.1341000000000001</v>
      </c>
      <c r="O16" s="230">
        <v>1.1473</v>
      </c>
      <c r="P16" s="230">
        <v>1.167</v>
      </c>
      <c r="Q16" s="230">
        <v>1.1853</v>
      </c>
      <c r="R16" s="230">
        <v>1.2051000000000001</v>
      </c>
      <c r="S16" s="230">
        <v>1.2274</v>
      </c>
      <c r="T16" s="230">
        <v>1.2517</v>
      </c>
      <c r="U16" s="231">
        <v>1.2766999999999999</v>
      </c>
      <c r="V16" s="231">
        <v>1.3025</v>
      </c>
      <c r="W16" s="231">
        <v>1.3265</v>
      </c>
      <c r="X16" s="231">
        <v>1.351</v>
      </c>
      <c r="Y16" s="231">
        <v>1.3759999999999999</v>
      </c>
      <c r="Z16" s="231">
        <v>1.4014</v>
      </c>
      <c r="AA16" s="231">
        <v>1.4273</v>
      </c>
      <c r="AB16" s="231">
        <v>1.4537</v>
      </c>
      <c r="AC16" s="231">
        <v>1.4804999999999999</v>
      </c>
      <c r="AD16" s="231">
        <v>1.5079</v>
      </c>
      <c r="AE16" s="231">
        <v>1.5358000000000001</v>
      </c>
      <c r="AF16" s="231">
        <v>1.5641</v>
      </c>
      <c r="AG16" s="231">
        <v>1.593</v>
      </c>
      <c r="AH16" s="231">
        <v>1.6225000000000001</v>
      </c>
      <c r="AI16" s="231">
        <v>1.6524000000000001</v>
      </c>
      <c r="AJ16" s="231">
        <v>1.6830000000000001</v>
      </c>
      <c r="AK16" s="231">
        <v>1.7141</v>
      </c>
      <c r="AL16" s="231">
        <v>1.7457</v>
      </c>
      <c r="AM16" s="231">
        <v>1.778</v>
      </c>
    </row>
    <row r="17" spans="1:39" x14ac:dyDescent="0.15">
      <c r="A17" s="157"/>
      <c r="B17" s="157"/>
      <c r="C17" s="229"/>
      <c r="D17" s="231">
        <v>1.0606</v>
      </c>
      <c r="E17" s="231">
        <v>1.0271999999999999</v>
      </c>
      <c r="F17" s="231">
        <v>1</v>
      </c>
      <c r="G17" s="231">
        <v>0.97970000000000002</v>
      </c>
      <c r="H17" s="231">
        <v>0.96840000000000004</v>
      </c>
      <c r="I17" s="231">
        <v>0.96</v>
      </c>
      <c r="J17" s="231">
        <v>0.94079999999999997</v>
      </c>
      <c r="K17" s="231">
        <v>0.92400000000000004</v>
      </c>
      <c r="L17" s="231">
        <v>0.90859999999999996</v>
      </c>
      <c r="M17" s="231">
        <v>0.89239999999999997</v>
      </c>
      <c r="N17" s="231">
        <v>0.88170000000000004</v>
      </c>
      <c r="O17" s="231">
        <v>0.87160000000000004</v>
      </c>
      <c r="P17" s="231">
        <v>0.8569</v>
      </c>
      <c r="Q17" s="231">
        <v>0.84370000000000001</v>
      </c>
      <c r="R17" s="231">
        <v>0.82979999999999998</v>
      </c>
      <c r="S17" s="231">
        <v>0.81469999999999998</v>
      </c>
      <c r="T17" s="231">
        <v>0.79890000000000005</v>
      </c>
      <c r="U17" s="231">
        <v>0.78320000000000001</v>
      </c>
      <c r="V17" s="231">
        <v>0.76780000000000004</v>
      </c>
      <c r="W17" s="231">
        <v>0.75390000000000001</v>
      </c>
      <c r="X17" s="231">
        <v>0.74019999999999997</v>
      </c>
      <c r="Y17" s="231">
        <v>0.72670000000000001</v>
      </c>
      <c r="Z17" s="231">
        <v>0.71360000000000001</v>
      </c>
      <c r="AA17" s="231">
        <v>0.7006</v>
      </c>
      <c r="AB17" s="231">
        <v>0.68789999999999996</v>
      </c>
      <c r="AC17" s="231">
        <v>0.6754</v>
      </c>
      <c r="AD17" s="231">
        <v>0.66320000000000001</v>
      </c>
      <c r="AE17" s="231">
        <v>0.65110000000000001</v>
      </c>
      <c r="AF17" s="231">
        <v>0.63929999999999998</v>
      </c>
      <c r="AG17" s="231">
        <v>0.62770000000000004</v>
      </c>
      <c r="AH17" s="231">
        <v>0.61629999999999996</v>
      </c>
      <c r="AI17" s="231">
        <v>0.60519999999999996</v>
      </c>
      <c r="AJ17" s="231">
        <v>0.59419999999999995</v>
      </c>
      <c r="AK17" s="231">
        <v>0.58340000000000003</v>
      </c>
      <c r="AL17" s="231">
        <v>0.57279999999999998</v>
      </c>
      <c r="AM17" s="231">
        <v>0.56240000000000001</v>
      </c>
    </row>
    <row r="18" spans="1:39" s="151" customFormat="1" ht="16" x14ac:dyDescent="0.2">
      <c r="A18" s="160" t="s">
        <v>422</v>
      </c>
      <c r="B18" s="160"/>
      <c r="C18" s="229" t="s">
        <v>405</v>
      </c>
      <c r="D18" s="230">
        <v>0.92369999999999997</v>
      </c>
      <c r="E18" s="230">
        <v>0.95379999999999998</v>
      </c>
      <c r="F18" s="230">
        <v>0.97970000000000002</v>
      </c>
      <c r="G18" s="230">
        <v>1</v>
      </c>
      <c r="H18" s="230">
        <v>1.0116000000000001</v>
      </c>
      <c r="I18" s="230">
        <v>1.0205</v>
      </c>
      <c r="J18" s="230">
        <v>1.0412999999999999</v>
      </c>
      <c r="K18" s="230">
        <v>1.0603</v>
      </c>
      <c r="L18" s="230">
        <v>1.0782</v>
      </c>
      <c r="M18" s="230">
        <v>1.0978000000000001</v>
      </c>
      <c r="N18" s="230">
        <v>1.1111</v>
      </c>
      <c r="O18" s="230">
        <v>1.1238999999999999</v>
      </c>
      <c r="P18" s="230">
        <v>1.1432</v>
      </c>
      <c r="Q18" s="230">
        <v>1.1612</v>
      </c>
      <c r="R18" s="230">
        <v>1.1806000000000001</v>
      </c>
      <c r="S18" s="230">
        <v>1.2023999999999999</v>
      </c>
      <c r="T18" s="230">
        <v>1.2262</v>
      </c>
      <c r="U18" s="231">
        <v>1.2507999999999999</v>
      </c>
      <c r="V18" s="231">
        <v>1.276</v>
      </c>
      <c r="W18" s="231">
        <v>1.2995000000000001</v>
      </c>
      <c r="X18" s="231">
        <v>1.3236000000000001</v>
      </c>
      <c r="Y18" s="231">
        <v>1.3480000000000001</v>
      </c>
      <c r="Z18" s="231">
        <v>1.3729</v>
      </c>
      <c r="AA18" s="231">
        <v>1.3983000000000001</v>
      </c>
      <c r="AB18" s="231">
        <v>1.4240999999999999</v>
      </c>
      <c r="AC18" s="231">
        <v>1.4503999999999999</v>
      </c>
      <c r="AD18" s="231">
        <v>1.4772000000000001</v>
      </c>
      <c r="AE18" s="231">
        <v>1.5044999999999999</v>
      </c>
      <c r="AF18" s="231">
        <v>1.5323</v>
      </c>
      <c r="AG18" s="231">
        <v>1.5606</v>
      </c>
      <c r="AH18" s="231">
        <v>1.5894999999999999</v>
      </c>
      <c r="AI18" s="231">
        <v>1.6188</v>
      </c>
      <c r="AJ18" s="231">
        <v>1.6487000000000001</v>
      </c>
      <c r="AK18" s="231">
        <v>1.6792</v>
      </c>
      <c r="AL18" s="231">
        <v>1.7101999999999999</v>
      </c>
      <c r="AM18" s="231">
        <v>1.7418</v>
      </c>
    </row>
    <row r="19" spans="1:39" s="151" customFormat="1" x14ac:dyDescent="0.15">
      <c r="A19" s="157"/>
      <c r="B19" s="157"/>
      <c r="C19" s="229"/>
      <c r="D19" s="231">
        <v>1.0826</v>
      </c>
      <c r="E19" s="231">
        <v>1.0485</v>
      </c>
      <c r="F19" s="231">
        <v>1.0207999999999999</v>
      </c>
      <c r="G19" s="231">
        <v>1</v>
      </c>
      <c r="H19" s="231">
        <v>0.98850000000000005</v>
      </c>
      <c r="I19" s="231">
        <v>0.97989999999999999</v>
      </c>
      <c r="J19" s="231">
        <v>0.96040000000000003</v>
      </c>
      <c r="K19" s="231">
        <v>0.94310000000000005</v>
      </c>
      <c r="L19" s="231">
        <v>0.92749999999999999</v>
      </c>
      <c r="M19" s="231">
        <v>0.91090000000000004</v>
      </c>
      <c r="N19" s="231">
        <v>0.9</v>
      </c>
      <c r="O19" s="231">
        <v>0.88970000000000005</v>
      </c>
      <c r="P19" s="231">
        <v>0.87470000000000003</v>
      </c>
      <c r="Q19" s="231">
        <v>0.86119999999999997</v>
      </c>
      <c r="R19" s="231">
        <v>0.84699999999999998</v>
      </c>
      <c r="S19" s="231">
        <v>0.83169999999999999</v>
      </c>
      <c r="T19" s="231">
        <v>0.8155</v>
      </c>
      <c r="U19" s="231">
        <v>0.79949999999999999</v>
      </c>
      <c r="V19" s="231">
        <v>0.78369999999999995</v>
      </c>
      <c r="W19" s="231">
        <v>0.76949999999999996</v>
      </c>
      <c r="X19" s="231">
        <v>0.75549999999999995</v>
      </c>
      <c r="Y19" s="231">
        <v>0.74180000000000001</v>
      </c>
      <c r="Z19" s="231">
        <v>0.72840000000000005</v>
      </c>
      <c r="AA19" s="231">
        <v>0.71519999999999995</v>
      </c>
      <c r="AB19" s="231">
        <v>0.70220000000000005</v>
      </c>
      <c r="AC19" s="231">
        <v>0.68940000000000001</v>
      </c>
      <c r="AD19" s="231">
        <v>0.67689999999999995</v>
      </c>
      <c r="AE19" s="231">
        <v>0.66469999999999996</v>
      </c>
      <c r="AF19" s="231">
        <v>0.65259999999999996</v>
      </c>
      <c r="AG19" s="231">
        <v>0.64080000000000004</v>
      </c>
      <c r="AH19" s="231">
        <v>0.62909999999999999</v>
      </c>
      <c r="AI19" s="231">
        <v>0.61770000000000003</v>
      </c>
      <c r="AJ19" s="231">
        <v>0.60650000000000004</v>
      </c>
      <c r="AK19" s="231">
        <v>0.59550000000000003</v>
      </c>
      <c r="AL19" s="231">
        <v>0.5847</v>
      </c>
      <c r="AM19" s="231">
        <v>0.57410000000000005</v>
      </c>
    </row>
    <row r="20" spans="1:39" ht="14" x14ac:dyDescent="0.15">
      <c r="A20" s="157"/>
      <c r="B20" s="157"/>
      <c r="C20" s="229" t="s">
        <v>473</v>
      </c>
      <c r="D20" s="230">
        <v>0.91310000000000002</v>
      </c>
      <c r="E20" s="230">
        <v>0.94279999999999997</v>
      </c>
      <c r="F20" s="230">
        <v>0.96840000000000004</v>
      </c>
      <c r="G20" s="230">
        <v>0.98850000000000005</v>
      </c>
      <c r="H20" s="230">
        <v>1</v>
      </c>
      <c r="I20" s="230">
        <v>1.0087999999999999</v>
      </c>
      <c r="J20" s="230">
        <v>1.0293000000000001</v>
      </c>
      <c r="K20" s="230">
        <v>1.0481</v>
      </c>
      <c r="L20" s="230">
        <v>1.0658000000000001</v>
      </c>
      <c r="M20" s="230">
        <v>1.0851999999999999</v>
      </c>
      <c r="N20" s="230">
        <v>1.0983000000000001</v>
      </c>
      <c r="O20" s="230">
        <v>1.111</v>
      </c>
      <c r="P20" s="230">
        <v>1.1301000000000001</v>
      </c>
      <c r="Q20" s="230">
        <v>1.1477999999999999</v>
      </c>
      <c r="R20" s="230">
        <v>1.167</v>
      </c>
      <c r="S20" s="230">
        <v>1.1886000000000001</v>
      </c>
      <c r="T20" s="230">
        <v>1.2121</v>
      </c>
      <c r="U20" s="231">
        <v>1.2363999999999999</v>
      </c>
      <c r="V20" s="231">
        <v>1.2613000000000001</v>
      </c>
      <c r="W20" s="231">
        <v>1.2846</v>
      </c>
      <c r="X20" s="231">
        <v>1.3083</v>
      </c>
      <c r="Y20" s="231">
        <v>1.3325</v>
      </c>
      <c r="Z20" s="231">
        <v>1.3571</v>
      </c>
      <c r="AA20" s="231">
        <v>1.3822000000000001</v>
      </c>
      <c r="AB20" s="231">
        <v>1.4077</v>
      </c>
      <c r="AC20" s="231">
        <v>1.4338</v>
      </c>
      <c r="AD20" s="231">
        <v>1.4601999999999999</v>
      </c>
      <c r="AE20" s="231">
        <v>1.4872000000000001</v>
      </c>
      <c r="AF20" s="231">
        <v>1.5146999999999999</v>
      </c>
      <c r="AG20" s="231">
        <v>1.5427</v>
      </c>
      <c r="AH20" s="231">
        <v>1.5711999999999999</v>
      </c>
      <c r="AI20" s="231">
        <v>1.6002000000000001</v>
      </c>
      <c r="AJ20" s="231">
        <v>1.6297999999999999</v>
      </c>
      <c r="AK20" s="231">
        <v>1.6598999999999999</v>
      </c>
      <c r="AL20" s="231">
        <v>1.6906000000000001</v>
      </c>
      <c r="AM20" s="231">
        <v>1.7218</v>
      </c>
    </row>
    <row r="21" spans="1:39" s="151" customFormat="1" x14ac:dyDescent="0.15">
      <c r="A21" s="157"/>
      <c r="B21" s="157"/>
      <c r="C21" s="229"/>
      <c r="D21" s="231">
        <v>1.0952</v>
      </c>
      <c r="E21" s="231">
        <v>1.0607</v>
      </c>
      <c r="F21" s="231">
        <v>1.0326</v>
      </c>
      <c r="G21" s="231">
        <v>1.0116000000000001</v>
      </c>
      <c r="H21" s="231">
        <v>1</v>
      </c>
      <c r="I21" s="231">
        <v>0.99129999999999996</v>
      </c>
      <c r="J21" s="231">
        <v>0.97150000000000003</v>
      </c>
      <c r="K21" s="231">
        <v>0.95409999999999995</v>
      </c>
      <c r="L21" s="231">
        <v>0.93830000000000002</v>
      </c>
      <c r="M21" s="231">
        <v>0.92149999999999999</v>
      </c>
      <c r="N21" s="231">
        <v>0.91049999999999998</v>
      </c>
      <c r="O21" s="231">
        <v>0.90010000000000001</v>
      </c>
      <c r="P21" s="231">
        <v>0.88490000000000002</v>
      </c>
      <c r="Q21" s="231">
        <v>0.87119999999999997</v>
      </c>
      <c r="R21" s="231">
        <v>0.8569</v>
      </c>
      <c r="S21" s="231">
        <v>0.84130000000000005</v>
      </c>
      <c r="T21" s="231">
        <v>0.82499999999999996</v>
      </c>
      <c r="U21" s="231">
        <v>0.80879999999999996</v>
      </c>
      <c r="V21" s="231">
        <v>0.79279999999999995</v>
      </c>
      <c r="W21" s="231">
        <v>0.77849999999999997</v>
      </c>
      <c r="X21" s="231">
        <v>0.76429999999999998</v>
      </c>
      <c r="Y21" s="231">
        <v>0.75049999999999994</v>
      </c>
      <c r="Z21" s="231">
        <v>0.73680000000000001</v>
      </c>
      <c r="AA21" s="231">
        <v>0.72350000000000003</v>
      </c>
      <c r="AB21" s="231">
        <v>0.71040000000000003</v>
      </c>
      <c r="AC21" s="231">
        <v>0.69750000000000001</v>
      </c>
      <c r="AD21" s="231">
        <v>0.68479999999999996</v>
      </c>
      <c r="AE21" s="231">
        <v>0.6724</v>
      </c>
      <c r="AF21" s="231">
        <v>0.66020000000000001</v>
      </c>
      <c r="AG21" s="231">
        <v>0.6482</v>
      </c>
      <c r="AH21" s="231">
        <v>0.63649999999999995</v>
      </c>
      <c r="AI21" s="231">
        <v>0.62490000000000001</v>
      </c>
      <c r="AJ21" s="231">
        <v>0.61360000000000003</v>
      </c>
      <c r="AK21" s="231">
        <v>0.60240000000000005</v>
      </c>
      <c r="AL21" s="231">
        <v>0.59150000000000003</v>
      </c>
      <c r="AM21" s="231">
        <v>0.58079999999999998</v>
      </c>
    </row>
    <row r="22" spans="1:39" s="151" customFormat="1" ht="14" x14ac:dyDescent="0.15">
      <c r="A22" s="157"/>
      <c r="B22" s="157"/>
      <c r="C22" s="229" t="s">
        <v>474</v>
      </c>
      <c r="D22" s="230">
        <v>0.90510000000000002</v>
      </c>
      <c r="E22" s="230">
        <v>0.93459999999999999</v>
      </c>
      <c r="F22" s="230">
        <v>0.96</v>
      </c>
      <c r="G22" s="230">
        <v>0.97989999999999999</v>
      </c>
      <c r="H22" s="230">
        <v>0.99129999999999996</v>
      </c>
      <c r="I22" s="230">
        <v>1</v>
      </c>
      <c r="J22" s="230">
        <v>1.0203</v>
      </c>
      <c r="K22" s="230">
        <v>1.0389999999999999</v>
      </c>
      <c r="L22" s="230">
        <v>1.0565</v>
      </c>
      <c r="M22" s="230">
        <v>1.0757000000000001</v>
      </c>
      <c r="N22" s="230">
        <v>1.0887</v>
      </c>
      <c r="O22" s="230">
        <v>1.1012999999999999</v>
      </c>
      <c r="P22" s="230">
        <v>1.1202000000000001</v>
      </c>
      <c r="Q22" s="230">
        <v>1.1377999999999999</v>
      </c>
      <c r="R22" s="230">
        <v>1.1568000000000001</v>
      </c>
      <c r="S22" s="230">
        <v>1.1781999999999999</v>
      </c>
      <c r="T22" s="230">
        <v>1.2015</v>
      </c>
      <c r="U22" s="231">
        <v>1.2256</v>
      </c>
      <c r="V22" s="231">
        <v>1.2503</v>
      </c>
      <c r="W22" s="231">
        <v>1.2734000000000001</v>
      </c>
      <c r="X22" s="231">
        <v>1.2968999999999999</v>
      </c>
      <c r="Y22" s="231">
        <v>1.3209</v>
      </c>
      <c r="Z22" s="231">
        <v>1.3452999999999999</v>
      </c>
      <c r="AA22" s="231">
        <v>1.3701000000000001</v>
      </c>
      <c r="AB22" s="231">
        <v>1.3955</v>
      </c>
      <c r="AC22" s="231">
        <v>1.4212</v>
      </c>
      <c r="AD22" s="231">
        <v>1.4475</v>
      </c>
      <c r="AE22" s="231">
        <v>1.4742999999999999</v>
      </c>
      <c r="AF22" s="231">
        <v>1.5015000000000001</v>
      </c>
      <c r="AG22" s="231">
        <v>1.5291999999999999</v>
      </c>
      <c r="AH22" s="231">
        <v>1.5575000000000001</v>
      </c>
      <c r="AI22" s="231">
        <v>1.5863</v>
      </c>
      <c r="AJ22" s="231">
        <v>1.6155999999999999</v>
      </c>
      <c r="AK22" s="231">
        <v>1.6454</v>
      </c>
      <c r="AL22" s="231">
        <v>1.6758</v>
      </c>
      <c r="AM22" s="231">
        <v>1.7068000000000001</v>
      </c>
    </row>
    <row r="23" spans="1:39" x14ac:dyDescent="0.15">
      <c r="A23" s="157"/>
      <c r="B23" s="157"/>
      <c r="C23" s="229"/>
      <c r="D23" s="231">
        <v>1.1048</v>
      </c>
      <c r="E23" s="231">
        <v>1.07</v>
      </c>
      <c r="F23" s="231">
        <v>1.0417000000000001</v>
      </c>
      <c r="G23" s="231">
        <v>1.0205</v>
      </c>
      <c r="H23" s="231">
        <v>1.0087999999999999</v>
      </c>
      <c r="I23" s="231">
        <v>1</v>
      </c>
      <c r="J23" s="231">
        <v>0.98009999999999997</v>
      </c>
      <c r="K23" s="231">
        <v>0.96250000000000002</v>
      </c>
      <c r="L23" s="231">
        <v>0.94650000000000001</v>
      </c>
      <c r="M23" s="231">
        <v>0.92959999999999998</v>
      </c>
      <c r="N23" s="231">
        <v>0.91849999999999998</v>
      </c>
      <c r="O23" s="231">
        <v>0.90800000000000003</v>
      </c>
      <c r="P23" s="231">
        <v>0.89270000000000005</v>
      </c>
      <c r="Q23" s="231">
        <v>0.87890000000000001</v>
      </c>
      <c r="R23" s="231">
        <v>0.86439999999999995</v>
      </c>
      <c r="S23" s="231">
        <v>0.84870000000000001</v>
      </c>
      <c r="T23" s="231">
        <v>0.83230000000000004</v>
      </c>
      <c r="U23" s="231">
        <v>0.81589999999999996</v>
      </c>
      <c r="V23" s="231">
        <v>0.79979999999999996</v>
      </c>
      <c r="W23" s="231">
        <v>0.7853</v>
      </c>
      <c r="X23" s="231">
        <v>0.77110000000000001</v>
      </c>
      <c r="Y23" s="231">
        <v>0.7571</v>
      </c>
      <c r="Z23" s="231">
        <v>0.74329999999999996</v>
      </c>
      <c r="AA23" s="231">
        <v>0.7298</v>
      </c>
      <c r="AB23" s="231">
        <v>0.71660000000000001</v>
      </c>
      <c r="AC23" s="231">
        <v>0.7036</v>
      </c>
      <c r="AD23" s="231">
        <v>0.69079999999999997</v>
      </c>
      <c r="AE23" s="231">
        <v>0.67830000000000001</v>
      </c>
      <c r="AF23" s="231">
        <v>0.66600000000000004</v>
      </c>
      <c r="AG23" s="231">
        <v>0.65390000000000004</v>
      </c>
      <c r="AH23" s="231">
        <v>0.6421</v>
      </c>
      <c r="AI23" s="231">
        <v>0.63039999999999996</v>
      </c>
      <c r="AJ23" s="231">
        <v>0.61899999999999999</v>
      </c>
      <c r="AK23" s="231">
        <v>0.60770000000000002</v>
      </c>
      <c r="AL23" s="231">
        <v>0.59670000000000001</v>
      </c>
      <c r="AM23" s="231">
        <v>0.58589999999999998</v>
      </c>
    </row>
    <row r="24" spans="1:39" s="151" customFormat="1" ht="14" x14ac:dyDescent="0.15">
      <c r="A24" s="157"/>
      <c r="B24" s="157"/>
      <c r="C24" s="229" t="s">
        <v>586</v>
      </c>
      <c r="D24" s="230">
        <v>0.8871</v>
      </c>
      <c r="E24" s="230">
        <v>0.91600000000000004</v>
      </c>
      <c r="F24" s="230">
        <v>0.94079999999999997</v>
      </c>
      <c r="G24" s="230">
        <v>0.96040000000000003</v>
      </c>
      <c r="H24" s="230">
        <v>0.97150000000000003</v>
      </c>
      <c r="I24" s="230">
        <v>0.98009999999999997</v>
      </c>
      <c r="J24" s="230">
        <v>1</v>
      </c>
      <c r="K24" s="230">
        <v>1.0183</v>
      </c>
      <c r="L24" s="230">
        <v>1.0355000000000001</v>
      </c>
      <c r="M24" s="230">
        <v>1.0543</v>
      </c>
      <c r="N24" s="230">
        <v>1.0669999999999999</v>
      </c>
      <c r="O24" s="230">
        <v>1.0793999999999999</v>
      </c>
      <c r="P24" s="230">
        <v>1.0979000000000001</v>
      </c>
      <c r="Q24" s="230">
        <v>1.1151</v>
      </c>
      <c r="R24" s="230">
        <v>1.1337999999999999</v>
      </c>
      <c r="S24" s="230">
        <v>1.1548</v>
      </c>
      <c r="T24" s="230">
        <v>1.1776</v>
      </c>
      <c r="U24" s="231">
        <v>1.2012</v>
      </c>
      <c r="V24" s="231">
        <v>1.2254</v>
      </c>
      <c r="W24" s="231">
        <v>1.248</v>
      </c>
      <c r="X24" s="231">
        <v>1.2710999999999999</v>
      </c>
      <c r="Y24" s="231">
        <v>1.2946</v>
      </c>
      <c r="Z24" s="231">
        <v>1.3185</v>
      </c>
      <c r="AA24" s="231">
        <v>1.3429</v>
      </c>
      <c r="AB24" s="231">
        <v>1.3676999999999999</v>
      </c>
      <c r="AC24" s="231">
        <v>1.3929</v>
      </c>
      <c r="AD24" s="231">
        <v>1.4187000000000001</v>
      </c>
      <c r="AE24" s="231">
        <v>1.4449000000000001</v>
      </c>
      <c r="AF24" s="231">
        <v>1.4716</v>
      </c>
      <c r="AG24" s="231">
        <v>1.4987999999999999</v>
      </c>
      <c r="AH24" s="231">
        <v>1.5265</v>
      </c>
      <c r="AI24" s="231">
        <v>1.5547</v>
      </c>
      <c r="AJ24" s="231">
        <v>1.5833999999999999</v>
      </c>
      <c r="AK24" s="231">
        <v>1.6126</v>
      </c>
      <c r="AL24" s="231">
        <v>1.6424000000000001</v>
      </c>
      <c r="AM24" s="231">
        <v>1.6728000000000001</v>
      </c>
    </row>
    <row r="25" spans="1:39" s="151" customFormat="1" x14ac:dyDescent="0.15">
      <c r="A25" s="157"/>
      <c r="B25" s="157"/>
      <c r="C25" s="229"/>
      <c r="D25" s="231">
        <v>1.1273</v>
      </c>
      <c r="E25" s="231">
        <v>1.0916999999999999</v>
      </c>
      <c r="F25" s="231">
        <v>1.0629</v>
      </c>
      <c r="G25" s="231">
        <v>1.0412999999999999</v>
      </c>
      <c r="H25" s="231">
        <v>1.0293000000000001</v>
      </c>
      <c r="I25" s="231">
        <v>1.0203</v>
      </c>
      <c r="J25" s="231">
        <v>1</v>
      </c>
      <c r="K25" s="231">
        <v>0.98209999999999997</v>
      </c>
      <c r="L25" s="231">
        <v>0.96579999999999999</v>
      </c>
      <c r="M25" s="231">
        <v>0.94850000000000001</v>
      </c>
      <c r="N25" s="231">
        <v>0.93720000000000003</v>
      </c>
      <c r="O25" s="231">
        <v>0.92649999999999999</v>
      </c>
      <c r="P25" s="231">
        <v>0.91080000000000005</v>
      </c>
      <c r="Q25" s="231">
        <v>0.89680000000000004</v>
      </c>
      <c r="R25" s="231">
        <v>0.88200000000000001</v>
      </c>
      <c r="S25" s="231">
        <v>0.86599999999999999</v>
      </c>
      <c r="T25" s="231">
        <v>0.84919999999999995</v>
      </c>
      <c r="U25" s="231">
        <v>0.83250000000000002</v>
      </c>
      <c r="V25" s="231">
        <v>0.81610000000000005</v>
      </c>
      <c r="W25" s="231">
        <v>0.80130000000000001</v>
      </c>
      <c r="X25" s="231">
        <v>0.78669999999999995</v>
      </c>
      <c r="Y25" s="231">
        <v>0.77249999999999996</v>
      </c>
      <c r="Z25" s="231">
        <v>0.75839999999999996</v>
      </c>
      <c r="AA25" s="231">
        <v>0.74470000000000003</v>
      </c>
      <c r="AB25" s="231">
        <v>0.73119999999999996</v>
      </c>
      <c r="AC25" s="231">
        <v>0.71789999999999998</v>
      </c>
      <c r="AD25" s="231">
        <v>0.70489999999999997</v>
      </c>
      <c r="AE25" s="231">
        <v>0.69210000000000005</v>
      </c>
      <c r="AF25" s="231">
        <v>0.67949999999999999</v>
      </c>
      <c r="AG25" s="231">
        <v>0.66720000000000002</v>
      </c>
      <c r="AH25" s="231">
        <v>0.65510000000000002</v>
      </c>
      <c r="AI25" s="231">
        <v>0.64319999999999999</v>
      </c>
      <c r="AJ25" s="231">
        <v>0.63160000000000005</v>
      </c>
      <c r="AK25" s="231">
        <v>0.62009999999999998</v>
      </c>
      <c r="AL25" s="231">
        <v>0.60880000000000001</v>
      </c>
      <c r="AM25" s="231">
        <v>0.5978</v>
      </c>
    </row>
    <row r="26" spans="1:39" ht="14" x14ac:dyDescent="0.15">
      <c r="A26" s="157"/>
      <c r="B26" s="157"/>
      <c r="C26" s="229" t="s">
        <v>587</v>
      </c>
      <c r="D26" s="230">
        <v>0.87119999999999997</v>
      </c>
      <c r="E26" s="230">
        <v>0.89949999999999997</v>
      </c>
      <c r="F26" s="230">
        <v>0.92400000000000004</v>
      </c>
      <c r="G26" s="230">
        <v>0.94310000000000005</v>
      </c>
      <c r="H26" s="230">
        <v>0.95409999999999995</v>
      </c>
      <c r="I26" s="230">
        <v>0.96250000000000002</v>
      </c>
      <c r="J26" s="230">
        <v>0.98209999999999997</v>
      </c>
      <c r="K26" s="230">
        <v>1</v>
      </c>
      <c r="L26" s="230">
        <v>1.0168999999999999</v>
      </c>
      <c r="M26" s="230">
        <v>1.0354000000000001</v>
      </c>
      <c r="N26" s="230">
        <v>1.0479000000000001</v>
      </c>
      <c r="O26" s="230">
        <v>1.06</v>
      </c>
      <c r="P26" s="230">
        <v>1.0782</v>
      </c>
      <c r="Q26" s="230">
        <v>1.0951</v>
      </c>
      <c r="R26" s="230">
        <v>1.1133999999999999</v>
      </c>
      <c r="S26" s="230">
        <v>1.1341000000000001</v>
      </c>
      <c r="T26" s="230">
        <v>1.1565000000000001</v>
      </c>
      <c r="U26" s="231">
        <v>1.1797</v>
      </c>
      <c r="V26" s="231">
        <v>1.2034</v>
      </c>
      <c r="W26" s="231">
        <v>1.2257</v>
      </c>
      <c r="X26" s="231">
        <v>1.2483</v>
      </c>
      <c r="Y26" s="231">
        <v>1.2714000000000001</v>
      </c>
      <c r="Z26" s="231">
        <v>1.2948</v>
      </c>
      <c r="AA26" s="231">
        <v>1.3188</v>
      </c>
      <c r="AB26" s="231">
        <v>1.3431</v>
      </c>
      <c r="AC26" s="231">
        <v>1.3680000000000001</v>
      </c>
      <c r="AD26" s="231">
        <v>1.3932</v>
      </c>
      <c r="AE26" s="231">
        <v>1.419</v>
      </c>
      <c r="AF26" s="231">
        <v>1.4452</v>
      </c>
      <c r="AG26" s="231">
        <v>1.4719</v>
      </c>
      <c r="AH26" s="231">
        <v>1.4991000000000001</v>
      </c>
      <c r="AI26" s="231">
        <v>1.5267999999999999</v>
      </c>
      <c r="AJ26" s="231">
        <v>1.5549999999999999</v>
      </c>
      <c r="AK26" s="231">
        <v>1.5837000000000001</v>
      </c>
      <c r="AL26" s="231">
        <v>1.613</v>
      </c>
      <c r="AM26" s="231">
        <v>1.6428</v>
      </c>
    </row>
    <row r="27" spans="1:39" s="151" customFormat="1" x14ac:dyDescent="0.15">
      <c r="A27" s="157"/>
      <c r="B27" s="157"/>
      <c r="C27" s="232"/>
      <c r="D27" s="231">
        <v>1.1477999999999999</v>
      </c>
      <c r="E27" s="231">
        <v>1.1116999999999999</v>
      </c>
      <c r="F27" s="231">
        <v>1.0823</v>
      </c>
      <c r="G27" s="231">
        <v>1.0603</v>
      </c>
      <c r="H27" s="231">
        <v>1.0481</v>
      </c>
      <c r="I27" s="231">
        <v>1.0389999999999999</v>
      </c>
      <c r="J27" s="231">
        <v>1.0183</v>
      </c>
      <c r="K27" s="231">
        <v>1</v>
      </c>
      <c r="L27" s="231">
        <v>0.98340000000000005</v>
      </c>
      <c r="M27" s="231">
        <v>0.96579999999999999</v>
      </c>
      <c r="N27" s="231">
        <v>0.95430000000000004</v>
      </c>
      <c r="O27" s="231">
        <v>0.94340000000000002</v>
      </c>
      <c r="P27" s="231">
        <v>0.9274</v>
      </c>
      <c r="Q27" s="231">
        <v>0.91310000000000002</v>
      </c>
      <c r="R27" s="231">
        <v>0.89810000000000001</v>
      </c>
      <c r="S27" s="231">
        <v>0.88180000000000003</v>
      </c>
      <c r="T27" s="231">
        <v>0.86470000000000002</v>
      </c>
      <c r="U27" s="231">
        <v>0.84770000000000001</v>
      </c>
      <c r="V27" s="231">
        <v>0.83099999999999996</v>
      </c>
      <c r="W27" s="231">
        <v>0.81589999999999996</v>
      </c>
      <c r="X27" s="231">
        <v>0.80110000000000003</v>
      </c>
      <c r="Y27" s="231">
        <v>0.78659999999999997</v>
      </c>
      <c r="Z27" s="231">
        <v>0.77229999999999999</v>
      </c>
      <c r="AA27" s="231">
        <v>0.75829999999999997</v>
      </c>
      <c r="AB27" s="231">
        <v>0.74450000000000005</v>
      </c>
      <c r="AC27" s="231">
        <v>0.73099999999999998</v>
      </c>
      <c r="AD27" s="231">
        <v>0.71779999999999999</v>
      </c>
      <c r="AE27" s="231">
        <v>0.70469999999999999</v>
      </c>
      <c r="AF27" s="231">
        <v>0.69199999999999995</v>
      </c>
      <c r="AG27" s="231">
        <v>0.6794</v>
      </c>
      <c r="AH27" s="231">
        <v>0.66710000000000003</v>
      </c>
      <c r="AI27" s="231">
        <v>0.65500000000000003</v>
      </c>
      <c r="AJ27" s="231">
        <v>0.6431</v>
      </c>
      <c r="AK27" s="231">
        <v>0.63139999999999996</v>
      </c>
      <c r="AL27" s="231">
        <v>0.62</v>
      </c>
      <c r="AM27" s="231">
        <v>0.60870000000000002</v>
      </c>
    </row>
    <row r="28" spans="1:39" s="151" customFormat="1" ht="14" x14ac:dyDescent="0.15">
      <c r="A28" s="157"/>
      <c r="B28" s="157"/>
      <c r="C28" s="229" t="s">
        <v>588</v>
      </c>
      <c r="D28" s="230">
        <v>0.85670000000000002</v>
      </c>
      <c r="E28" s="230">
        <v>0.88460000000000005</v>
      </c>
      <c r="F28" s="230">
        <v>0.90859999999999996</v>
      </c>
      <c r="G28" s="230">
        <v>0.92749999999999999</v>
      </c>
      <c r="H28" s="230">
        <v>0.93830000000000002</v>
      </c>
      <c r="I28" s="230">
        <v>0.94650000000000001</v>
      </c>
      <c r="J28" s="230">
        <v>0.96579999999999999</v>
      </c>
      <c r="K28" s="230">
        <v>0.98340000000000005</v>
      </c>
      <c r="L28" s="230">
        <v>1</v>
      </c>
      <c r="M28" s="230">
        <v>1.0182</v>
      </c>
      <c r="N28" s="230">
        <v>1.0305</v>
      </c>
      <c r="O28" s="230">
        <v>1.0424</v>
      </c>
      <c r="P28" s="230">
        <v>1.0603</v>
      </c>
      <c r="Q28" s="230">
        <v>1.0769</v>
      </c>
      <c r="R28" s="230">
        <v>1.095</v>
      </c>
      <c r="S28" s="230">
        <v>1.1152</v>
      </c>
      <c r="T28" s="230">
        <v>1.1373</v>
      </c>
      <c r="U28" s="231">
        <v>1.1600999999999999</v>
      </c>
      <c r="V28" s="231">
        <v>1.1834</v>
      </c>
      <c r="W28" s="231">
        <v>1.2053</v>
      </c>
      <c r="X28" s="231">
        <v>1.2276</v>
      </c>
      <c r="Y28" s="231">
        <v>1.2502</v>
      </c>
      <c r="Z28" s="231">
        <v>1.2733000000000001</v>
      </c>
      <c r="AA28" s="231">
        <v>1.2968999999999999</v>
      </c>
      <c r="AB28" s="231">
        <v>1.3208</v>
      </c>
      <c r="AC28" s="231">
        <v>1.3452</v>
      </c>
      <c r="AD28" s="231">
        <v>1.3701000000000001</v>
      </c>
      <c r="AE28" s="231">
        <v>1.3954</v>
      </c>
      <c r="AF28" s="231">
        <v>1.4212</v>
      </c>
      <c r="AG28" s="231">
        <v>1.4474</v>
      </c>
      <c r="AH28" s="231">
        <v>1.4742</v>
      </c>
      <c r="AI28" s="231">
        <v>1.5014000000000001</v>
      </c>
      <c r="AJ28" s="231">
        <v>1.5291999999999999</v>
      </c>
      <c r="AK28" s="231">
        <v>1.5573999999999999</v>
      </c>
      <c r="AL28" s="231">
        <v>1.5862000000000001</v>
      </c>
      <c r="AM28" s="231">
        <v>1.6154999999999999</v>
      </c>
    </row>
    <row r="29" spans="1:39" x14ac:dyDescent="0.15">
      <c r="A29" s="157"/>
      <c r="B29" s="157"/>
      <c r="C29" s="232"/>
      <c r="D29" s="231">
        <v>1.1672</v>
      </c>
      <c r="E29" s="231">
        <v>1.1305000000000001</v>
      </c>
      <c r="F29" s="231">
        <v>1.1006</v>
      </c>
      <c r="G29" s="231">
        <v>1.0782</v>
      </c>
      <c r="H29" s="231">
        <v>1.0658000000000001</v>
      </c>
      <c r="I29" s="231">
        <v>1.0565</v>
      </c>
      <c r="J29" s="231">
        <v>1.0355000000000001</v>
      </c>
      <c r="K29" s="231">
        <v>1.0168999999999999</v>
      </c>
      <c r="L29" s="231">
        <v>1</v>
      </c>
      <c r="M29" s="231">
        <v>0.98209999999999997</v>
      </c>
      <c r="N29" s="231">
        <v>0.97040000000000004</v>
      </c>
      <c r="O29" s="231">
        <v>0.95930000000000004</v>
      </c>
      <c r="P29" s="231">
        <v>0.94310000000000005</v>
      </c>
      <c r="Q29" s="231">
        <v>0.92859999999999998</v>
      </c>
      <c r="R29" s="231">
        <v>0.9133</v>
      </c>
      <c r="S29" s="231">
        <v>0.89670000000000005</v>
      </c>
      <c r="T29" s="231">
        <v>0.87929999999999997</v>
      </c>
      <c r="U29" s="231">
        <v>0.86199999999999999</v>
      </c>
      <c r="V29" s="231">
        <v>0.84499999999999997</v>
      </c>
      <c r="W29" s="231">
        <v>0.82969999999999999</v>
      </c>
      <c r="X29" s="231">
        <v>0.81459999999999999</v>
      </c>
      <c r="Y29" s="231">
        <v>0.79979999999999996</v>
      </c>
      <c r="Z29" s="231">
        <v>0.7853</v>
      </c>
      <c r="AA29" s="231">
        <v>0.77110000000000001</v>
      </c>
      <c r="AB29" s="231">
        <v>0.7571</v>
      </c>
      <c r="AC29" s="231">
        <v>0.74339999999999995</v>
      </c>
      <c r="AD29" s="231">
        <v>0.72989999999999999</v>
      </c>
      <c r="AE29" s="231">
        <v>0.71660000000000001</v>
      </c>
      <c r="AF29" s="231">
        <v>0.7036</v>
      </c>
      <c r="AG29" s="231">
        <v>0.69089999999999996</v>
      </c>
      <c r="AH29" s="231">
        <v>0.67830000000000001</v>
      </c>
      <c r="AI29" s="231">
        <v>0.66600000000000004</v>
      </c>
      <c r="AJ29" s="231">
        <v>0.65400000000000003</v>
      </c>
      <c r="AK29" s="231">
        <v>0.6421</v>
      </c>
      <c r="AL29" s="231">
        <v>0.63039999999999996</v>
      </c>
      <c r="AM29" s="231">
        <v>0.61899999999999999</v>
      </c>
    </row>
    <row r="30" spans="1:39" s="281" customFormat="1" ht="14" x14ac:dyDescent="0.15">
      <c r="A30" s="157"/>
      <c r="B30" s="157"/>
      <c r="C30" s="232" t="s">
        <v>589</v>
      </c>
      <c r="D30" s="231">
        <v>0.84140000000000004</v>
      </c>
      <c r="E30" s="231">
        <v>0.86880000000000002</v>
      </c>
      <c r="F30" s="231">
        <v>0.89239999999999997</v>
      </c>
      <c r="G30" s="231">
        <v>0.91090000000000004</v>
      </c>
      <c r="H30" s="231">
        <v>0.92149999999999999</v>
      </c>
      <c r="I30" s="231">
        <v>0.92959999999999998</v>
      </c>
      <c r="J30" s="231">
        <v>0.94850000000000001</v>
      </c>
      <c r="K30" s="231">
        <v>0.96579999999999999</v>
      </c>
      <c r="L30" s="231">
        <v>0.98209999999999997</v>
      </c>
      <c r="M30" s="231">
        <v>1</v>
      </c>
      <c r="N30" s="231">
        <v>1.0121</v>
      </c>
      <c r="O30" s="231">
        <v>1.0238</v>
      </c>
      <c r="P30" s="231">
        <v>1.0414000000000001</v>
      </c>
      <c r="Q30" s="231">
        <v>1.0577000000000001</v>
      </c>
      <c r="R30" s="231">
        <v>1.0753999999999999</v>
      </c>
      <c r="S30" s="231">
        <v>1.0952999999999999</v>
      </c>
      <c r="T30" s="231">
        <v>1.1169</v>
      </c>
      <c r="U30" s="231">
        <v>1.1393</v>
      </c>
      <c r="V30" s="231">
        <v>1.1623000000000001</v>
      </c>
      <c r="W30" s="231">
        <v>1.1837</v>
      </c>
      <c r="X30" s="231">
        <v>1.2056</v>
      </c>
      <c r="Y30" s="231">
        <v>1.2279</v>
      </c>
      <c r="Z30" s="231">
        <v>1.2505999999999999</v>
      </c>
      <c r="AA30" s="231">
        <v>1.2737000000000001</v>
      </c>
      <c r="AB30" s="231">
        <v>1.2971999999999999</v>
      </c>
      <c r="AC30" s="231">
        <v>1.3211999999999999</v>
      </c>
      <c r="AD30" s="231">
        <v>1.3455999999999999</v>
      </c>
      <c r="AE30" s="231">
        <v>1.3705000000000001</v>
      </c>
      <c r="AF30" s="231">
        <v>1.3957999999999999</v>
      </c>
      <c r="AG30" s="231">
        <v>1.4216</v>
      </c>
      <c r="AH30" s="231">
        <v>1.4478</v>
      </c>
      <c r="AI30" s="231">
        <v>1.4745999999999999</v>
      </c>
      <c r="AJ30" s="231">
        <v>1.5018</v>
      </c>
      <c r="AK30" s="231">
        <v>1.5296000000000001</v>
      </c>
      <c r="AL30" s="231">
        <v>1.5578000000000001</v>
      </c>
      <c r="AM30" s="231">
        <v>1.5866</v>
      </c>
    </row>
    <row r="31" spans="1:39" s="281" customFormat="1" x14ac:dyDescent="0.15">
      <c r="A31" s="157"/>
      <c r="B31" s="157"/>
      <c r="C31" s="232"/>
      <c r="D31" s="231">
        <v>1.1884999999999999</v>
      </c>
      <c r="E31" s="231">
        <v>1.151</v>
      </c>
      <c r="F31" s="231">
        <v>1.1206</v>
      </c>
      <c r="G31" s="231">
        <v>1.0978000000000001</v>
      </c>
      <c r="H31" s="231">
        <v>1.0851999999999999</v>
      </c>
      <c r="I31" s="231">
        <v>1.0757000000000001</v>
      </c>
      <c r="J31" s="231">
        <v>1.0543</v>
      </c>
      <c r="K31" s="231">
        <v>1.0354000000000001</v>
      </c>
      <c r="L31" s="231">
        <v>1.0182</v>
      </c>
      <c r="M31" s="231">
        <v>1</v>
      </c>
      <c r="N31" s="231">
        <v>0.98809999999999998</v>
      </c>
      <c r="O31" s="231">
        <v>0.9768</v>
      </c>
      <c r="P31" s="231">
        <v>0.96030000000000004</v>
      </c>
      <c r="Q31" s="231">
        <v>0.94550000000000001</v>
      </c>
      <c r="R31" s="231">
        <v>0.92989999999999995</v>
      </c>
      <c r="S31" s="231">
        <v>0.91300000000000003</v>
      </c>
      <c r="T31" s="231">
        <v>0.89529999999999998</v>
      </c>
      <c r="U31" s="231">
        <v>0.87770000000000004</v>
      </c>
      <c r="V31" s="231">
        <v>0.86040000000000005</v>
      </c>
      <c r="W31" s="231">
        <v>0.8448</v>
      </c>
      <c r="X31" s="231">
        <v>0.82940000000000003</v>
      </c>
      <c r="Y31" s="231">
        <v>0.81440000000000001</v>
      </c>
      <c r="Z31" s="231">
        <v>0.79959999999999998</v>
      </c>
      <c r="AA31" s="231">
        <v>0.78510000000000002</v>
      </c>
      <c r="AB31" s="231">
        <v>0.77090000000000003</v>
      </c>
      <c r="AC31" s="231">
        <v>0.75690000000000002</v>
      </c>
      <c r="AD31" s="231">
        <v>0.74319999999999997</v>
      </c>
      <c r="AE31" s="231">
        <v>0.72970000000000002</v>
      </c>
      <c r="AF31" s="231">
        <v>0.71640000000000004</v>
      </c>
      <c r="AG31" s="231">
        <v>0.70340000000000003</v>
      </c>
      <c r="AH31" s="231">
        <v>0.69069999999999998</v>
      </c>
      <c r="AI31" s="231">
        <v>0.67820000000000003</v>
      </c>
      <c r="AJ31" s="231">
        <v>0.66590000000000005</v>
      </c>
      <c r="AK31" s="231">
        <v>0.65380000000000005</v>
      </c>
      <c r="AL31" s="231">
        <v>0.64190000000000003</v>
      </c>
      <c r="AM31" s="231">
        <v>0.63029999999999997</v>
      </c>
    </row>
    <row r="32" spans="1:39" s="281" customFormat="1" ht="14" x14ac:dyDescent="0.15">
      <c r="A32" s="157"/>
      <c r="B32" s="157"/>
      <c r="C32" s="232" t="s">
        <v>590</v>
      </c>
      <c r="D32" s="231">
        <v>0.83140000000000003</v>
      </c>
      <c r="E32" s="231">
        <v>0.85840000000000005</v>
      </c>
      <c r="F32" s="231">
        <v>0.88170000000000004</v>
      </c>
      <c r="G32" s="231">
        <v>0.9</v>
      </c>
      <c r="H32" s="231">
        <v>0.91049999999999998</v>
      </c>
      <c r="I32" s="231">
        <v>0.91849999999999998</v>
      </c>
      <c r="J32" s="231">
        <v>0.93720000000000003</v>
      </c>
      <c r="K32" s="231">
        <v>0.95430000000000004</v>
      </c>
      <c r="L32" s="231">
        <v>0.97040000000000004</v>
      </c>
      <c r="M32" s="231">
        <v>0.98809999999999998</v>
      </c>
      <c r="N32" s="231">
        <v>1</v>
      </c>
      <c r="O32" s="231">
        <v>1.0116000000000001</v>
      </c>
      <c r="P32" s="231">
        <v>1.0289999999999999</v>
      </c>
      <c r="Q32" s="231">
        <v>1.0450999999999999</v>
      </c>
      <c r="R32" s="231">
        <v>1.0626</v>
      </c>
      <c r="S32" s="231">
        <v>1.0822000000000001</v>
      </c>
      <c r="T32" s="231">
        <v>1.1035999999999999</v>
      </c>
      <c r="U32" s="231">
        <v>1.1256999999999999</v>
      </c>
      <c r="V32" s="231">
        <v>1.1484000000000001</v>
      </c>
      <c r="W32" s="231">
        <v>1.1696</v>
      </c>
      <c r="X32" s="231">
        <v>1.1912</v>
      </c>
      <c r="Y32" s="231">
        <v>1.2132000000000001</v>
      </c>
      <c r="Z32" s="231">
        <v>1.2357</v>
      </c>
      <c r="AA32" s="231">
        <v>1.2585</v>
      </c>
      <c r="AB32" s="231">
        <v>1.2817000000000001</v>
      </c>
      <c r="AC32" s="231">
        <v>1.3053999999999999</v>
      </c>
      <c r="AD32" s="231">
        <v>1.3294999999999999</v>
      </c>
      <c r="AE32" s="231">
        <v>1.3541000000000001</v>
      </c>
      <c r="AF32" s="231">
        <v>1.3791</v>
      </c>
      <c r="AG32" s="231">
        <v>1.4046000000000001</v>
      </c>
      <c r="AH32" s="231">
        <v>1.4306000000000001</v>
      </c>
      <c r="AI32" s="231">
        <v>1.4570000000000001</v>
      </c>
      <c r="AJ32" s="231">
        <v>1.4839</v>
      </c>
      <c r="AK32" s="231">
        <v>1.5113000000000001</v>
      </c>
      <c r="AL32" s="231">
        <v>1.5392999999999999</v>
      </c>
      <c r="AM32" s="231">
        <v>1.5677000000000001</v>
      </c>
    </row>
    <row r="33" spans="1:39" s="281" customFormat="1" x14ac:dyDescent="0.15">
      <c r="A33" s="157"/>
      <c r="B33" s="157"/>
      <c r="C33" s="232"/>
      <c r="D33" s="231">
        <v>1.2028000000000001</v>
      </c>
      <c r="E33" s="231">
        <v>1.1649</v>
      </c>
      <c r="F33" s="231">
        <v>1.1341000000000001</v>
      </c>
      <c r="G33" s="231">
        <v>1.1111</v>
      </c>
      <c r="H33" s="231">
        <v>1.0983000000000001</v>
      </c>
      <c r="I33" s="231">
        <v>1.0887</v>
      </c>
      <c r="J33" s="231">
        <v>1.0669999999999999</v>
      </c>
      <c r="K33" s="231">
        <v>1.0479000000000001</v>
      </c>
      <c r="L33" s="231">
        <v>1.0305</v>
      </c>
      <c r="M33" s="231">
        <v>1.0121</v>
      </c>
      <c r="N33" s="231">
        <v>1</v>
      </c>
      <c r="O33" s="231">
        <v>0.98860000000000003</v>
      </c>
      <c r="P33" s="231">
        <v>0.97189999999999999</v>
      </c>
      <c r="Q33" s="231">
        <v>0.95689999999999997</v>
      </c>
      <c r="R33" s="231">
        <v>0.94110000000000005</v>
      </c>
      <c r="S33" s="231">
        <v>0.92400000000000004</v>
      </c>
      <c r="T33" s="231">
        <v>0.90610000000000002</v>
      </c>
      <c r="U33" s="231">
        <v>0.88829999999999998</v>
      </c>
      <c r="V33" s="231">
        <v>0.87080000000000002</v>
      </c>
      <c r="W33" s="231">
        <v>0.85499999999999998</v>
      </c>
      <c r="X33" s="231">
        <v>0.83950000000000002</v>
      </c>
      <c r="Y33" s="231">
        <v>0.82420000000000004</v>
      </c>
      <c r="Z33" s="231">
        <v>0.80930000000000002</v>
      </c>
      <c r="AA33" s="231">
        <v>0.79459999999999997</v>
      </c>
      <c r="AB33" s="231">
        <v>0.7802</v>
      </c>
      <c r="AC33" s="231">
        <v>0.76600000000000001</v>
      </c>
      <c r="AD33" s="231">
        <v>0.75209999999999999</v>
      </c>
      <c r="AE33" s="231">
        <v>0.73850000000000005</v>
      </c>
      <c r="AF33" s="231">
        <v>0.72509999999999997</v>
      </c>
      <c r="AG33" s="231">
        <v>0.71189999999999998</v>
      </c>
      <c r="AH33" s="231">
        <v>0.69899999999999995</v>
      </c>
      <c r="AI33" s="231">
        <v>0.68630000000000002</v>
      </c>
      <c r="AJ33" s="231">
        <v>0.67390000000000005</v>
      </c>
      <c r="AK33" s="231">
        <v>0.66169999999999995</v>
      </c>
      <c r="AL33" s="231">
        <v>0.64970000000000006</v>
      </c>
      <c r="AM33" s="231">
        <v>0.63790000000000002</v>
      </c>
    </row>
    <row r="34" spans="1:39" s="281" customFormat="1" ht="14" x14ac:dyDescent="0.15">
      <c r="A34" s="157"/>
      <c r="B34" s="157"/>
      <c r="C34" s="232" t="s">
        <v>637</v>
      </c>
      <c r="D34" s="231">
        <v>0.82189999999999996</v>
      </c>
      <c r="E34" s="231">
        <v>0.84860000000000002</v>
      </c>
      <c r="F34" s="231">
        <v>0.87160000000000004</v>
      </c>
      <c r="G34" s="231">
        <v>0.88970000000000005</v>
      </c>
      <c r="H34" s="231">
        <v>0.90010000000000001</v>
      </c>
      <c r="I34" s="231">
        <v>0.90800000000000003</v>
      </c>
      <c r="J34" s="231">
        <v>0.92649999999999999</v>
      </c>
      <c r="K34" s="231">
        <v>0.94340000000000002</v>
      </c>
      <c r="L34" s="231">
        <v>0.95930000000000004</v>
      </c>
      <c r="M34" s="231">
        <v>0.9768</v>
      </c>
      <c r="N34" s="231">
        <v>0.98860000000000003</v>
      </c>
      <c r="O34" s="231">
        <v>1</v>
      </c>
      <c r="P34" s="231">
        <v>1.0172000000000001</v>
      </c>
      <c r="Q34" s="231">
        <v>1.0330999999999999</v>
      </c>
      <c r="R34" s="231">
        <v>1.0504</v>
      </c>
      <c r="S34" s="231">
        <v>1.0698000000000001</v>
      </c>
      <c r="T34" s="231">
        <v>1.091</v>
      </c>
      <c r="U34" s="231">
        <v>1.1129</v>
      </c>
      <c r="V34" s="231">
        <v>1.1353</v>
      </c>
      <c r="W34" s="231">
        <v>1.1563000000000001</v>
      </c>
      <c r="X34" s="231">
        <v>1.1776</v>
      </c>
      <c r="Y34" s="231">
        <v>1.1994</v>
      </c>
      <c r="Z34" s="231">
        <v>1.2215</v>
      </c>
      <c r="AA34" s="231">
        <v>1.2441</v>
      </c>
      <c r="AB34" s="231">
        <v>1.2670999999999999</v>
      </c>
      <c r="AC34" s="231">
        <v>1.2905</v>
      </c>
      <c r="AD34" s="231">
        <v>1.3144</v>
      </c>
      <c r="AE34" s="231">
        <v>1.3386</v>
      </c>
      <c r="AF34" s="231">
        <v>1.3633999999999999</v>
      </c>
      <c r="AG34" s="231">
        <v>1.3886000000000001</v>
      </c>
      <c r="AH34" s="231">
        <v>1.4141999999999999</v>
      </c>
      <c r="AI34" s="231">
        <v>1.4402999999999999</v>
      </c>
      <c r="AJ34" s="231">
        <v>1.4670000000000001</v>
      </c>
      <c r="AK34" s="231">
        <v>1.4941</v>
      </c>
      <c r="AL34" s="231">
        <v>1.5217000000000001</v>
      </c>
      <c r="AM34" s="231">
        <v>1.5498000000000001</v>
      </c>
    </row>
    <row r="35" spans="1:39" s="281" customFormat="1" x14ac:dyDescent="0.15">
      <c r="A35" s="157"/>
      <c r="B35" s="157"/>
      <c r="C35" s="232"/>
      <c r="D35" s="231">
        <v>1.2166999999999999</v>
      </c>
      <c r="E35" s="231">
        <v>1.1783999999999999</v>
      </c>
      <c r="F35" s="231">
        <v>1.1473</v>
      </c>
      <c r="G35" s="231">
        <v>1.1238999999999999</v>
      </c>
      <c r="H35" s="231">
        <v>1.111</v>
      </c>
      <c r="I35" s="231">
        <v>1.1012999999999999</v>
      </c>
      <c r="J35" s="231">
        <v>1.0793999999999999</v>
      </c>
      <c r="K35" s="231">
        <v>1.06</v>
      </c>
      <c r="L35" s="231">
        <v>1.0424</v>
      </c>
      <c r="M35" s="231">
        <v>1.0238</v>
      </c>
      <c r="N35" s="231">
        <v>1.0116000000000001</v>
      </c>
      <c r="O35" s="231">
        <v>1</v>
      </c>
      <c r="P35" s="231">
        <v>0.98309999999999997</v>
      </c>
      <c r="Q35" s="231">
        <v>0.96789999999999998</v>
      </c>
      <c r="R35" s="231">
        <v>0.95199999999999996</v>
      </c>
      <c r="S35" s="231">
        <v>0.93469999999999998</v>
      </c>
      <c r="T35" s="231">
        <v>0.91659999999999997</v>
      </c>
      <c r="U35" s="231">
        <v>0.89859999999999995</v>
      </c>
      <c r="V35" s="231">
        <v>0.88080000000000003</v>
      </c>
      <c r="W35" s="231">
        <v>0.8649</v>
      </c>
      <c r="X35" s="231">
        <v>0.84919999999999995</v>
      </c>
      <c r="Y35" s="231">
        <v>0.83379999999999999</v>
      </c>
      <c r="Z35" s="231">
        <v>0.81859999999999999</v>
      </c>
      <c r="AA35" s="231">
        <v>0.80379999999999996</v>
      </c>
      <c r="AB35" s="231">
        <v>0.78920000000000001</v>
      </c>
      <c r="AC35" s="231">
        <v>0.77490000000000003</v>
      </c>
      <c r="AD35" s="231">
        <v>0.76080000000000003</v>
      </c>
      <c r="AE35" s="231">
        <v>0.747</v>
      </c>
      <c r="AF35" s="231">
        <v>0.73350000000000004</v>
      </c>
      <c r="AG35" s="231">
        <v>0.72019999999999995</v>
      </c>
      <c r="AH35" s="231">
        <v>0.70709999999999995</v>
      </c>
      <c r="AI35" s="231">
        <v>0.69430000000000003</v>
      </c>
      <c r="AJ35" s="231">
        <v>0.68169999999999997</v>
      </c>
      <c r="AK35" s="231">
        <v>0.66930000000000001</v>
      </c>
      <c r="AL35" s="231">
        <v>0.65720000000000001</v>
      </c>
      <c r="AM35" s="231">
        <v>0.64529999999999998</v>
      </c>
    </row>
    <row r="36" spans="1:39" s="281" customFormat="1" ht="14" x14ac:dyDescent="0.15">
      <c r="A36" s="157"/>
      <c r="B36" s="157"/>
      <c r="C36" s="232" t="s">
        <v>638</v>
      </c>
      <c r="D36" s="231">
        <v>0.80800000000000005</v>
      </c>
      <c r="E36" s="231">
        <v>0.83430000000000004</v>
      </c>
      <c r="F36" s="231">
        <v>0.8569</v>
      </c>
      <c r="G36" s="231">
        <v>0.87470000000000003</v>
      </c>
      <c r="H36" s="231">
        <v>0.88490000000000002</v>
      </c>
      <c r="I36" s="231">
        <v>0.89270000000000005</v>
      </c>
      <c r="J36" s="231">
        <v>0.91080000000000005</v>
      </c>
      <c r="K36" s="231">
        <v>0.9274</v>
      </c>
      <c r="L36" s="231">
        <v>0.94310000000000005</v>
      </c>
      <c r="M36" s="231">
        <v>0.96030000000000004</v>
      </c>
      <c r="N36" s="231">
        <v>0.97189999999999999</v>
      </c>
      <c r="O36" s="231">
        <v>0.98309999999999997</v>
      </c>
      <c r="P36" s="231">
        <v>1</v>
      </c>
      <c r="Q36" s="231">
        <v>1.0157</v>
      </c>
      <c r="R36" s="231">
        <v>1.0327</v>
      </c>
      <c r="S36" s="231">
        <v>1.0518000000000001</v>
      </c>
      <c r="T36" s="231">
        <v>1.0726</v>
      </c>
      <c r="U36" s="231">
        <v>1.0941000000000001</v>
      </c>
      <c r="V36" s="231">
        <v>1.1161000000000001</v>
      </c>
      <c r="W36" s="231">
        <v>1.1367</v>
      </c>
      <c r="X36" s="231">
        <v>1.1577</v>
      </c>
      <c r="Y36" s="231">
        <v>1.1791</v>
      </c>
      <c r="Z36" s="231">
        <v>1.2009000000000001</v>
      </c>
      <c r="AA36" s="231">
        <v>1.2231000000000001</v>
      </c>
      <c r="AB36" s="231">
        <v>1.2457</v>
      </c>
      <c r="AC36" s="231">
        <v>1.2686999999999999</v>
      </c>
      <c r="AD36" s="231">
        <v>1.2921</v>
      </c>
      <c r="AE36" s="231">
        <v>1.3160000000000001</v>
      </c>
      <c r="AF36" s="231">
        <v>1.3403</v>
      </c>
      <c r="AG36" s="231">
        <v>1.3651</v>
      </c>
      <c r="AH36" s="231">
        <v>1.3903000000000001</v>
      </c>
      <c r="AI36" s="231">
        <v>1.4159999999999999</v>
      </c>
      <c r="AJ36" s="231">
        <v>1.4421999999999999</v>
      </c>
      <c r="AK36" s="231">
        <v>1.4688000000000001</v>
      </c>
      <c r="AL36" s="231">
        <v>1.4959</v>
      </c>
      <c r="AM36" s="231">
        <v>1.5236000000000001</v>
      </c>
    </row>
    <row r="37" spans="1:39" s="281" customFormat="1" x14ac:dyDescent="0.15">
      <c r="A37" s="157"/>
      <c r="B37" s="157"/>
      <c r="C37" s="232"/>
      <c r="D37" s="231">
        <v>1.2377</v>
      </c>
      <c r="E37" s="231">
        <v>1.1987000000000001</v>
      </c>
      <c r="F37" s="231">
        <v>1.167</v>
      </c>
      <c r="G37" s="231">
        <v>1.1432</v>
      </c>
      <c r="H37" s="231">
        <v>1.1301000000000001</v>
      </c>
      <c r="I37" s="231">
        <v>1.1202000000000001</v>
      </c>
      <c r="J37" s="231">
        <v>1.0979000000000001</v>
      </c>
      <c r="K37" s="231">
        <v>1.0782</v>
      </c>
      <c r="L37" s="231">
        <v>1.0603</v>
      </c>
      <c r="M37" s="231">
        <v>1.0414000000000001</v>
      </c>
      <c r="N37" s="231">
        <v>1.0289999999999999</v>
      </c>
      <c r="O37" s="231">
        <v>1.0172000000000001</v>
      </c>
      <c r="P37" s="231">
        <v>1</v>
      </c>
      <c r="Q37" s="231">
        <v>0.98460000000000003</v>
      </c>
      <c r="R37" s="231">
        <v>0.96840000000000004</v>
      </c>
      <c r="S37" s="231">
        <v>0.95079999999999998</v>
      </c>
      <c r="T37" s="231">
        <v>0.93230000000000002</v>
      </c>
      <c r="U37" s="231">
        <v>0.91400000000000003</v>
      </c>
      <c r="V37" s="231">
        <v>0.89600000000000002</v>
      </c>
      <c r="W37" s="231">
        <v>0.87970000000000004</v>
      </c>
      <c r="X37" s="231">
        <v>0.86380000000000001</v>
      </c>
      <c r="Y37" s="231">
        <v>0.84809999999999997</v>
      </c>
      <c r="Z37" s="231">
        <v>0.8327</v>
      </c>
      <c r="AA37" s="231">
        <v>0.81759999999999999</v>
      </c>
      <c r="AB37" s="231">
        <v>0.80279999999999996</v>
      </c>
      <c r="AC37" s="231">
        <v>0.78820000000000001</v>
      </c>
      <c r="AD37" s="231">
        <v>0.77390000000000003</v>
      </c>
      <c r="AE37" s="231">
        <v>0.75990000000000002</v>
      </c>
      <c r="AF37" s="231">
        <v>0.74609999999999999</v>
      </c>
      <c r="AG37" s="231">
        <v>0.73260000000000003</v>
      </c>
      <c r="AH37" s="231">
        <v>0.71930000000000005</v>
      </c>
      <c r="AI37" s="231">
        <v>0.70620000000000005</v>
      </c>
      <c r="AJ37" s="231">
        <v>0.69340000000000002</v>
      </c>
      <c r="AK37" s="231">
        <v>0.68079999999999996</v>
      </c>
      <c r="AL37" s="231">
        <v>0.66849999999999998</v>
      </c>
      <c r="AM37" s="231">
        <v>0.65629999999999999</v>
      </c>
    </row>
    <row r="38" spans="1:39" s="281" customFormat="1" ht="14" x14ac:dyDescent="0.15">
      <c r="A38" s="157"/>
      <c r="B38" s="157"/>
      <c r="C38" s="232" t="s">
        <v>639</v>
      </c>
      <c r="D38" s="231">
        <v>0.79549999999999998</v>
      </c>
      <c r="E38" s="231">
        <v>0.82140000000000002</v>
      </c>
      <c r="F38" s="231">
        <v>0.84370000000000001</v>
      </c>
      <c r="G38" s="231">
        <v>0.86119999999999997</v>
      </c>
      <c r="H38" s="231">
        <v>0.87119999999999997</v>
      </c>
      <c r="I38" s="231">
        <v>0.87890000000000001</v>
      </c>
      <c r="J38" s="231">
        <v>0.89680000000000004</v>
      </c>
      <c r="K38" s="231">
        <v>0.91310000000000002</v>
      </c>
      <c r="L38" s="231">
        <v>0.92859999999999998</v>
      </c>
      <c r="M38" s="231">
        <v>0.94550000000000001</v>
      </c>
      <c r="N38" s="231">
        <v>0.95689999999999997</v>
      </c>
      <c r="O38" s="231">
        <v>0.96789999999999998</v>
      </c>
      <c r="P38" s="231">
        <v>0.98460000000000003</v>
      </c>
      <c r="Q38" s="231">
        <v>1</v>
      </c>
      <c r="R38" s="231">
        <v>1.0166999999999999</v>
      </c>
      <c r="S38" s="231">
        <v>1.0355000000000001</v>
      </c>
      <c r="T38" s="231">
        <v>1.056</v>
      </c>
      <c r="U38" s="231">
        <v>1.0771999999999999</v>
      </c>
      <c r="V38" s="231">
        <v>1.0989</v>
      </c>
      <c r="W38" s="231">
        <v>1.1192</v>
      </c>
      <c r="X38" s="231">
        <v>1.1398999999999999</v>
      </c>
      <c r="Y38" s="231">
        <v>1.1609</v>
      </c>
      <c r="Z38" s="231">
        <v>1.1823999999999999</v>
      </c>
      <c r="AA38" s="231">
        <v>1.2041999999999999</v>
      </c>
      <c r="AB38" s="231">
        <v>1.2264999999999999</v>
      </c>
      <c r="AC38" s="231">
        <v>1.2491000000000001</v>
      </c>
      <c r="AD38" s="231">
        <v>1.2722</v>
      </c>
      <c r="AE38" s="231">
        <v>1.2957000000000001</v>
      </c>
      <c r="AF38" s="231">
        <v>1.3197000000000001</v>
      </c>
      <c r="AG38" s="231">
        <v>1.3440000000000001</v>
      </c>
      <c r="AH38" s="231">
        <v>1.3689</v>
      </c>
      <c r="AI38" s="231">
        <v>1.3942000000000001</v>
      </c>
      <c r="AJ38" s="231">
        <v>1.4198999999999999</v>
      </c>
      <c r="AK38" s="231">
        <v>1.4461999999999999</v>
      </c>
      <c r="AL38" s="231">
        <v>1.4729000000000001</v>
      </c>
      <c r="AM38" s="231">
        <v>1.5001</v>
      </c>
    </row>
    <row r="39" spans="1:39" s="281" customFormat="1" x14ac:dyDescent="0.15">
      <c r="A39" s="157"/>
      <c r="B39" s="157"/>
      <c r="C39" s="232"/>
      <c r="D39" s="231">
        <v>1.2569999999999999</v>
      </c>
      <c r="E39" s="231">
        <v>1.2174</v>
      </c>
      <c r="F39" s="231">
        <v>1.1853</v>
      </c>
      <c r="G39" s="231">
        <v>1.1612</v>
      </c>
      <c r="H39" s="231">
        <v>1.1477999999999999</v>
      </c>
      <c r="I39" s="231">
        <v>1.1377999999999999</v>
      </c>
      <c r="J39" s="231">
        <v>1.1151</v>
      </c>
      <c r="K39" s="231">
        <v>1.0951</v>
      </c>
      <c r="L39" s="231">
        <v>1.0769</v>
      </c>
      <c r="M39" s="231">
        <v>1.0577000000000001</v>
      </c>
      <c r="N39" s="231">
        <v>1.0450999999999999</v>
      </c>
      <c r="O39" s="231">
        <v>1.0330999999999999</v>
      </c>
      <c r="P39" s="231">
        <v>1.0157</v>
      </c>
      <c r="Q39" s="231">
        <v>1</v>
      </c>
      <c r="R39" s="231">
        <v>0.98350000000000004</v>
      </c>
      <c r="S39" s="231">
        <v>0.9657</v>
      </c>
      <c r="T39" s="231">
        <v>0.94699999999999995</v>
      </c>
      <c r="U39" s="231">
        <v>0.92830000000000001</v>
      </c>
      <c r="V39" s="231">
        <v>0.91</v>
      </c>
      <c r="W39" s="231">
        <v>0.89349999999999996</v>
      </c>
      <c r="X39" s="231">
        <v>0.87729999999999997</v>
      </c>
      <c r="Y39" s="231">
        <v>0.86140000000000005</v>
      </c>
      <c r="Z39" s="231">
        <v>0.8458</v>
      </c>
      <c r="AA39" s="231">
        <v>0.83040000000000003</v>
      </c>
      <c r="AB39" s="231">
        <v>0.81530000000000002</v>
      </c>
      <c r="AC39" s="231">
        <v>0.80059999999999998</v>
      </c>
      <c r="AD39" s="231">
        <v>0.78600000000000003</v>
      </c>
      <c r="AE39" s="231">
        <v>0.77180000000000004</v>
      </c>
      <c r="AF39" s="231">
        <v>0.75780000000000003</v>
      </c>
      <c r="AG39" s="231">
        <v>0.74399999999999999</v>
      </c>
      <c r="AH39" s="231">
        <v>0.73050000000000004</v>
      </c>
      <c r="AI39" s="231">
        <v>0.71730000000000005</v>
      </c>
      <c r="AJ39" s="231">
        <v>0.70430000000000004</v>
      </c>
      <c r="AK39" s="231">
        <v>0.6915</v>
      </c>
      <c r="AL39" s="231">
        <v>0.67889999999999995</v>
      </c>
      <c r="AM39" s="231">
        <v>0.66659999999999997</v>
      </c>
    </row>
    <row r="40" spans="1:39" s="281" customFormat="1" ht="14" x14ac:dyDescent="0.15">
      <c r="A40" s="157"/>
      <c r="B40" s="157"/>
      <c r="C40" s="232" t="s">
        <v>640</v>
      </c>
      <c r="D40" s="231">
        <v>0.78239999999999998</v>
      </c>
      <c r="E40" s="231">
        <v>0.80789999999999995</v>
      </c>
      <c r="F40" s="231">
        <v>0.82979999999999998</v>
      </c>
      <c r="G40" s="231">
        <v>0.84699999999999998</v>
      </c>
      <c r="H40" s="231">
        <v>0.8569</v>
      </c>
      <c r="I40" s="231">
        <v>0.86439999999999995</v>
      </c>
      <c r="J40" s="231">
        <v>0.88200000000000001</v>
      </c>
      <c r="K40" s="231">
        <v>0.89810000000000001</v>
      </c>
      <c r="L40" s="231">
        <v>0.9133</v>
      </c>
      <c r="M40" s="231">
        <v>0.92989999999999995</v>
      </c>
      <c r="N40" s="231">
        <v>0.94110000000000005</v>
      </c>
      <c r="O40" s="231">
        <v>0.95199999999999996</v>
      </c>
      <c r="P40" s="231">
        <v>0.96840000000000004</v>
      </c>
      <c r="Q40" s="231">
        <v>0.98350000000000004</v>
      </c>
      <c r="R40" s="231">
        <v>1</v>
      </c>
      <c r="S40" s="231">
        <v>1.0185</v>
      </c>
      <c r="T40" s="231">
        <v>1.0386</v>
      </c>
      <c r="U40" s="231">
        <v>1.0595000000000001</v>
      </c>
      <c r="V40" s="231">
        <v>1.0808</v>
      </c>
      <c r="W40" s="231">
        <v>1.1008</v>
      </c>
      <c r="X40" s="231">
        <v>1.1211</v>
      </c>
      <c r="Y40" s="231">
        <v>1.1417999999999999</v>
      </c>
      <c r="Z40" s="231">
        <v>1.1629</v>
      </c>
      <c r="AA40" s="231">
        <v>1.1843999999999999</v>
      </c>
      <c r="AB40" s="231">
        <v>1.2062999999999999</v>
      </c>
      <c r="AC40" s="231">
        <v>1.2285999999999999</v>
      </c>
      <c r="AD40" s="231">
        <v>1.2513000000000001</v>
      </c>
      <c r="AE40" s="231">
        <v>1.2744</v>
      </c>
      <c r="AF40" s="231">
        <v>1.2979000000000001</v>
      </c>
      <c r="AG40" s="231">
        <v>1.3219000000000001</v>
      </c>
      <c r="AH40" s="231">
        <v>1.3464</v>
      </c>
      <c r="AI40" s="231">
        <v>1.3712</v>
      </c>
      <c r="AJ40" s="231">
        <v>1.3966000000000001</v>
      </c>
      <c r="AK40" s="231">
        <v>1.4224000000000001</v>
      </c>
      <c r="AL40" s="231">
        <v>1.4486000000000001</v>
      </c>
      <c r="AM40" s="231">
        <v>1.4754</v>
      </c>
    </row>
    <row r="41" spans="1:39" s="281" customFormat="1" x14ac:dyDescent="0.15">
      <c r="A41" s="157"/>
      <c r="B41" s="157"/>
      <c r="C41" s="232"/>
      <c r="D41" s="231">
        <v>1.2781</v>
      </c>
      <c r="E41" s="231">
        <v>1.2378</v>
      </c>
      <c r="F41" s="231">
        <v>1.2051000000000001</v>
      </c>
      <c r="G41" s="231">
        <v>1.1806000000000001</v>
      </c>
      <c r="H41" s="231">
        <v>1.167</v>
      </c>
      <c r="I41" s="231">
        <v>1.1568000000000001</v>
      </c>
      <c r="J41" s="231">
        <v>1.1337999999999999</v>
      </c>
      <c r="K41" s="231">
        <v>1.1133999999999999</v>
      </c>
      <c r="L41" s="231">
        <v>1.095</v>
      </c>
      <c r="M41" s="231">
        <v>1.0753999999999999</v>
      </c>
      <c r="N41" s="231">
        <v>1.0626</v>
      </c>
      <c r="O41" s="231">
        <v>1.0504</v>
      </c>
      <c r="P41" s="231">
        <v>1.0327</v>
      </c>
      <c r="Q41" s="231">
        <v>1.0166999999999999</v>
      </c>
      <c r="R41" s="231">
        <v>1</v>
      </c>
      <c r="S41" s="231">
        <v>0.98180000000000001</v>
      </c>
      <c r="T41" s="231">
        <v>0.96279999999999999</v>
      </c>
      <c r="U41" s="231">
        <v>0.94389999999999996</v>
      </c>
      <c r="V41" s="231">
        <v>0.92520000000000002</v>
      </c>
      <c r="W41" s="231">
        <v>0.90849999999999997</v>
      </c>
      <c r="X41" s="231">
        <v>0.89200000000000002</v>
      </c>
      <c r="Y41" s="231">
        <v>0.87580000000000002</v>
      </c>
      <c r="Z41" s="231">
        <v>0.8599</v>
      </c>
      <c r="AA41" s="231">
        <v>0.84430000000000005</v>
      </c>
      <c r="AB41" s="231">
        <v>0.82899999999999996</v>
      </c>
      <c r="AC41" s="231">
        <v>0.81389999999999996</v>
      </c>
      <c r="AD41" s="231">
        <v>0.79920000000000002</v>
      </c>
      <c r="AE41" s="231">
        <v>0.78469999999999995</v>
      </c>
      <c r="AF41" s="231">
        <v>0.77039999999999997</v>
      </c>
      <c r="AG41" s="231">
        <v>0.75649999999999995</v>
      </c>
      <c r="AH41" s="231">
        <v>0.74270000000000003</v>
      </c>
      <c r="AI41" s="231">
        <v>0.72929999999999995</v>
      </c>
      <c r="AJ41" s="231">
        <v>0.71599999999999997</v>
      </c>
      <c r="AK41" s="231">
        <v>0.70309999999999995</v>
      </c>
      <c r="AL41" s="231">
        <v>0.69030000000000002</v>
      </c>
      <c r="AM41" s="231">
        <v>0.67779999999999996</v>
      </c>
    </row>
    <row r="42" spans="1:39" s="281" customFormat="1" ht="14" x14ac:dyDescent="0.15">
      <c r="A42" s="157"/>
      <c r="B42" s="157"/>
      <c r="C42" s="232" t="s">
        <v>641</v>
      </c>
      <c r="D42" s="231">
        <v>0.76819999999999999</v>
      </c>
      <c r="E42" s="231">
        <v>0.79320000000000002</v>
      </c>
      <c r="F42" s="231">
        <v>0.81469999999999998</v>
      </c>
      <c r="G42" s="231">
        <v>0.83169999999999999</v>
      </c>
      <c r="H42" s="231">
        <v>0.84130000000000005</v>
      </c>
      <c r="I42" s="231">
        <v>0.84870000000000001</v>
      </c>
      <c r="J42" s="231">
        <v>0.86599999999999999</v>
      </c>
      <c r="K42" s="231">
        <v>0.88180000000000003</v>
      </c>
      <c r="L42" s="231">
        <v>0.89670000000000005</v>
      </c>
      <c r="M42" s="231">
        <v>0.91300000000000003</v>
      </c>
      <c r="N42" s="231">
        <v>0.92400000000000004</v>
      </c>
      <c r="O42" s="231">
        <v>0.93469999999999998</v>
      </c>
      <c r="P42" s="231">
        <v>0.95079999999999998</v>
      </c>
      <c r="Q42" s="231">
        <v>0.9657</v>
      </c>
      <c r="R42" s="231">
        <v>0.98180000000000001</v>
      </c>
      <c r="S42" s="231">
        <v>1</v>
      </c>
      <c r="T42" s="231">
        <v>1.0198</v>
      </c>
      <c r="U42" s="231">
        <v>1.0402</v>
      </c>
      <c r="V42" s="231">
        <v>1.0611999999999999</v>
      </c>
      <c r="W42" s="231">
        <v>1.0808</v>
      </c>
      <c r="X42" s="231">
        <v>1.1007</v>
      </c>
      <c r="Y42" s="231">
        <v>1.1211</v>
      </c>
      <c r="Z42" s="231">
        <v>1.1417999999999999</v>
      </c>
      <c r="AA42" s="231">
        <v>1.1629</v>
      </c>
      <c r="AB42" s="231">
        <v>1.1843999999999999</v>
      </c>
      <c r="AC42" s="231">
        <v>1.2062999999999999</v>
      </c>
      <c r="AD42" s="231">
        <v>1.2284999999999999</v>
      </c>
      <c r="AE42" s="231">
        <v>1.2512000000000001</v>
      </c>
      <c r="AF42" s="231">
        <v>1.2744</v>
      </c>
      <c r="AG42" s="231">
        <v>1.2979000000000001</v>
      </c>
      <c r="AH42" s="231">
        <v>1.3219000000000001</v>
      </c>
      <c r="AI42" s="231">
        <v>1.3463000000000001</v>
      </c>
      <c r="AJ42" s="231">
        <v>1.3712</v>
      </c>
      <c r="AK42" s="231">
        <v>1.3965000000000001</v>
      </c>
      <c r="AL42" s="231">
        <v>1.4222999999999999</v>
      </c>
      <c r="AM42" s="231">
        <v>1.4486000000000001</v>
      </c>
    </row>
    <row r="43" spans="1:39" s="281" customFormat="1" x14ac:dyDescent="0.15">
      <c r="A43" s="157"/>
      <c r="B43" s="157"/>
      <c r="C43" s="232"/>
      <c r="D43" s="231">
        <v>1.3017000000000001</v>
      </c>
      <c r="E43" s="231">
        <v>1.2606999999999999</v>
      </c>
      <c r="F43" s="231">
        <v>1.2274</v>
      </c>
      <c r="G43" s="231">
        <v>1.2023999999999999</v>
      </c>
      <c r="H43" s="231">
        <v>1.1886000000000001</v>
      </c>
      <c r="I43" s="231">
        <v>1.1781999999999999</v>
      </c>
      <c r="J43" s="231">
        <v>1.1548</v>
      </c>
      <c r="K43" s="231">
        <v>1.1341000000000001</v>
      </c>
      <c r="L43" s="231">
        <v>1.1152</v>
      </c>
      <c r="M43" s="231">
        <v>1.0952999999999999</v>
      </c>
      <c r="N43" s="231">
        <v>1.0822000000000001</v>
      </c>
      <c r="O43" s="231">
        <v>1.0698000000000001</v>
      </c>
      <c r="P43" s="231">
        <v>1.0518000000000001</v>
      </c>
      <c r="Q43" s="231">
        <v>1.0355000000000001</v>
      </c>
      <c r="R43" s="231">
        <v>1.0185</v>
      </c>
      <c r="S43" s="231">
        <v>1</v>
      </c>
      <c r="T43" s="231">
        <v>0.98060000000000003</v>
      </c>
      <c r="U43" s="231">
        <v>0.96130000000000004</v>
      </c>
      <c r="V43" s="231">
        <v>0.94240000000000002</v>
      </c>
      <c r="W43" s="231">
        <v>0.92530000000000001</v>
      </c>
      <c r="X43" s="231">
        <v>0.90849999999999997</v>
      </c>
      <c r="Y43" s="231">
        <v>0.89200000000000002</v>
      </c>
      <c r="Z43" s="231">
        <v>0.87580000000000002</v>
      </c>
      <c r="AA43" s="231">
        <v>0.8599</v>
      </c>
      <c r="AB43" s="231">
        <v>0.84430000000000005</v>
      </c>
      <c r="AC43" s="231">
        <v>0.82899999999999996</v>
      </c>
      <c r="AD43" s="231">
        <v>0.81399999999999995</v>
      </c>
      <c r="AE43" s="231">
        <v>0.79920000000000002</v>
      </c>
      <c r="AF43" s="231">
        <v>0.78469999999999995</v>
      </c>
      <c r="AG43" s="231">
        <v>0.77049999999999996</v>
      </c>
      <c r="AH43" s="231">
        <v>0.75649999999999995</v>
      </c>
      <c r="AI43" s="231">
        <v>0.74280000000000002</v>
      </c>
      <c r="AJ43" s="231">
        <v>0.72929999999999995</v>
      </c>
      <c r="AK43" s="231">
        <v>0.71609999999999996</v>
      </c>
      <c r="AL43" s="231">
        <v>0.70309999999999995</v>
      </c>
      <c r="AM43" s="231">
        <v>0.69030000000000002</v>
      </c>
    </row>
    <row r="44" spans="1:39" s="281" customFormat="1" x14ac:dyDescent="0.15">
      <c r="A44" s="157"/>
      <c r="B44" s="157"/>
      <c r="C44" s="232"/>
      <c r="D44" s="231"/>
      <c r="E44" s="231"/>
      <c r="F44" s="231"/>
      <c r="G44" s="231"/>
      <c r="H44" s="231"/>
      <c r="I44" s="231"/>
      <c r="J44" s="231"/>
      <c r="K44" s="231"/>
      <c r="L44" s="231"/>
      <c r="M44" s="231"/>
      <c r="N44" s="231"/>
      <c r="O44" s="231"/>
      <c r="P44" s="231"/>
      <c r="Q44" s="231"/>
      <c r="R44" s="231"/>
      <c r="S44" s="231"/>
      <c r="T44" s="231"/>
      <c r="U44" s="231"/>
      <c r="V44" s="231"/>
      <c r="W44" s="231"/>
      <c r="X44" s="231"/>
      <c r="Y44" s="231"/>
      <c r="Z44" s="231"/>
      <c r="AA44" s="231"/>
      <c r="AB44" s="231"/>
      <c r="AC44" s="231"/>
      <c r="AD44" s="231"/>
      <c r="AE44" s="231"/>
      <c r="AF44" s="231"/>
      <c r="AG44" s="231"/>
      <c r="AH44" s="231"/>
      <c r="AI44" s="231"/>
      <c r="AJ44" s="231"/>
      <c r="AK44" s="231"/>
      <c r="AL44" s="231"/>
      <c r="AM44" s="231"/>
    </row>
    <row r="45" spans="1:39" x14ac:dyDescent="0.15">
      <c r="A45" s="157"/>
      <c r="B45" s="157"/>
      <c r="C45" s="312" t="s">
        <v>656</v>
      </c>
      <c r="D45" s="14"/>
      <c r="E45" s="14"/>
      <c r="F45" s="14"/>
      <c r="G45" s="14"/>
      <c r="H45" s="14"/>
      <c r="I45" s="14"/>
    </row>
    <row r="46" spans="1:39" x14ac:dyDescent="0.15">
      <c r="A46" s="157"/>
      <c r="B46" s="157"/>
      <c r="C46" s="233" t="s">
        <v>651</v>
      </c>
      <c r="E46" s="14"/>
      <c r="F46" s="14"/>
      <c r="G46" s="14"/>
      <c r="H46" s="14"/>
    </row>
    <row r="47" spans="1:39" x14ac:dyDescent="0.15">
      <c r="A47" s="157"/>
      <c r="B47" s="157"/>
      <c r="C47" s="302" t="s">
        <v>655</v>
      </c>
    </row>
    <row r="48" spans="1:39" x14ac:dyDescent="0.15">
      <c r="A48" s="157"/>
      <c r="B48" s="157"/>
      <c r="C48" s="75"/>
    </row>
    <row r="49" spans="1:20" x14ac:dyDescent="0.15">
      <c r="A49" s="157"/>
      <c r="B49" s="157"/>
      <c r="C49" s="75"/>
    </row>
    <row r="50" spans="1:20" x14ac:dyDescent="0.15">
      <c r="A50" s="157"/>
      <c r="B50" s="157"/>
      <c r="C50" s="75"/>
    </row>
    <row r="51" spans="1:20" x14ac:dyDescent="0.15">
      <c r="A51" s="157"/>
      <c r="B51" s="157"/>
      <c r="C51" s="61"/>
      <c r="D51" s="61"/>
    </row>
    <row r="52" spans="1:20" ht="12.75" customHeight="1" x14ac:dyDescent="0.2">
      <c r="A52" s="157"/>
      <c r="B52" s="157"/>
      <c r="K52" s="196"/>
    </row>
    <row r="53" spans="1:20" x14ac:dyDescent="0.15">
      <c r="A53" s="157"/>
      <c r="B53" s="157"/>
      <c r="D53" s="194">
        <f>HLOOKUP($E$4,E$53:T$55,3)</f>
        <v>25</v>
      </c>
      <c r="E53" s="234">
        <v>2005</v>
      </c>
      <c r="F53" s="234">
        <v>2006</v>
      </c>
      <c r="G53" s="234">
        <v>2007</v>
      </c>
      <c r="H53" s="234">
        <v>2008</v>
      </c>
      <c r="I53" s="234">
        <v>2009</v>
      </c>
      <c r="J53" s="234">
        <v>2010</v>
      </c>
      <c r="K53" s="234">
        <v>2011</v>
      </c>
      <c r="L53" s="234">
        <v>2012</v>
      </c>
      <c r="M53" s="234">
        <v>2013</v>
      </c>
      <c r="N53">
        <v>2014</v>
      </c>
      <c r="O53">
        <v>2015</v>
      </c>
      <c r="P53">
        <v>2016</v>
      </c>
      <c r="Q53">
        <v>2017</v>
      </c>
      <c r="R53">
        <v>2018</v>
      </c>
      <c r="S53">
        <v>2019</v>
      </c>
      <c r="T53">
        <v>2020</v>
      </c>
    </row>
    <row r="54" spans="1:20" x14ac:dyDescent="0.15">
      <c r="A54" s="157"/>
      <c r="B54" s="157"/>
      <c r="D54" s="194">
        <f>HLOOKUP($E$4,E$53:T$55,2)</f>
        <v>24</v>
      </c>
      <c r="E54" s="234">
        <v>2</v>
      </c>
      <c r="F54" s="234">
        <v>4</v>
      </c>
      <c r="G54" s="234">
        <v>6</v>
      </c>
      <c r="H54" s="234">
        <v>8</v>
      </c>
      <c r="I54" s="234">
        <v>10</v>
      </c>
      <c r="J54" s="234">
        <v>12</v>
      </c>
      <c r="K54" s="234">
        <v>14</v>
      </c>
      <c r="L54" s="234">
        <v>16</v>
      </c>
      <c r="M54" s="234">
        <v>18</v>
      </c>
      <c r="N54">
        <v>20</v>
      </c>
      <c r="O54">
        <v>22</v>
      </c>
      <c r="P54">
        <v>24</v>
      </c>
      <c r="Q54">
        <v>26</v>
      </c>
      <c r="R54">
        <v>28</v>
      </c>
      <c r="S54">
        <v>30</v>
      </c>
      <c r="T54">
        <v>32</v>
      </c>
    </row>
    <row r="55" spans="1:20" x14ac:dyDescent="0.15">
      <c r="A55" s="157"/>
      <c r="B55" s="157"/>
      <c r="C55" s="197"/>
      <c r="D55" s="195"/>
      <c r="E55" s="234">
        <v>3</v>
      </c>
      <c r="F55" s="234">
        <v>5</v>
      </c>
      <c r="G55" s="234">
        <v>7</v>
      </c>
      <c r="H55" s="234">
        <v>9</v>
      </c>
      <c r="I55" s="234">
        <v>11</v>
      </c>
      <c r="J55" s="234">
        <v>13</v>
      </c>
      <c r="K55" s="234">
        <v>15</v>
      </c>
      <c r="L55" s="234">
        <v>17</v>
      </c>
      <c r="M55" s="234">
        <v>19</v>
      </c>
      <c r="N55">
        <v>21</v>
      </c>
      <c r="O55">
        <v>23</v>
      </c>
      <c r="P55">
        <v>25</v>
      </c>
      <c r="Q55">
        <v>27</v>
      </c>
      <c r="R55">
        <v>29</v>
      </c>
      <c r="S55">
        <v>31</v>
      </c>
      <c r="T55">
        <v>33</v>
      </c>
    </row>
    <row r="56" spans="1:20" x14ac:dyDescent="0.15">
      <c r="A56" s="157"/>
      <c r="B56" s="157"/>
    </row>
    <row r="57" spans="1:20" x14ac:dyDescent="0.15">
      <c r="A57" s="157"/>
      <c r="B57" s="157"/>
      <c r="C57" s="108"/>
    </row>
    <row r="58" spans="1:20" x14ac:dyDescent="0.15">
      <c r="A58" s="157"/>
      <c r="B58" s="157"/>
    </row>
    <row r="59" spans="1:20" x14ac:dyDescent="0.15">
      <c r="A59" s="157"/>
      <c r="B59" s="157"/>
    </row>
    <row r="60" spans="1:20" x14ac:dyDescent="0.15">
      <c r="A60" s="157"/>
      <c r="B60" s="157"/>
    </row>
  </sheetData>
  <sheetProtection algorithmName="SHA-512" hashValue="RC0wxi4JE4troI+hbLpPGzQO7V4xZhbidfV9X0yKE0YhtsrD3+EsSPd1tQzaKfCb52/M/tZoKa/irnqciFCICQ==" saltValue="/2LWK2PgGNK0X9VCo3olgA==" spinCount="100000" sheet="1" objects="1" scenarios="1"/>
  <customSheetViews>
    <customSheetView guid="{55B80D82-F000-11D6-8735-C8E5A357943D}" showRuler="0">
      <selection activeCell="F8" sqref="F8"/>
      <pageMargins left="0.75" right="0.75" top="1" bottom="1" header="0.5" footer="0.5"/>
      <headerFooter alignWithMargins="0"/>
    </customSheetView>
  </customSheetViews>
  <phoneticPr fontId="0" type="noConversion"/>
  <pageMargins left="0.75" right="0.75" top="1" bottom="1" header="0.5" footer="0.5"/>
  <pageSetup orientation="portrait" horizontalDpi="4294967293" verticalDpi="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BD48"/>
  <sheetViews>
    <sheetView workbookViewId="0">
      <selection activeCell="T1" sqref="T1"/>
    </sheetView>
  </sheetViews>
  <sheetFormatPr baseColWidth="10" defaultColWidth="8.83203125" defaultRowHeight="13" x14ac:dyDescent="0.15"/>
  <cols>
    <col min="1" max="1" width="158.6640625" customWidth="1"/>
    <col min="2" max="2" width="20.6640625" customWidth="1"/>
    <col min="3" max="3" width="8.33203125" customWidth="1"/>
    <col min="4" max="4" width="6.6640625" customWidth="1"/>
  </cols>
  <sheetData>
    <row r="1" spans="1:56" x14ac:dyDescent="0.15">
      <c r="A1" s="157"/>
      <c r="B1" s="1" t="s">
        <v>284</v>
      </c>
    </row>
    <row r="2" spans="1:56" x14ac:dyDescent="0.15">
      <c r="A2" s="157"/>
      <c r="B2" s="1" t="s">
        <v>336</v>
      </c>
      <c r="C2" s="1">
        <v>2016</v>
      </c>
    </row>
    <row r="3" spans="1:56" x14ac:dyDescent="0.15">
      <c r="A3" s="157"/>
      <c r="C3" t="s">
        <v>82</v>
      </c>
      <c r="D3" t="s">
        <v>83</v>
      </c>
      <c r="E3" t="s">
        <v>84</v>
      </c>
      <c r="F3" t="s">
        <v>85</v>
      </c>
      <c r="G3" t="s">
        <v>86</v>
      </c>
      <c r="H3" t="s">
        <v>87</v>
      </c>
      <c r="I3" t="s">
        <v>88</v>
      </c>
      <c r="J3" t="s">
        <v>89</v>
      </c>
      <c r="K3" t="s">
        <v>90</v>
      </c>
      <c r="L3" t="s">
        <v>91</v>
      </c>
      <c r="M3" t="s">
        <v>92</v>
      </c>
      <c r="N3" t="s">
        <v>93</v>
      </c>
      <c r="O3" t="s">
        <v>94</v>
      </c>
      <c r="P3" t="s">
        <v>95</v>
      </c>
      <c r="Q3" t="s">
        <v>96</v>
      </c>
      <c r="R3" t="s">
        <v>97</v>
      </c>
      <c r="S3" t="s">
        <v>98</v>
      </c>
      <c r="T3" t="s">
        <v>99</v>
      </c>
      <c r="U3" t="s">
        <v>100</v>
      </c>
      <c r="V3" t="s">
        <v>101</v>
      </c>
      <c r="W3" t="s">
        <v>102</v>
      </c>
      <c r="X3" t="s">
        <v>103</v>
      </c>
      <c r="Y3" t="s">
        <v>104</v>
      </c>
      <c r="Z3" t="s">
        <v>105</v>
      </c>
      <c r="AA3" t="s">
        <v>106</v>
      </c>
      <c r="AB3" t="s">
        <v>107</v>
      </c>
      <c r="AC3" t="s">
        <v>108</v>
      </c>
      <c r="AD3" s="38" t="s">
        <v>322</v>
      </c>
      <c r="AE3" s="38" t="s">
        <v>321</v>
      </c>
      <c r="AF3" t="s">
        <v>109</v>
      </c>
      <c r="AG3" t="s">
        <v>110</v>
      </c>
      <c r="AH3" t="s">
        <v>111</v>
      </c>
      <c r="AI3" t="s">
        <v>112</v>
      </c>
      <c r="AJ3" t="s">
        <v>113</v>
      </c>
      <c r="AK3" t="s">
        <v>114</v>
      </c>
      <c r="AL3" t="s">
        <v>115</v>
      </c>
      <c r="AM3" t="s">
        <v>116</v>
      </c>
      <c r="AN3" t="s">
        <v>117</v>
      </c>
      <c r="AO3" t="s">
        <v>118</v>
      </c>
      <c r="AP3" t="s">
        <v>119</v>
      </c>
      <c r="AQ3" t="s">
        <v>120</v>
      </c>
      <c r="AR3" t="s">
        <v>121</v>
      </c>
      <c r="AS3" t="s">
        <v>122</v>
      </c>
      <c r="AT3" t="s">
        <v>123</v>
      </c>
      <c r="AU3" t="s">
        <v>124</v>
      </c>
      <c r="AV3" t="s">
        <v>125</v>
      </c>
      <c r="AW3" s="13" t="s">
        <v>585</v>
      </c>
      <c r="AX3" t="s">
        <v>126</v>
      </c>
      <c r="AY3" t="s">
        <v>127</v>
      </c>
      <c r="AZ3" t="s">
        <v>128</v>
      </c>
      <c r="BA3" t="s">
        <v>129</v>
      </c>
      <c r="BB3" t="s">
        <v>130</v>
      </c>
      <c r="BC3" t="s">
        <v>131</v>
      </c>
      <c r="BD3" t="s">
        <v>81</v>
      </c>
    </row>
    <row r="4" spans="1:56" ht="17" x14ac:dyDescent="0.15">
      <c r="A4" s="157"/>
      <c r="B4" s="6" t="s">
        <v>76</v>
      </c>
      <c r="C4" s="306">
        <v>4.0163734189709354E-3</v>
      </c>
      <c r="D4" s="306">
        <v>6.1450710048088081E-3</v>
      </c>
      <c r="E4" s="306">
        <v>4.2016933423446052E-3</v>
      </c>
      <c r="F4" s="306">
        <v>7.9722858902692064E-3</v>
      </c>
      <c r="G4" s="306">
        <v>3.9376244137061707E-3</v>
      </c>
      <c r="H4" s="306">
        <v>6.2705551244774376E-3</v>
      </c>
      <c r="I4" s="306">
        <v>7.9060104758105318E-4</v>
      </c>
      <c r="J4" s="306">
        <v>5.3248684568050235E-3</v>
      </c>
      <c r="K4" s="306">
        <v>6.3940342243682204E-4</v>
      </c>
      <c r="L4" s="306">
        <v>3.3844040301768399E-3</v>
      </c>
      <c r="M4" s="306">
        <v>4.2126524249515894E-3</v>
      </c>
      <c r="N4" s="306">
        <v>4.7936874538077661E-3</v>
      </c>
      <c r="O4" s="306">
        <v>9.3316715545898703E-3</v>
      </c>
      <c r="P4" s="306">
        <v>3.1455303049938428E-3</v>
      </c>
      <c r="Q4" s="306">
        <v>2.7131907355874454E-3</v>
      </c>
      <c r="R4" s="306">
        <v>8.6965223944363186E-3</v>
      </c>
      <c r="S4" s="306">
        <v>7.6102369633671363E-3</v>
      </c>
      <c r="T4" s="306">
        <v>2.7388096256016534E-3</v>
      </c>
      <c r="U4" s="306">
        <v>2.105195278456162E-3</v>
      </c>
      <c r="V4" s="306">
        <v>3.8381719040847676E-3</v>
      </c>
      <c r="W4" s="306">
        <v>2.0576270551737378E-3</v>
      </c>
      <c r="X4" s="306">
        <v>8.70183433219999E-4</v>
      </c>
      <c r="Y4" s="306">
        <v>2.3220594700286284E-3</v>
      </c>
      <c r="Z4" s="306">
        <v>5.2797189115222527E-3</v>
      </c>
      <c r="AA4" s="306">
        <v>6.3466626421076503E-3</v>
      </c>
      <c r="AB4" s="306">
        <v>3.4641081784864071E-3</v>
      </c>
      <c r="AC4" s="306">
        <v>6.9568868643487859E-3</v>
      </c>
      <c r="AD4" s="158">
        <f>'User Add-in Location'!E9</f>
        <v>0</v>
      </c>
      <c r="AE4" s="158">
        <f>'User Add-in Location'!F9</f>
        <v>0</v>
      </c>
      <c r="AF4" s="306">
        <v>8.5865473096531485E-3</v>
      </c>
      <c r="AG4" s="306">
        <v>1.5873202959742632E-3</v>
      </c>
      <c r="AH4" s="306">
        <v>1.3343321626759714E-3</v>
      </c>
      <c r="AI4" s="306">
        <v>7.7399519813149459E-4</v>
      </c>
      <c r="AJ4" s="306">
        <v>5.7853256634056585E-3</v>
      </c>
      <c r="AK4" s="306">
        <v>2.4311083958786788E-3</v>
      </c>
      <c r="AL4" s="306">
        <v>4.2545106661419762E-3</v>
      </c>
      <c r="AM4" s="306">
        <v>5.5272319963868034E-3</v>
      </c>
      <c r="AN4" s="306">
        <v>2.1234231289931939E-3</v>
      </c>
      <c r="AO4" s="306">
        <v>4.2276124882320706E-3</v>
      </c>
      <c r="AP4" s="306">
        <v>6.0428577695873674E-3</v>
      </c>
      <c r="AQ4" s="306">
        <v>2.6110825176626907E-3</v>
      </c>
      <c r="AR4" s="306">
        <v>5.9654076556800439E-4</v>
      </c>
      <c r="AS4" s="306">
        <v>2.311563558039376E-3</v>
      </c>
      <c r="AT4" s="306">
        <v>8.7671872538220615E-3</v>
      </c>
      <c r="AU4" s="306">
        <v>1.7655881715864347E-3</v>
      </c>
      <c r="AV4" s="306">
        <v>3.1835418381665603E-3</v>
      </c>
      <c r="AW4" s="306">
        <v>5.2579171427173891E-3</v>
      </c>
      <c r="AX4" s="306">
        <v>2.6368069749400647E-3</v>
      </c>
      <c r="AY4" s="306">
        <v>7.3865350782525239E-3</v>
      </c>
      <c r="AZ4" s="306">
        <v>3.2739504412473528E-3</v>
      </c>
      <c r="BA4" s="306">
        <v>4.175643536391261E-3</v>
      </c>
      <c r="BB4" s="306">
        <v>2.7545474871674591E-3</v>
      </c>
      <c r="BC4" s="306">
        <v>6.4502275361509155E-3</v>
      </c>
      <c r="BD4" s="306">
        <v>4.0858866677679351E-3</v>
      </c>
    </row>
    <row r="5" spans="1:56" ht="23" x14ac:dyDescent="0.25">
      <c r="A5" s="159" t="s">
        <v>418</v>
      </c>
      <c r="B5" s="6" t="s">
        <v>148</v>
      </c>
      <c r="C5" s="306">
        <v>4.5342653891817915E-6</v>
      </c>
      <c r="D5" s="306">
        <v>2.7510167459744092E-5</v>
      </c>
      <c r="E5" s="306">
        <v>6.5467867889972793E-6</v>
      </c>
      <c r="F5" s="306">
        <v>7.0898839911708192E-6</v>
      </c>
      <c r="G5" s="306">
        <v>5.8028303258059065E-6</v>
      </c>
      <c r="H5" s="306">
        <v>1.3723398224191555E-5</v>
      </c>
      <c r="I5" s="306">
        <v>1.7716183777684384E-6</v>
      </c>
      <c r="J5" s="306">
        <v>5.0915956829974676E-7</v>
      </c>
      <c r="K5" s="306">
        <v>1.7141331397792614E-7</v>
      </c>
      <c r="L5" s="306">
        <v>4.5208900129859971E-6</v>
      </c>
      <c r="M5" s="306">
        <v>2.1732723549290811E-6</v>
      </c>
      <c r="N5" s="306">
        <v>2.3420271832846503E-6</v>
      </c>
      <c r="O5" s="306">
        <v>6.0922457517539545E-6</v>
      </c>
      <c r="P5" s="306">
        <v>2.5857386666895203E-6</v>
      </c>
      <c r="Q5" s="306">
        <v>2.6124132290274102E-6</v>
      </c>
      <c r="R5" s="306">
        <v>1.9635260457325694E-6</v>
      </c>
      <c r="S5" s="306">
        <v>1.1961462539214664E-5</v>
      </c>
      <c r="T5" s="306">
        <v>3.4826861632377029E-6</v>
      </c>
      <c r="U5" s="306">
        <v>2.1835955255984943E-5</v>
      </c>
      <c r="V5" s="306">
        <v>2.2246983698889801E-6</v>
      </c>
      <c r="W5" s="306">
        <v>2.7515909278118606E-6</v>
      </c>
      <c r="X5" s="306">
        <v>2.3906888347798109E-6</v>
      </c>
      <c r="Y5" s="306">
        <v>3.062461283867796E-6</v>
      </c>
      <c r="Z5" s="306">
        <v>2.355135122467692E-6</v>
      </c>
      <c r="AA5" s="306">
        <v>8.6799927279817615E-6</v>
      </c>
      <c r="AB5" s="306">
        <v>1.8221139718061016E-6</v>
      </c>
      <c r="AC5" s="306">
        <v>1.6856291374944015E-5</v>
      </c>
      <c r="AD5" s="158">
        <f>'User Add-in Location'!E10</f>
        <v>0</v>
      </c>
      <c r="AE5" s="158">
        <f>'User Add-in Location'!F10</f>
        <v>0</v>
      </c>
      <c r="AF5" s="306">
        <v>2.5830512167125956E-6</v>
      </c>
      <c r="AG5" s="306">
        <v>1.0616785194144434E-5</v>
      </c>
      <c r="AH5" s="306">
        <v>2.4742958252124233E-6</v>
      </c>
      <c r="AI5" s="306">
        <v>1.6626249441631725E-6</v>
      </c>
      <c r="AJ5" s="306">
        <v>2.6323748733197165E-5</v>
      </c>
      <c r="AK5" s="306">
        <v>2.0302075258254956E-6</v>
      </c>
      <c r="AL5" s="306">
        <v>1.997451731036695E-6</v>
      </c>
      <c r="AM5" s="306">
        <v>2.5521356765750313E-5</v>
      </c>
      <c r="AN5" s="306">
        <v>6.2580522594263989E-6</v>
      </c>
      <c r="AO5" s="306">
        <v>2.4842526714837907E-5</v>
      </c>
      <c r="AP5" s="306">
        <v>3.010857928775452E-6</v>
      </c>
      <c r="AQ5" s="306">
        <v>9.3047972240921491E-6</v>
      </c>
      <c r="AR5" s="306">
        <v>1.6091502682610221E-6</v>
      </c>
      <c r="AS5" s="306">
        <v>2.0708606154706478E-6</v>
      </c>
      <c r="AT5" s="306">
        <v>4.6354322580113202E-6</v>
      </c>
      <c r="AU5" s="306">
        <v>2.2207748239519645E-6</v>
      </c>
      <c r="AV5" s="306">
        <v>2.5416215394372215E-5</v>
      </c>
      <c r="AW5" s="306">
        <v>1.3797605679179708E-5</v>
      </c>
      <c r="AX5" s="306">
        <v>9.7403346533042254E-6</v>
      </c>
      <c r="AY5" s="306">
        <v>3.3296004607241033E-6</v>
      </c>
      <c r="AZ5" s="306">
        <v>3.2822058752388924E-6</v>
      </c>
      <c r="BA5" s="306">
        <v>2.6368624017005881E-6</v>
      </c>
      <c r="BB5" s="306">
        <v>1.7651551393964732E-5</v>
      </c>
      <c r="BC5" s="306">
        <v>1.7604607093719548E-6</v>
      </c>
      <c r="BD5" s="306">
        <v>2.7879191215270023E-5</v>
      </c>
    </row>
    <row r="6" spans="1:56" ht="17" x14ac:dyDescent="0.15">
      <c r="A6" s="157"/>
      <c r="B6" s="6" t="s">
        <v>77</v>
      </c>
      <c r="C6" s="306">
        <v>0</v>
      </c>
      <c r="D6" s="306">
        <v>0</v>
      </c>
      <c r="E6" s="306">
        <v>0</v>
      </c>
      <c r="F6" s="306">
        <v>0</v>
      </c>
      <c r="G6" s="306">
        <v>0</v>
      </c>
      <c r="H6" s="306">
        <v>0</v>
      </c>
      <c r="I6" s="306">
        <v>0</v>
      </c>
      <c r="J6" s="306">
        <v>0</v>
      </c>
      <c r="K6" s="306">
        <v>0</v>
      </c>
      <c r="L6" s="306">
        <v>0</v>
      </c>
      <c r="M6" s="306">
        <v>0</v>
      </c>
      <c r="N6" s="306">
        <v>0</v>
      </c>
      <c r="O6" s="306">
        <v>0</v>
      </c>
      <c r="P6" s="306">
        <v>0</v>
      </c>
      <c r="Q6" s="306">
        <v>0</v>
      </c>
      <c r="R6" s="306">
        <v>0</v>
      </c>
      <c r="S6" s="306">
        <v>0</v>
      </c>
      <c r="T6" s="306">
        <v>0</v>
      </c>
      <c r="U6" s="306">
        <v>0</v>
      </c>
      <c r="V6" s="306">
        <v>0</v>
      </c>
      <c r="W6" s="306">
        <v>0</v>
      </c>
      <c r="X6" s="306">
        <v>0</v>
      </c>
      <c r="Y6" s="306">
        <v>0</v>
      </c>
      <c r="Z6" s="306">
        <v>0</v>
      </c>
      <c r="AA6" s="306">
        <v>0</v>
      </c>
      <c r="AB6" s="306">
        <v>0</v>
      </c>
      <c r="AC6" s="306">
        <v>0</v>
      </c>
      <c r="AD6" s="158">
        <f>'User Add-in Location'!E11</f>
        <v>0</v>
      </c>
      <c r="AE6" s="158">
        <f>'User Add-in Location'!F11</f>
        <v>0</v>
      </c>
      <c r="AF6" s="306">
        <v>0</v>
      </c>
      <c r="AG6" s="306">
        <v>0</v>
      </c>
      <c r="AH6" s="306">
        <v>0</v>
      </c>
      <c r="AI6" s="306">
        <v>0</v>
      </c>
      <c r="AJ6" s="306">
        <v>0</v>
      </c>
      <c r="AK6" s="306">
        <v>0</v>
      </c>
      <c r="AL6" s="306">
        <v>0</v>
      </c>
      <c r="AM6" s="306">
        <v>0</v>
      </c>
      <c r="AN6" s="306">
        <v>0</v>
      </c>
      <c r="AO6" s="306">
        <v>0</v>
      </c>
      <c r="AP6" s="306">
        <v>0</v>
      </c>
      <c r="AQ6" s="306">
        <v>0</v>
      </c>
      <c r="AR6" s="306">
        <v>0</v>
      </c>
      <c r="AS6" s="306">
        <v>0</v>
      </c>
      <c r="AT6" s="306">
        <v>0</v>
      </c>
      <c r="AU6" s="306">
        <v>0</v>
      </c>
      <c r="AV6" s="306">
        <v>0</v>
      </c>
      <c r="AW6" s="306">
        <v>0</v>
      </c>
      <c r="AX6" s="306">
        <v>0</v>
      </c>
      <c r="AY6" s="306">
        <v>0</v>
      </c>
      <c r="AZ6" s="306">
        <v>0</v>
      </c>
      <c r="BA6" s="306">
        <v>0</v>
      </c>
      <c r="BB6" s="306">
        <v>0</v>
      </c>
      <c r="BC6" s="306">
        <v>0</v>
      </c>
      <c r="BD6" s="306">
        <v>0</v>
      </c>
    </row>
    <row r="7" spans="1:56" ht="17" x14ac:dyDescent="0.2">
      <c r="A7" s="160" t="s">
        <v>419</v>
      </c>
      <c r="B7" s="6" t="s">
        <v>149</v>
      </c>
      <c r="C7" s="306">
        <v>4.3549188600281084E-2</v>
      </c>
      <c r="D7" s="306">
        <v>3.7638076314555416E-2</v>
      </c>
      <c r="E7" s="306">
        <v>2.6680811794270808E-2</v>
      </c>
      <c r="F7" s="306">
        <v>4.0204851359514557E-2</v>
      </c>
      <c r="G7" s="306">
        <v>8.0031585291581303E-2</v>
      </c>
      <c r="H7" s="306">
        <v>4.3033820025522022E-2</v>
      </c>
      <c r="I7" s="306">
        <v>2.7263567085567413E-2</v>
      </c>
      <c r="J7" s="306">
        <v>2.2616913624493331E-2</v>
      </c>
      <c r="K7" s="306">
        <v>1.9726315157632245E-3</v>
      </c>
      <c r="L7" s="306">
        <v>3.6838074428192674E-2</v>
      </c>
      <c r="M7" s="306">
        <v>4.1672810114572946E-2</v>
      </c>
      <c r="N7" s="306">
        <v>4.0662458568669707E-2</v>
      </c>
      <c r="O7" s="306">
        <v>3.4415104480813107E-2</v>
      </c>
      <c r="P7" s="306">
        <v>4.8758651028074557E-2</v>
      </c>
      <c r="Q7" s="306">
        <v>5.2723952521407082E-2</v>
      </c>
      <c r="R7" s="306">
        <v>3.6523868644295389E-2</v>
      </c>
      <c r="S7" s="306">
        <v>3.9308696645719503E-2</v>
      </c>
      <c r="T7" s="306">
        <v>3.8981974728971254E-2</v>
      </c>
      <c r="U7" s="306">
        <v>4.5851139995651255E-2</v>
      </c>
      <c r="V7" s="306">
        <v>2.7707137567970098E-2</v>
      </c>
      <c r="W7" s="306">
        <v>2.0061923727773698E-2</v>
      </c>
      <c r="X7" s="306">
        <v>3.5348121613254867E-2</v>
      </c>
      <c r="Y7" s="306">
        <v>5.686702529779683E-2</v>
      </c>
      <c r="Z7" s="306">
        <v>5.6058910767150201E-2</v>
      </c>
      <c r="AA7" s="306">
        <v>3.8025921152812281E-2</v>
      </c>
      <c r="AB7" s="306">
        <v>3.3134774613235267E-2</v>
      </c>
      <c r="AC7" s="306">
        <v>3.2494060241948959E-2</v>
      </c>
      <c r="AD7" s="158">
        <f>'User Add-in Location'!E12</f>
        <v>0</v>
      </c>
      <c r="AE7" s="158">
        <f>'User Add-in Location'!F12</f>
        <v>0</v>
      </c>
      <c r="AF7" s="306">
        <v>2.9410775683349346E-2</v>
      </c>
      <c r="AG7" s="306">
        <v>1.0771538068252574E-2</v>
      </c>
      <c r="AH7" s="306">
        <v>1.9179037992478221E-2</v>
      </c>
      <c r="AI7" s="306">
        <v>3.4840264321519814E-2</v>
      </c>
      <c r="AJ7" s="306">
        <v>2.7023830096035033E-2</v>
      </c>
      <c r="AK7" s="306">
        <v>3.1541040148395462E-2</v>
      </c>
      <c r="AL7" s="306">
        <v>5.1483900159230468E-2</v>
      </c>
      <c r="AM7" s="306">
        <v>2.8270754642427433E-2</v>
      </c>
      <c r="AN7" s="306">
        <v>5.7011051303448496E-2</v>
      </c>
      <c r="AO7" s="306">
        <v>3.8705037154153833E-2</v>
      </c>
      <c r="AP7" s="306">
        <v>3.8251033011470759E-2</v>
      </c>
      <c r="AQ7" s="306">
        <v>4.9445285053248952E-2</v>
      </c>
      <c r="AR7" s="306">
        <v>1.4352349790605535E-2</v>
      </c>
      <c r="AS7" s="306">
        <v>3.4918937990878404E-2</v>
      </c>
      <c r="AT7" s="306">
        <v>2.1256911914501419E-2</v>
      </c>
      <c r="AU7" s="306">
        <v>4.0385459366363917E-2</v>
      </c>
      <c r="AV7" s="306">
        <v>7.8462561434229611E-2</v>
      </c>
      <c r="AW7" s="306">
        <v>0.14219683876407418</v>
      </c>
      <c r="AX7" s="306">
        <v>5.1973918014772164E-2</v>
      </c>
      <c r="AY7" s="306">
        <v>2.3390696911082857E-2</v>
      </c>
      <c r="AZ7" s="306">
        <v>3.0288312176406221E-2</v>
      </c>
      <c r="BA7" s="306">
        <v>5.8379100028568866E-2</v>
      </c>
      <c r="BB7" s="306">
        <v>2.0758269291626365E-2</v>
      </c>
      <c r="BC7" s="306">
        <v>4.9464641082514409E-2</v>
      </c>
      <c r="BD7" s="306">
        <v>2.8372109086011881E-2</v>
      </c>
    </row>
    <row r="8" spans="1:56" ht="17" x14ac:dyDescent="0.2">
      <c r="A8" s="161"/>
      <c r="B8" s="6" t="s">
        <v>150</v>
      </c>
      <c r="C8" s="306">
        <v>1.8612813822562479E-6</v>
      </c>
      <c r="D8" s="306">
        <v>5.4798225119512439E-7</v>
      </c>
      <c r="E8" s="306">
        <v>1.5326823454098225E-6</v>
      </c>
      <c r="F8" s="306">
        <v>1.120239274977676E-6</v>
      </c>
      <c r="G8" s="306">
        <v>3.0413391521616958E-6</v>
      </c>
      <c r="H8" s="306">
        <v>1.8511521017709522E-6</v>
      </c>
      <c r="I8" s="306">
        <v>1.0686066388241698E-6</v>
      </c>
      <c r="J8" s="306">
        <v>2.5940310572665966E-7</v>
      </c>
      <c r="K8" s="306">
        <v>4.0059829194136123E-10</v>
      </c>
      <c r="L8" s="306">
        <v>1.7169990869832072E-6</v>
      </c>
      <c r="M8" s="306">
        <v>1.2736339081004451E-6</v>
      </c>
      <c r="N8" s="306">
        <v>3.7077666379409461E-7</v>
      </c>
      <c r="O8" s="306">
        <v>8.9706821487456803E-7</v>
      </c>
      <c r="P8" s="306">
        <v>1.6675692453555817E-6</v>
      </c>
      <c r="Q8" s="306">
        <v>1.7619877286724685E-6</v>
      </c>
      <c r="R8" s="306">
        <v>1.0184399721840018E-6</v>
      </c>
      <c r="S8" s="306">
        <v>1.1022802494793246E-6</v>
      </c>
      <c r="T8" s="306">
        <v>8.4812530512023556E-7</v>
      </c>
      <c r="U8" s="306">
        <v>1.7719989980955736E-6</v>
      </c>
      <c r="V8" s="306">
        <v>6.1561915286895193E-7</v>
      </c>
      <c r="W8" s="306">
        <v>4.3485012181399E-7</v>
      </c>
      <c r="X8" s="306">
        <v>1.2378168281174257E-6</v>
      </c>
      <c r="Y8" s="306">
        <v>2.1603665813389499E-6</v>
      </c>
      <c r="Z8" s="306">
        <v>2.4564548957409413E-6</v>
      </c>
      <c r="AA8" s="306">
        <v>7.0290702718534992E-7</v>
      </c>
      <c r="AB8" s="306">
        <v>8.4817166653848162E-7</v>
      </c>
      <c r="AC8" s="306">
        <v>5.7999223364916038E-7</v>
      </c>
      <c r="AD8" s="158">
        <f>'User Add-in Location'!E13</f>
        <v>0</v>
      </c>
      <c r="AE8" s="158">
        <f>'User Add-in Location'!F13</f>
        <v>0</v>
      </c>
      <c r="AF8" s="306">
        <v>1.0863635352485888E-6</v>
      </c>
      <c r="AG8" s="306">
        <v>4.3518540063853744E-7</v>
      </c>
      <c r="AH8" s="306">
        <v>1.1166122860023634E-6</v>
      </c>
      <c r="AI8" s="306">
        <v>9.1627895511334181E-7</v>
      </c>
      <c r="AJ8" s="306">
        <v>4.9556822693818513E-7</v>
      </c>
      <c r="AK8" s="306">
        <v>1.2052732959463384E-6</v>
      </c>
      <c r="AL8" s="306">
        <v>1.8579860192970782E-6</v>
      </c>
      <c r="AM8" s="306">
        <v>3.819541080808129E-7</v>
      </c>
      <c r="AN8" s="306">
        <v>1.9136253802930234E-6</v>
      </c>
      <c r="AO8" s="306">
        <v>2.0482681665330369E-6</v>
      </c>
      <c r="AP8" s="306">
        <v>2.145977045349595E-6</v>
      </c>
      <c r="AQ8" s="306">
        <v>2.1572418574773822E-6</v>
      </c>
      <c r="AR8" s="306">
        <v>2.3591309532282991E-7</v>
      </c>
      <c r="AS8" s="306">
        <v>1.9451721509829822E-6</v>
      </c>
      <c r="AT8" s="306">
        <v>4.8627051273289873E-7</v>
      </c>
      <c r="AU8" s="306">
        <v>1.2577281953450428E-6</v>
      </c>
      <c r="AV8" s="306">
        <v>3.7731809811415037E-6</v>
      </c>
      <c r="AW8" s="306">
        <v>5.4894648899781974E-6</v>
      </c>
      <c r="AX8" s="306">
        <v>3.0887527855084812E-6</v>
      </c>
      <c r="AY8" s="306">
        <v>2.817653702188703E-7</v>
      </c>
      <c r="AZ8" s="306">
        <v>1.5679025628611886E-6</v>
      </c>
      <c r="BA8" s="306">
        <v>2.4087527786361367E-6</v>
      </c>
      <c r="BB8" s="306">
        <v>2.8607767350623396E-7</v>
      </c>
      <c r="BC8" s="306">
        <v>2.0716572259070348E-6</v>
      </c>
      <c r="BD8" s="306">
        <v>1.0865804558327287E-7</v>
      </c>
    </row>
    <row r="9" spans="1:56" ht="17" x14ac:dyDescent="0.2">
      <c r="A9" s="160" t="s">
        <v>420</v>
      </c>
      <c r="B9" s="6" t="s">
        <v>151</v>
      </c>
      <c r="C9" s="306">
        <v>1.2809591444920822E-5</v>
      </c>
      <c r="D9" s="306">
        <v>3.8276613140077873E-8</v>
      </c>
      <c r="E9" s="306">
        <v>5.2481176029454894E-6</v>
      </c>
      <c r="F9" s="306">
        <v>1.5378115906797175E-5</v>
      </c>
      <c r="G9" s="306">
        <v>1.387375796915442E-5</v>
      </c>
      <c r="H9" s="306">
        <v>9.4556540375222356E-6</v>
      </c>
      <c r="I9" s="306">
        <v>1.8213305814571749E-6</v>
      </c>
      <c r="J9" s="306">
        <v>8.0537662404599721E-8</v>
      </c>
      <c r="K9" s="306">
        <v>1.8993918551514751E-8</v>
      </c>
      <c r="L9" s="306">
        <v>4.0982469739508674E-6</v>
      </c>
      <c r="M9" s="306">
        <v>1.1083535875390747E-5</v>
      </c>
      <c r="N9" s="306">
        <v>1.9168260649459364E-6</v>
      </c>
      <c r="O9" s="306">
        <v>1.7572571817155204E-5</v>
      </c>
      <c r="P9" s="306">
        <v>1.592543823652593E-5</v>
      </c>
      <c r="Q9" s="306">
        <v>2.2885793578310126E-5</v>
      </c>
      <c r="R9" s="306">
        <v>2.1540673962603293E-5</v>
      </c>
      <c r="S9" s="306">
        <v>1.6493306030921859E-5</v>
      </c>
      <c r="T9" s="306">
        <v>1.0230962776075034E-5</v>
      </c>
      <c r="U9" s="306">
        <v>9.0379938800819262E-6</v>
      </c>
      <c r="V9" s="306">
        <v>1.7275153943091367E-6</v>
      </c>
      <c r="W9" s="306">
        <v>1.09794932387894E-6</v>
      </c>
      <c r="X9" s="306">
        <v>1.3688503156171425E-6</v>
      </c>
      <c r="Y9" s="306">
        <v>1.2110609915523017E-5</v>
      </c>
      <c r="Z9" s="306">
        <v>1.7286763157276113E-5</v>
      </c>
      <c r="AA9" s="306">
        <v>1.1003339694684046E-5</v>
      </c>
      <c r="AB9" s="306">
        <v>7.3972946159864435E-6</v>
      </c>
      <c r="AC9" s="306">
        <v>4.7653131440321408E-6</v>
      </c>
      <c r="AD9" s="158">
        <f>'User Add-in Location'!E14</f>
        <v>0</v>
      </c>
      <c r="AE9" s="158">
        <f>'User Add-in Location'!F14</f>
        <v>0</v>
      </c>
      <c r="AF9" s="306">
        <v>2.0998893672257416E-5</v>
      </c>
      <c r="AG9" s="306">
        <v>4.3765996187420664E-7</v>
      </c>
      <c r="AH9" s="306">
        <v>1.0613606441346087E-6</v>
      </c>
      <c r="AI9" s="306">
        <v>1.7568114824879475E-6</v>
      </c>
      <c r="AJ9" s="306">
        <v>3.1359339308224762E-6</v>
      </c>
      <c r="AK9" s="306">
        <v>7.4867972698683996E-6</v>
      </c>
      <c r="AL9" s="306">
        <v>1.0173343654409129E-5</v>
      </c>
      <c r="AM9" s="306">
        <v>3.0533559320915925E-5</v>
      </c>
      <c r="AN9" s="306">
        <v>1.3172152227277293E-5</v>
      </c>
      <c r="AO9" s="306">
        <v>6.9226306972276235E-6</v>
      </c>
      <c r="AP9" s="306">
        <v>1.6002504271864107E-5</v>
      </c>
      <c r="AQ9" s="306">
        <v>9.2086465354193899E-6</v>
      </c>
      <c r="AR9" s="306">
        <v>3.5792796783808072E-7</v>
      </c>
      <c r="AS9" s="306">
        <v>5.4240481856938664E-6</v>
      </c>
      <c r="AT9" s="306">
        <v>2.6671093833218914E-5</v>
      </c>
      <c r="AU9" s="306">
        <v>6.8047563099524219E-6</v>
      </c>
      <c r="AV9" s="306">
        <v>1.273584834640571E-5</v>
      </c>
      <c r="AW9" s="306">
        <v>5.155820036710798E-5</v>
      </c>
      <c r="AX9" s="306">
        <v>2.6416982456789303E-6</v>
      </c>
      <c r="AY9" s="306">
        <v>8.8146507376431487E-7</v>
      </c>
      <c r="AZ9" s="306">
        <v>3.804399221808681E-6</v>
      </c>
      <c r="BA9" s="306">
        <v>8.0177797188542573E-6</v>
      </c>
      <c r="BB9" s="306">
        <v>3.6735895286401848E-7</v>
      </c>
      <c r="BC9" s="306">
        <v>2.0452405883529874E-5</v>
      </c>
      <c r="BD9" s="306">
        <v>5.2057029926858492E-7</v>
      </c>
    </row>
    <row r="10" spans="1:56" ht="17" x14ac:dyDescent="0.2">
      <c r="A10" s="160"/>
      <c r="B10" s="6" t="s">
        <v>152</v>
      </c>
      <c r="C10" s="306">
        <v>4.810804917781643E-7</v>
      </c>
      <c r="D10" s="306">
        <v>3.7378558196650079E-10</v>
      </c>
      <c r="E10" s="306">
        <v>1.5920689401224187E-5</v>
      </c>
      <c r="F10" s="306">
        <v>6.6521966965629721E-7</v>
      </c>
      <c r="G10" s="306">
        <v>3.027971853363567E-5</v>
      </c>
      <c r="H10" s="306">
        <v>6.3554464515252885E-6</v>
      </c>
      <c r="I10" s="306">
        <v>1.5579439195350418E-6</v>
      </c>
      <c r="J10" s="306">
        <v>4.7656765956454175E-8</v>
      </c>
      <c r="K10" s="306">
        <v>1.0473484823324019E-7</v>
      </c>
      <c r="L10" s="306">
        <v>9.310894227618298E-6</v>
      </c>
      <c r="M10" s="306">
        <v>9.676660297283617E-7</v>
      </c>
      <c r="N10" s="306">
        <v>3.0674895355577742E-7</v>
      </c>
      <c r="O10" s="306">
        <v>1.1730471055158146E-5</v>
      </c>
      <c r="P10" s="306">
        <v>1.9605215816758475E-6</v>
      </c>
      <c r="Q10" s="306">
        <v>6.4799732253259908E-7</v>
      </c>
      <c r="R10" s="306">
        <v>3.3721504039386641E-7</v>
      </c>
      <c r="S10" s="306">
        <v>3.1976055426303041E-7</v>
      </c>
      <c r="T10" s="306">
        <v>2.2471874474197295E-7</v>
      </c>
      <c r="U10" s="306">
        <v>4.428809871242456E-8</v>
      </c>
      <c r="V10" s="306">
        <v>2.0747571189593903E-6</v>
      </c>
      <c r="W10" s="306">
        <v>7.9974505355641827E-7</v>
      </c>
      <c r="X10" s="306">
        <v>1.6683695296805316E-5</v>
      </c>
      <c r="Y10" s="306">
        <v>1.6816927537374394E-6</v>
      </c>
      <c r="Z10" s="306">
        <v>7.983681197933591E-6</v>
      </c>
      <c r="AA10" s="306">
        <v>3.2012616336623275E-7</v>
      </c>
      <c r="AB10" s="306">
        <v>2.8648004056749537E-6</v>
      </c>
      <c r="AC10" s="306">
        <v>7.0092970797342621E-8</v>
      </c>
      <c r="AD10" s="158">
        <f>'User Add-in Location'!E15</f>
        <v>0</v>
      </c>
      <c r="AE10" s="158">
        <f>'User Add-in Location'!F15</f>
        <v>0</v>
      </c>
      <c r="AF10" s="306">
        <v>4.215092501017358E-7</v>
      </c>
      <c r="AG10" s="306">
        <v>1.3742016769354107E-7</v>
      </c>
      <c r="AH10" s="306">
        <v>5.4985930885954384E-6</v>
      </c>
      <c r="AI10" s="306">
        <v>2.8699504789406891E-6</v>
      </c>
      <c r="AJ10" s="306">
        <v>1.2270844143447325E-5</v>
      </c>
      <c r="AK10" s="306">
        <v>6.6284260126255489E-6</v>
      </c>
      <c r="AL10" s="306">
        <v>7.7535256628973862E-6</v>
      </c>
      <c r="AM10" s="306">
        <v>3.84612915007882E-7</v>
      </c>
      <c r="AN10" s="306">
        <v>1.8189009160127203E-6</v>
      </c>
      <c r="AO10" s="306">
        <v>3.0532317837334981E-7</v>
      </c>
      <c r="AP10" s="306">
        <v>2.1335867141589482E-5</v>
      </c>
      <c r="AQ10" s="306">
        <v>2.9029778676093858E-6</v>
      </c>
      <c r="AR10" s="306">
        <v>6.1947475421875765E-7</v>
      </c>
      <c r="AS10" s="306">
        <v>5.3924986241783256E-7</v>
      </c>
      <c r="AT10" s="306">
        <v>5.4974131829102047E-7</v>
      </c>
      <c r="AU10" s="306">
        <v>2.5295654071530837E-7</v>
      </c>
      <c r="AV10" s="306">
        <v>1.8821979480176618E-5</v>
      </c>
      <c r="AW10" s="306">
        <v>2.5242429589744047E-5</v>
      </c>
      <c r="AX10" s="306">
        <v>4.1662527424194314E-6</v>
      </c>
      <c r="AY10" s="306">
        <v>9.3876441243573387E-6</v>
      </c>
      <c r="AZ10" s="306">
        <v>3.3802965931672719E-6</v>
      </c>
      <c r="BA10" s="306">
        <v>3.8193081934245867E-6</v>
      </c>
      <c r="BB10" s="306">
        <v>1.7291786008467327E-8</v>
      </c>
      <c r="BC10" s="306">
        <v>1.4798815761055747E-6</v>
      </c>
      <c r="BD10" s="306">
        <v>1.752812237936661E-10</v>
      </c>
    </row>
    <row r="11" spans="1:56" ht="17" x14ac:dyDescent="0.2">
      <c r="A11" s="160" t="s">
        <v>421</v>
      </c>
      <c r="B11" s="6" t="s">
        <v>153</v>
      </c>
      <c r="C11" s="306">
        <v>5.2407688439098946E-2</v>
      </c>
      <c r="D11" s="306">
        <v>5.3451413535227109E-2</v>
      </c>
      <c r="E11" s="306">
        <v>4.7254512232231094E-2</v>
      </c>
      <c r="F11" s="306">
        <v>5.2285770215816388E-2</v>
      </c>
      <c r="G11" s="306">
        <v>3.1896495778103655E-2</v>
      </c>
      <c r="H11" s="306">
        <v>4.2829140868816735E-2</v>
      </c>
      <c r="I11" s="306">
        <v>3.8424274749629242E-2</v>
      </c>
      <c r="J11" s="306">
        <v>3.7869972993574558E-2</v>
      </c>
      <c r="K11" s="306">
        <v>2.7333892741479265E-2</v>
      </c>
      <c r="L11" s="306">
        <v>4.3619280155501421E-2</v>
      </c>
      <c r="M11" s="306">
        <v>4.3589655149777043E-2</v>
      </c>
      <c r="N11" s="306">
        <v>3.7922057012262228E-2</v>
      </c>
      <c r="O11" s="306">
        <v>4.6859756867778074E-2</v>
      </c>
      <c r="P11" s="306">
        <v>4.4832593454952815E-2</v>
      </c>
      <c r="Q11" s="306">
        <v>4.5021712463306329E-2</v>
      </c>
      <c r="R11" s="306">
        <v>4.985944753108499E-2</v>
      </c>
      <c r="S11" s="306">
        <v>4.264702087668986E-2</v>
      </c>
      <c r="T11" s="306">
        <v>4.650822254202764E-2</v>
      </c>
      <c r="U11" s="306">
        <v>4.6728523623651735E-2</v>
      </c>
      <c r="V11" s="306">
        <v>4.4850402987198577E-2</v>
      </c>
      <c r="W11" s="306">
        <v>4.0747849921983756E-2</v>
      </c>
      <c r="X11" s="306">
        <v>3.4963549688465816E-2</v>
      </c>
      <c r="Y11" s="306">
        <v>4.2723247083602589E-2</v>
      </c>
      <c r="Z11" s="306">
        <v>5.0384604160235276E-2</v>
      </c>
      <c r="AA11" s="306">
        <v>5.5696959853315214E-2</v>
      </c>
      <c r="AB11" s="306">
        <v>4.7009789057656674E-2</v>
      </c>
      <c r="AC11" s="306">
        <v>5.4624644726046855E-2</v>
      </c>
      <c r="AD11" s="158">
        <f>'User Add-in Location'!E16</f>
        <v>0</v>
      </c>
      <c r="AE11" s="158">
        <f>'User Add-in Location'!F16</f>
        <v>0</v>
      </c>
      <c r="AF11" s="306">
        <v>5.0486822004545476E-2</v>
      </c>
      <c r="AG11" s="306">
        <v>4.7245859318125465E-2</v>
      </c>
      <c r="AH11" s="306">
        <v>3.3618618105386244E-2</v>
      </c>
      <c r="AI11" s="306">
        <v>4.3075855145207141E-2</v>
      </c>
      <c r="AJ11" s="306">
        <v>4.5928915932016166E-2</v>
      </c>
      <c r="AK11" s="306">
        <v>4.0061181839186076E-2</v>
      </c>
      <c r="AL11" s="306">
        <v>4.0473621603204127E-2</v>
      </c>
      <c r="AM11" s="306">
        <v>5.7874382588984696E-2</v>
      </c>
      <c r="AN11" s="306">
        <v>4.333847326111074E-2</v>
      </c>
      <c r="AO11" s="306">
        <v>5.6513854686724499E-2</v>
      </c>
      <c r="AP11" s="306">
        <v>4.7046753706015222E-2</v>
      </c>
      <c r="AQ11" s="306">
        <v>4.6230128803015136E-2</v>
      </c>
      <c r="AR11" s="306">
        <v>3.4938792041198902E-2</v>
      </c>
      <c r="AS11" s="306">
        <v>4.0851132032280184E-2</v>
      </c>
      <c r="AT11" s="306">
        <v>4.9931398872692823E-2</v>
      </c>
      <c r="AU11" s="306">
        <v>4.2759270955927721E-2</v>
      </c>
      <c r="AV11" s="306">
        <v>4.9508984192736714E-2</v>
      </c>
      <c r="AW11" s="306">
        <v>4.3572095833687784E-2</v>
      </c>
      <c r="AX11" s="306">
        <v>4.1669200720233515E-2</v>
      </c>
      <c r="AY11" s="306">
        <v>4.2062326767785485E-2</v>
      </c>
      <c r="AZ11" s="306">
        <v>4.4532004150320388E-2</v>
      </c>
      <c r="BA11" s="306">
        <v>4.1333774207535062E-2</v>
      </c>
      <c r="BB11" s="306">
        <v>5.2127600667873378E-2</v>
      </c>
      <c r="BC11" s="306">
        <v>4.4047942858612701E-2</v>
      </c>
      <c r="BD11" s="306">
        <v>5.9663289158507063E-2</v>
      </c>
    </row>
    <row r="12" spans="1:56" ht="17" x14ac:dyDescent="0.15">
      <c r="A12" s="157"/>
      <c r="B12" s="6" t="s">
        <v>78</v>
      </c>
      <c r="C12" s="306">
        <v>4.6574902355819188E-2</v>
      </c>
      <c r="D12" s="306">
        <v>3.4524975809005931E-2</v>
      </c>
      <c r="E12" s="306">
        <v>5.3355729717496476E-2</v>
      </c>
      <c r="F12" s="306">
        <v>5.2184806237302754E-2</v>
      </c>
      <c r="G12" s="306">
        <v>4.9989893204412494E-2</v>
      </c>
      <c r="H12" s="306">
        <v>5.3485788307939035E-2</v>
      </c>
      <c r="I12" s="306">
        <v>5.5033611324483762E-2</v>
      </c>
      <c r="J12" s="306">
        <v>4.249174750903912E-2</v>
      </c>
      <c r="K12" s="306">
        <v>2.5031806316262752E-2</v>
      </c>
      <c r="L12" s="306">
        <v>5.3805269070205546E-2</v>
      </c>
      <c r="M12" s="306">
        <v>5.3029919557028814E-2</v>
      </c>
      <c r="N12" s="306">
        <v>4.3430025551909113E-2</v>
      </c>
      <c r="O12" s="306">
        <v>5.0822393061482417E-2</v>
      </c>
      <c r="P12" s="306">
        <v>5.2358305138767582E-2</v>
      </c>
      <c r="Q12" s="306">
        <v>4.476903274822773E-2</v>
      </c>
      <c r="R12" s="306">
        <v>4.4773947114730879E-2</v>
      </c>
      <c r="S12" s="306">
        <v>4.3308057846430895E-2</v>
      </c>
      <c r="T12" s="306">
        <v>5.0324104316237336E-2</v>
      </c>
      <c r="U12" s="306">
        <v>4.2937095626571047E-2</v>
      </c>
      <c r="V12" s="306">
        <v>4.8805390659189526E-2</v>
      </c>
      <c r="W12" s="306">
        <v>5.040092312200118E-2</v>
      </c>
      <c r="X12" s="306">
        <v>5.4798310852619048E-2</v>
      </c>
      <c r="Y12" s="306">
        <v>5.0681663216603702E-2</v>
      </c>
      <c r="Z12" s="306">
        <v>5.503930974525905E-2</v>
      </c>
      <c r="AA12" s="306">
        <v>4.1658928166044266E-2</v>
      </c>
      <c r="AB12" s="306">
        <v>5.1238612268383353E-2</v>
      </c>
      <c r="AC12" s="306">
        <v>5.0589662022970584E-2</v>
      </c>
      <c r="AD12" s="158">
        <f>'User Add-in Location'!E17</f>
        <v>0</v>
      </c>
      <c r="AE12" s="158">
        <f>'User Add-in Location'!F17</f>
        <v>0</v>
      </c>
      <c r="AF12" s="306">
        <v>4.9282094231381322E-2</v>
      </c>
      <c r="AG12" s="306">
        <v>5.0076200834498208E-2</v>
      </c>
      <c r="AH12" s="306">
        <v>6.010431221019414E-2</v>
      </c>
      <c r="AI12" s="306">
        <v>5.5638790011391527E-2</v>
      </c>
      <c r="AJ12" s="306">
        <v>4.3933755624442752E-2</v>
      </c>
      <c r="AK12" s="306">
        <v>5.1816955291983095E-2</v>
      </c>
      <c r="AL12" s="306">
        <v>5.2032618421014844E-2</v>
      </c>
      <c r="AM12" s="306">
        <v>6.5891070181016531E-2</v>
      </c>
      <c r="AN12" s="306">
        <v>4.9506329997146041E-2</v>
      </c>
      <c r="AO12" s="306">
        <v>5.2170326948465684E-2</v>
      </c>
      <c r="AP12" s="306">
        <v>5.0769007183943823E-2</v>
      </c>
      <c r="AQ12" s="306">
        <v>5.1505104891223355E-2</v>
      </c>
      <c r="AR12" s="306">
        <v>5.6539967330584535E-2</v>
      </c>
      <c r="AS12" s="306">
        <v>4.8521541912428232E-2</v>
      </c>
      <c r="AT12" s="306">
        <v>5.7315396135649406E-2</v>
      </c>
      <c r="AU12" s="306">
        <v>5.2299082601850913E-2</v>
      </c>
      <c r="AV12" s="306">
        <v>5.1286314061497737E-2</v>
      </c>
      <c r="AW12" s="306">
        <v>4.42479100372139E-2</v>
      </c>
      <c r="AX12" s="306">
        <v>4.6924403654696245E-2</v>
      </c>
      <c r="AY12" s="306">
        <v>4.701097236388968E-2</v>
      </c>
      <c r="AZ12" s="306">
        <v>4.6809922777151812E-2</v>
      </c>
      <c r="BA12" s="306">
        <v>4.9828843696550419E-2</v>
      </c>
      <c r="BB12" s="306">
        <v>4.777132635791996E-2</v>
      </c>
      <c r="BC12" s="306">
        <v>5.0541397221847709E-2</v>
      </c>
      <c r="BD12" s="306">
        <v>4.6283262415228961E-2</v>
      </c>
    </row>
    <row r="13" spans="1:56" ht="17" x14ac:dyDescent="0.15">
      <c r="A13" s="157"/>
      <c r="B13" s="6" t="s">
        <v>79</v>
      </c>
      <c r="C13" s="306">
        <v>0.1648721938007332</v>
      </c>
      <c r="D13" s="306">
        <v>0.15955478206438725</v>
      </c>
      <c r="E13" s="306">
        <v>0.15498130770732199</v>
      </c>
      <c r="F13" s="306">
        <v>0.15983397113958522</v>
      </c>
      <c r="G13" s="306">
        <v>0.13811679936739268</v>
      </c>
      <c r="H13" s="306">
        <v>0.13681284679760974</v>
      </c>
      <c r="I13" s="306">
        <v>0.14831120668756811</v>
      </c>
      <c r="J13" s="306">
        <v>0.15153560243682287</v>
      </c>
      <c r="K13" s="306">
        <v>0.11372701786643913</v>
      </c>
      <c r="L13" s="306">
        <v>0.14734286328663912</v>
      </c>
      <c r="M13" s="306">
        <v>0.14712843220918426</v>
      </c>
      <c r="N13" s="306">
        <v>0.16114765645844065</v>
      </c>
      <c r="O13" s="306">
        <v>0.17116341976004248</v>
      </c>
      <c r="P13" s="306">
        <v>0.13570796407332844</v>
      </c>
      <c r="Q13" s="306">
        <v>0.16388954763653235</v>
      </c>
      <c r="R13" s="306">
        <v>0.16198416702354687</v>
      </c>
      <c r="S13" s="306">
        <v>0.16363488209910121</v>
      </c>
      <c r="T13" s="306">
        <v>0.16287196159959863</v>
      </c>
      <c r="U13" s="306">
        <v>0.1673954783311164</v>
      </c>
      <c r="V13" s="306">
        <v>0.16268624226631739</v>
      </c>
      <c r="W13" s="306">
        <v>0.14019388261005714</v>
      </c>
      <c r="X13" s="306">
        <v>0.1257354543445561</v>
      </c>
      <c r="Y13" s="306">
        <v>0.15184301126725899</v>
      </c>
      <c r="Z13" s="306">
        <v>0.14495332982615619</v>
      </c>
      <c r="AA13" s="306">
        <v>0.17286723631708226</v>
      </c>
      <c r="AB13" s="306">
        <v>0.15323737904493476</v>
      </c>
      <c r="AC13" s="306">
        <v>0.16518120816753329</v>
      </c>
      <c r="AD13" s="158">
        <f>'User Add-in Location'!E18</f>
        <v>0</v>
      </c>
      <c r="AE13" s="158">
        <f>'User Add-in Location'!F18</f>
        <v>0</v>
      </c>
      <c r="AF13" s="306">
        <v>0.16052520454848074</v>
      </c>
      <c r="AG13" s="306">
        <v>0.17056274317905401</v>
      </c>
      <c r="AH13" s="306">
        <v>0.15850087555564366</v>
      </c>
      <c r="AI13" s="306">
        <v>0.1420180318185362</v>
      </c>
      <c r="AJ13" s="306">
        <v>0.16981184623106371</v>
      </c>
      <c r="AK13" s="306">
        <v>0.1349970609848864</v>
      </c>
      <c r="AL13" s="306">
        <v>0.1455483030248847</v>
      </c>
      <c r="AM13" s="306">
        <v>0.17165790519682902</v>
      </c>
      <c r="AN13" s="306">
        <v>0.15052133524330319</v>
      </c>
      <c r="AO13" s="306">
        <v>0.15792293898805446</v>
      </c>
      <c r="AP13" s="306">
        <v>0.14285766628563257</v>
      </c>
      <c r="AQ13" s="306">
        <v>0.13875315992980669</v>
      </c>
      <c r="AR13" s="306">
        <v>0.13904217889090625</v>
      </c>
      <c r="AS13" s="306">
        <v>0.16550633446597091</v>
      </c>
      <c r="AT13" s="306">
        <v>0.17289290220060816</v>
      </c>
      <c r="AU13" s="306">
        <v>0.16041663670110612</v>
      </c>
      <c r="AV13" s="306">
        <v>0.14637057682010549</v>
      </c>
      <c r="AW13" s="306">
        <v>0.12493363847219935</v>
      </c>
      <c r="AX13" s="306">
        <v>0.14977097583013246</v>
      </c>
      <c r="AY13" s="306">
        <v>0.16027976563530377</v>
      </c>
      <c r="AZ13" s="306">
        <v>0.1470628919078826</v>
      </c>
      <c r="BA13" s="306">
        <v>0.1469177865433344</v>
      </c>
      <c r="BB13" s="306">
        <v>0.17624267218759415</v>
      </c>
      <c r="BC13" s="306">
        <v>0.15030240789808202</v>
      </c>
      <c r="BD13" s="306">
        <v>0.17556978914055663</v>
      </c>
    </row>
    <row r="14" spans="1:56" ht="17" x14ac:dyDescent="0.15">
      <c r="A14" s="157"/>
      <c r="B14" s="6" t="s">
        <v>154</v>
      </c>
      <c r="C14" s="306">
        <v>0.16900919211802393</v>
      </c>
      <c r="D14" s="306">
        <v>0.15362968308727526</v>
      </c>
      <c r="E14" s="306">
        <v>0.1811678815277348</v>
      </c>
      <c r="F14" s="306">
        <v>0.15207980122800557</v>
      </c>
      <c r="G14" s="306">
        <v>0.16309765594731807</v>
      </c>
      <c r="H14" s="306">
        <v>0.17668427934924502</v>
      </c>
      <c r="I14" s="306">
        <v>0.17797076937872569</v>
      </c>
      <c r="J14" s="306">
        <v>0.21714576781992959</v>
      </c>
      <c r="K14" s="306">
        <v>0.22535912921330481</v>
      </c>
      <c r="L14" s="306">
        <v>0.17435150152544296</v>
      </c>
      <c r="M14" s="306">
        <v>0.17403805378050075</v>
      </c>
      <c r="N14" s="306">
        <v>0.17520076074306681</v>
      </c>
      <c r="O14" s="306">
        <v>0.17465109192681169</v>
      </c>
      <c r="P14" s="306">
        <v>0.18481874498459452</v>
      </c>
      <c r="Q14" s="306">
        <v>0.16445748827748768</v>
      </c>
      <c r="R14" s="306">
        <v>0.18726556098754238</v>
      </c>
      <c r="S14" s="306">
        <v>0.16870000657812134</v>
      </c>
      <c r="T14" s="306">
        <v>0.16502658479819252</v>
      </c>
      <c r="U14" s="306">
        <v>0.15439084926700891</v>
      </c>
      <c r="V14" s="306">
        <v>0.1710789362964707</v>
      </c>
      <c r="W14" s="306">
        <v>0.18185206502057216</v>
      </c>
      <c r="X14" s="306">
        <v>0.19008098256840256</v>
      </c>
      <c r="Y14" s="306">
        <v>0.16455724722358706</v>
      </c>
      <c r="Z14" s="306">
        <v>0.16365253679313355</v>
      </c>
      <c r="AA14" s="306">
        <v>0.15110159977710969</v>
      </c>
      <c r="AB14" s="306">
        <v>0.16389248631680647</v>
      </c>
      <c r="AC14" s="306">
        <v>0.17117895639013242</v>
      </c>
      <c r="AD14" s="158">
        <f>'User Add-in Location'!E19</f>
        <v>0</v>
      </c>
      <c r="AE14" s="158">
        <f>'User Add-in Location'!F19</f>
        <v>0</v>
      </c>
      <c r="AF14" s="306">
        <v>0.17704434631533428</v>
      </c>
      <c r="AG14" s="306">
        <v>0.18871052518119932</v>
      </c>
      <c r="AH14" s="306">
        <v>0.18914113332285351</v>
      </c>
      <c r="AI14" s="306">
        <v>0.18047982904248594</v>
      </c>
      <c r="AJ14" s="306">
        <v>0.16277742552575813</v>
      </c>
      <c r="AK14" s="306">
        <v>0.18867280831143257</v>
      </c>
      <c r="AL14" s="306">
        <v>0.16960339890479856</v>
      </c>
      <c r="AM14" s="306">
        <v>0.17618587421631554</v>
      </c>
      <c r="AN14" s="306">
        <v>0.17291550129664998</v>
      </c>
      <c r="AO14" s="306">
        <v>0.15066842507728456</v>
      </c>
      <c r="AP14" s="306">
        <v>0.16387349321813421</v>
      </c>
      <c r="AQ14" s="306">
        <v>0.16961977826210256</v>
      </c>
      <c r="AR14" s="306">
        <v>0.20611850563910794</v>
      </c>
      <c r="AS14" s="306">
        <v>0.1651155699954881</v>
      </c>
      <c r="AT14" s="306">
        <v>0.1910199191154156</v>
      </c>
      <c r="AU14" s="306">
        <v>0.15934589457735204</v>
      </c>
      <c r="AV14" s="306">
        <v>0.16755492040032052</v>
      </c>
      <c r="AW14" s="306">
        <v>0.15340783848569567</v>
      </c>
      <c r="AX14" s="306">
        <v>0.18287330473656613</v>
      </c>
      <c r="AY14" s="306">
        <v>0.17421530123573142</v>
      </c>
      <c r="AZ14" s="306">
        <v>0.17924071408782516</v>
      </c>
      <c r="BA14" s="306">
        <v>0.15904351296763927</v>
      </c>
      <c r="BB14" s="306">
        <v>0.1508714213347784</v>
      </c>
      <c r="BC14" s="306">
        <v>0.17511534086703548</v>
      </c>
      <c r="BD14" s="306">
        <v>0.18848083570745808</v>
      </c>
    </row>
    <row r="15" spans="1:56" ht="17" x14ac:dyDescent="0.15">
      <c r="A15" s="157"/>
      <c r="B15" s="6" t="s">
        <v>155</v>
      </c>
      <c r="C15" s="306">
        <v>0.49630206710789926</v>
      </c>
      <c r="D15" s="306">
        <v>0.53551803078096427</v>
      </c>
      <c r="E15" s="306">
        <v>0.51260697156032986</v>
      </c>
      <c r="F15" s="306">
        <v>0.51547004806527219</v>
      </c>
      <c r="G15" s="306">
        <v>0.51331967801552225</v>
      </c>
      <c r="H15" s="306">
        <v>0.52087969269565426</v>
      </c>
      <c r="I15" s="306">
        <v>0.53075135004069018</v>
      </c>
      <c r="J15" s="306">
        <v>0.50188292089781439</v>
      </c>
      <c r="K15" s="306">
        <v>0.58240800864735254</v>
      </c>
      <c r="L15" s="306">
        <v>0.52101353566840625</v>
      </c>
      <c r="M15" s="306">
        <v>0.5174317914024904</v>
      </c>
      <c r="N15" s="306">
        <v>0.5192601332522504</v>
      </c>
      <c r="O15" s="306">
        <v>0.49152828681870153</v>
      </c>
      <c r="P15" s="306">
        <v>0.51058188909629054</v>
      </c>
      <c r="Q15" s="306">
        <v>0.5053041151086437</v>
      </c>
      <c r="R15" s="306">
        <v>0.49140419490345716</v>
      </c>
      <c r="S15" s="306">
        <v>0.5141646602465143</v>
      </c>
      <c r="T15" s="306">
        <v>0.51240811226474658</v>
      </c>
      <c r="U15" s="306">
        <v>0.51906018321876612</v>
      </c>
      <c r="V15" s="306">
        <v>0.52025829024263415</v>
      </c>
      <c r="W15" s="306">
        <v>0.54367964459803797</v>
      </c>
      <c r="X15" s="306">
        <v>0.53689263216186511</v>
      </c>
      <c r="Y15" s="306">
        <v>0.50980281240900494</v>
      </c>
      <c r="Z15" s="306">
        <v>0.5036433478966903</v>
      </c>
      <c r="AA15" s="306">
        <v>0.51323050902852518</v>
      </c>
      <c r="AB15" s="306">
        <v>0.52700284960758359</v>
      </c>
      <c r="AC15" s="306">
        <v>0.49794803736977</v>
      </c>
      <c r="AD15" s="158">
        <f>'User Add-in Location'!E27</f>
        <v>0</v>
      </c>
      <c r="AE15" s="158">
        <f>'User Add-in Location'!F27</f>
        <v>0</v>
      </c>
      <c r="AF15" s="306">
        <v>0.5055394431805923</v>
      </c>
      <c r="AG15" s="306">
        <v>0.51059934362143211</v>
      </c>
      <c r="AH15" s="306">
        <v>0.51653637964307952</v>
      </c>
      <c r="AI15" s="306">
        <v>0.52201288131913504</v>
      </c>
      <c r="AJ15" s="306">
        <v>0.52152200869162102</v>
      </c>
      <c r="AK15" s="306">
        <v>0.52938047595029503</v>
      </c>
      <c r="AL15" s="306">
        <v>0.51619789032519381</v>
      </c>
      <c r="AM15" s="306">
        <v>0.47510349494230236</v>
      </c>
      <c r="AN15" s="306">
        <v>0.50488876687492368</v>
      </c>
      <c r="AO15" s="306">
        <v>0.5190219132867171</v>
      </c>
      <c r="AP15" s="306">
        <v>0.53020671991059687</v>
      </c>
      <c r="AQ15" s="306">
        <v>0.52066940910686277</v>
      </c>
      <c r="AR15" s="306">
        <v>0.52772531941294198</v>
      </c>
      <c r="AS15" s="306">
        <v>0.52075736896392921</v>
      </c>
      <c r="AT15" s="306">
        <v>0.4790972114793588</v>
      </c>
      <c r="AU15" s="306">
        <v>0.52224079600827156</v>
      </c>
      <c r="AV15" s="306">
        <v>0.48405709487789567</v>
      </c>
      <c r="AW15" s="306">
        <v>0.46871963860424887</v>
      </c>
      <c r="AX15" s="306">
        <v>0.50474869268493217</v>
      </c>
      <c r="AY15" s="306">
        <v>0.523236819839344</v>
      </c>
      <c r="AZ15" s="306">
        <v>0.52736516567066194</v>
      </c>
      <c r="BA15" s="306">
        <v>0.519403854237658</v>
      </c>
      <c r="BB15" s="306">
        <v>0.5247882020613911</v>
      </c>
      <c r="BC15" s="306">
        <v>0.50388711247208207</v>
      </c>
      <c r="BD15" s="306">
        <v>0.47649296762245708</v>
      </c>
    </row>
    <row r="16" spans="1:56" ht="17" x14ac:dyDescent="0.15">
      <c r="A16" s="157"/>
      <c r="B16" s="6" t="s">
        <v>156</v>
      </c>
      <c r="C16" s="306">
        <v>9.9374281481268787E-3</v>
      </c>
      <c r="D16" s="306">
        <v>7.0724911198291858E-3</v>
      </c>
      <c r="E16" s="306">
        <v>8.6557051353150886E-3</v>
      </c>
      <c r="F16" s="306">
        <v>6.8805635471677748E-3</v>
      </c>
      <c r="G16" s="306">
        <v>9.8706849175740109E-3</v>
      </c>
      <c r="H16" s="306">
        <v>9.7878028785462479E-3</v>
      </c>
      <c r="I16" s="306">
        <v>1.0332824314783329E-2</v>
      </c>
      <c r="J16" s="306">
        <v>1.0070341573865244E-2</v>
      </c>
      <c r="K16" s="306">
        <v>1.0416706895599146E-2</v>
      </c>
      <c r="L16" s="306">
        <v>9.2826662196722216E-3</v>
      </c>
      <c r="M16" s="306">
        <v>8.9123978815650266E-3</v>
      </c>
      <c r="N16" s="306">
        <v>5.8843930584797132E-3</v>
      </c>
      <c r="O16" s="306">
        <v>8.6564306218373625E-3</v>
      </c>
      <c r="P16" s="306">
        <v>1.0290382263181281E-2</v>
      </c>
      <c r="Q16" s="306">
        <v>9.1895601539037294E-3</v>
      </c>
      <c r="R16" s="306">
        <v>7.2743259312266989E-3</v>
      </c>
      <c r="S16" s="306">
        <v>8.7773293736954448E-3</v>
      </c>
      <c r="T16" s="306">
        <v>7.8881730737434212E-3</v>
      </c>
      <c r="U16" s="306">
        <v>8.5642993962175683E-3</v>
      </c>
      <c r="V16" s="306">
        <v>8.6499856342604816E-3</v>
      </c>
      <c r="W16" s="306">
        <v>1.0209444381293202E-2</v>
      </c>
      <c r="X16" s="306">
        <v>1.1421985149027843E-2</v>
      </c>
      <c r="Y16" s="306">
        <v>1.0251301310747531E-2</v>
      </c>
      <c r="Z16" s="306">
        <v>1.0168749670736717E-2</v>
      </c>
      <c r="AA16" s="306">
        <v>7.2419523730830378E-3</v>
      </c>
      <c r="AB16" s="306">
        <v>9.5390679618587489E-3</v>
      </c>
      <c r="AC16" s="306">
        <v>7.9001939527513325E-3</v>
      </c>
      <c r="AD16" s="158">
        <f>'User Add-in Location'!E21</f>
        <v>0</v>
      </c>
      <c r="AE16" s="158">
        <f>'User Add-in Location'!F21</f>
        <v>0</v>
      </c>
      <c r="AF16" s="306">
        <v>7.7140831331566264E-3</v>
      </c>
      <c r="AG16" s="306">
        <v>8.2862023412010721E-3</v>
      </c>
      <c r="AH16" s="306">
        <v>1.0199385306430333E-2</v>
      </c>
      <c r="AI16" s="306">
        <v>1.0634145738002676E-2</v>
      </c>
      <c r="AJ16" s="306">
        <v>9.4214085056633628E-3</v>
      </c>
      <c r="AK16" s="306">
        <v>1.0550095308078164E-2</v>
      </c>
      <c r="AL16" s="306">
        <v>9.636676246954537E-3</v>
      </c>
      <c r="AM16" s="306">
        <v>6.414301037743749E-3</v>
      </c>
      <c r="AN16" s="306">
        <v>8.9391970599336391E-3</v>
      </c>
      <c r="AO16" s="306">
        <v>8.0315033154775388E-3</v>
      </c>
      <c r="AP16" s="306">
        <v>9.4522687433694439E-3</v>
      </c>
      <c r="AQ16" s="306">
        <v>1.028783526800121E-2</v>
      </c>
      <c r="AR16" s="306">
        <v>9.7493644129995147E-3</v>
      </c>
      <c r="AS16" s="306">
        <v>9.2088683253454384E-3</v>
      </c>
      <c r="AT16" s="306">
        <v>6.8535849053009317E-3</v>
      </c>
      <c r="AU16" s="306">
        <v>9.1204128891769261E-3</v>
      </c>
      <c r="AV16" s="306">
        <v>8.9230018548960774E-3</v>
      </c>
      <c r="AW16" s="306">
        <v>8.9299496818756145E-3</v>
      </c>
      <c r="AX16" s="306">
        <v>9.0792745761541626E-3</v>
      </c>
      <c r="AY16" s="306">
        <v>1.0210042145785725E-2</v>
      </c>
      <c r="AZ16" s="306">
        <v>9.6250719356018883E-3</v>
      </c>
      <c r="BA16" s="306">
        <v>9.9204476433259262E-3</v>
      </c>
      <c r="BB16" s="306">
        <v>9.605143677113636E-3</v>
      </c>
      <c r="BC16" s="306">
        <v>8.5723790812505633E-3</v>
      </c>
      <c r="BD16" s="306">
        <v>6.510218108113041E-3</v>
      </c>
    </row>
    <row r="17" spans="1:56" ht="17" x14ac:dyDescent="0.15">
      <c r="A17" s="157"/>
      <c r="B17" s="6" t="s">
        <v>80</v>
      </c>
      <c r="C17" s="306">
        <v>1.3311279792338536E-2</v>
      </c>
      <c r="D17" s="306">
        <v>1.2437379483837194E-2</v>
      </c>
      <c r="E17" s="306">
        <v>1.1066138706816725E-2</v>
      </c>
      <c r="F17" s="306">
        <v>1.3063648858223939E-2</v>
      </c>
      <c r="G17" s="306">
        <v>9.6865854184085241E-3</v>
      </c>
      <c r="H17" s="306">
        <v>1.018468830137452E-2</v>
      </c>
      <c r="I17" s="306">
        <v>1.1115575871453544E-2</v>
      </c>
      <c r="J17" s="306">
        <v>1.1060967930553462E-2</v>
      </c>
      <c r="K17" s="306">
        <v>1.3111107838683167E-2</v>
      </c>
      <c r="L17" s="306">
        <v>1.0342758585461371E-2</v>
      </c>
      <c r="M17" s="306">
        <v>9.9687893717609957E-3</v>
      </c>
      <c r="N17" s="306">
        <v>1.1693891522248069E-2</v>
      </c>
      <c r="O17" s="306">
        <v>1.2535552551104548E-2</v>
      </c>
      <c r="P17" s="306">
        <v>9.4838003880860517E-3</v>
      </c>
      <c r="Q17" s="306">
        <v>1.1903492163045296E-2</v>
      </c>
      <c r="R17" s="306">
        <v>1.2193105614658124E-2</v>
      </c>
      <c r="S17" s="306">
        <v>1.1819232560986425E-2</v>
      </c>
      <c r="T17" s="306">
        <v>1.3237270557892058E-2</v>
      </c>
      <c r="U17" s="306">
        <v>1.2934545026327843E-2</v>
      </c>
      <c r="V17" s="306">
        <v>1.2118799851838228E-2</v>
      </c>
      <c r="W17" s="306">
        <v>1.0791555427680205E-2</v>
      </c>
      <c r="X17" s="306">
        <v>9.8670991373133732E-3</v>
      </c>
      <c r="Y17" s="306">
        <v>1.093261759083519E-2</v>
      </c>
      <c r="Z17" s="306">
        <v>1.0789410194743059E-2</v>
      </c>
      <c r="AA17" s="306">
        <v>1.3809524324307116E-2</v>
      </c>
      <c r="AB17" s="306">
        <v>1.1468000570394736E-2</v>
      </c>
      <c r="AC17" s="306">
        <v>1.3104078574774461E-2</v>
      </c>
      <c r="AD17" s="158">
        <f>'User Add-in Location'!E22</f>
        <v>0</v>
      </c>
      <c r="AE17" s="158">
        <f>'User Add-in Location'!F22</f>
        <v>0</v>
      </c>
      <c r="AF17" s="306">
        <v>1.1385593775832446E-2</v>
      </c>
      <c r="AG17" s="306">
        <v>1.2148640109538674E-2</v>
      </c>
      <c r="AH17" s="306">
        <v>1.1375774839414553E-2</v>
      </c>
      <c r="AI17" s="306">
        <v>1.0519001739729453E-2</v>
      </c>
      <c r="AJ17" s="306">
        <v>1.3753257634959824E-2</v>
      </c>
      <c r="AK17" s="306">
        <v>1.05319230657603E-2</v>
      </c>
      <c r="AL17" s="306">
        <v>1.0747298341509316E-2</v>
      </c>
      <c r="AM17" s="306">
        <v>1.3018163714883971E-2</v>
      </c>
      <c r="AN17" s="306">
        <v>1.0732759103707849E-2</v>
      </c>
      <c r="AO17" s="306">
        <v>1.2704269306133317E-2</v>
      </c>
      <c r="AP17" s="306">
        <v>1.1457704964862125E-2</v>
      </c>
      <c r="AQ17" s="306">
        <v>1.0854642504592026E-2</v>
      </c>
      <c r="AR17" s="306">
        <v>1.0934159250001742E-2</v>
      </c>
      <c r="AS17" s="306">
        <v>1.2798703424825645E-2</v>
      </c>
      <c r="AT17" s="306">
        <v>1.2833145584728546E-2</v>
      </c>
      <c r="AU17" s="306">
        <v>1.1656322512494146E-2</v>
      </c>
      <c r="AV17" s="306">
        <v>1.0592257295949573E-2</v>
      </c>
      <c r="AW17" s="306">
        <v>8.6380852777611389E-3</v>
      </c>
      <c r="AX17" s="306">
        <v>1.0303785769146201E-2</v>
      </c>
      <c r="AY17" s="306">
        <v>1.2193659547795365E-2</v>
      </c>
      <c r="AZ17" s="306">
        <v>1.1789932048649577E-2</v>
      </c>
      <c r="BA17" s="306">
        <v>1.0980154435904324E-2</v>
      </c>
      <c r="BB17" s="306">
        <v>1.506249465472923E-2</v>
      </c>
      <c r="BC17" s="306">
        <v>1.1592786577029257E-2</v>
      </c>
      <c r="BD17" s="306">
        <v>1.4513133499057947E-2</v>
      </c>
    </row>
    <row r="18" spans="1:56" ht="17" x14ac:dyDescent="0.2">
      <c r="A18" s="160" t="s">
        <v>422</v>
      </c>
      <c r="B18" s="6" t="s">
        <v>16</v>
      </c>
      <c r="C18" s="14">
        <f>SUM(C4:C17)</f>
        <v>1.0000000000000002</v>
      </c>
      <c r="D18" s="14">
        <f t="shared" ref="D18:BD18" si="0">SUM(D4:D17)</f>
        <v>1.0000000000000002</v>
      </c>
      <c r="E18" s="14">
        <f t="shared" si="0"/>
        <v>1</v>
      </c>
      <c r="F18" s="14">
        <f t="shared" si="0"/>
        <v>1.0000000000000002</v>
      </c>
      <c r="G18" s="14">
        <f t="shared" si="0"/>
        <v>0.99999999999999989</v>
      </c>
      <c r="H18" s="14">
        <f t="shared" si="0"/>
        <v>1</v>
      </c>
      <c r="I18" s="14">
        <f t="shared" si="0"/>
        <v>0.99999999999999989</v>
      </c>
      <c r="J18" s="14">
        <f t="shared" si="0"/>
        <v>0.99999999999999989</v>
      </c>
      <c r="K18" s="14">
        <f t="shared" si="0"/>
        <v>1</v>
      </c>
      <c r="L18" s="14">
        <f t="shared" si="0"/>
        <v>1</v>
      </c>
      <c r="M18" s="14">
        <f t="shared" si="0"/>
        <v>1</v>
      </c>
      <c r="N18" s="14">
        <f t="shared" si="0"/>
        <v>1</v>
      </c>
      <c r="O18" s="14">
        <f t="shared" si="0"/>
        <v>1</v>
      </c>
      <c r="P18" s="14">
        <f t="shared" si="0"/>
        <v>0.99999999999999978</v>
      </c>
      <c r="Q18" s="14">
        <f t="shared" si="0"/>
        <v>0.99999999999999989</v>
      </c>
      <c r="R18" s="14">
        <f t="shared" si="0"/>
        <v>0.99999999999999967</v>
      </c>
      <c r="S18" s="14">
        <f t="shared" si="0"/>
        <v>1</v>
      </c>
      <c r="T18" s="14">
        <f t="shared" si="0"/>
        <v>1.0000000000000004</v>
      </c>
      <c r="U18" s="14">
        <f t="shared" si="0"/>
        <v>1</v>
      </c>
      <c r="V18" s="14">
        <f t="shared" si="0"/>
        <v>1</v>
      </c>
      <c r="W18" s="14">
        <f t="shared" si="0"/>
        <v>1.0000000000000002</v>
      </c>
      <c r="X18" s="14">
        <f t="shared" si="0"/>
        <v>1</v>
      </c>
      <c r="Y18" s="14">
        <f t="shared" si="0"/>
        <v>1</v>
      </c>
      <c r="Z18" s="14">
        <f t="shared" si="0"/>
        <v>1</v>
      </c>
      <c r="AA18" s="14">
        <f t="shared" si="0"/>
        <v>0.99999999999999989</v>
      </c>
      <c r="AB18" s="14">
        <f t="shared" si="0"/>
        <v>1</v>
      </c>
      <c r="AC18" s="14">
        <f t="shared" si="0"/>
        <v>1</v>
      </c>
      <c r="AD18" s="14">
        <f t="shared" si="0"/>
        <v>0</v>
      </c>
      <c r="AE18" s="14">
        <f t="shared" si="0"/>
        <v>0</v>
      </c>
      <c r="AF18" s="14">
        <f t="shared" si="0"/>
        <v>1</v>
      </c>
      <c r="AG18" s="14">
        <f t="shared" si="0"/>
        <v>1</v>
      </c>
      <c r="AH18" s="14">
        <f t="shared" si="0"/>
        <v>1.0000000000000002</v>
      </c>
      <c r="AI18" s="14">
        <f t="shared" si="0"/>
        <v>1</v>
      </c>
      <c r="AJ18" s="14">
        <f t="shared" si="0"/>
        <v>1</v>
      </c>
      <c r="AK18" s="14">
        <f t="shared" si="0"/>
        <v>1</v>
      </c>
      <c r="AL18" s="14">
        <f t="shared" si="0"/>
        <v>1</v>
      </c>
      <c r="AM18" s="14">
        <f t="shared" si="0"/>
        <v>0.99999999999999989</v>
      </c>
      <c r="AN18" s="14">
        <f t="shared" si="0"/>
        <v>0.99999999999999978</v>
      </c>
      <c r="AO18" s="14">
        <f t="shared" si="0"/>
        <v>1</v>
      </c>
      <c r="AP18" s="14">
        <f t="shared" si="0"/>
        <v>0.99999999999999989</v>
      </c>
      <c r="AQ18" s="14">
        <f t="shared" si="0"/>
        <v>1</v>
      </c>
      <c r="AR18" s="14">
        <f t="shared" si="0"/>
        <v>1.0000000000000002</v>
      </c>
      <c r="AS18" s="14">
        <f t="shared" si="0"/>
        <v>1</v>
      </c>
      <c r="AT18" s="14">
        <f t="shared" si="0"/>
        <v>1</v>
      </c>
      <c r="AU18" s="14">
        <f t="shared" si="0"/>
        <v>0.99999999999999978</v>
      </c>
      <c r="AV18" s="14">
        <f t="shared" si="0"/>
        <v>1</v>
      </c>
      <c r="AW18" s="14"/>
      <c r="AX18" s="14">
        <f t="shared" si="0"/>
        <v>1</v>
      </c>
      <c r="AY18" s="14">
        <f t="shared" si="0"/>
        <v>0.99999999999999989</v>
      </c>
      <c r="AZ18" s="14">
        <f t="shared" si="0"/>
        <v>1</v>
      </c>
      <c r="BA18" s="14">
        <f t="shared" si="0"/>
        <v>1.0000000000000002</v>
      </c>
      <c r="BB18" s="14">
        <f t="shared" si="0"/>
        <v>1</v>
      </c>
      <c r="BC18" s="14">
        <f t="shared" si="0"/>
        <v>1</v>
      </c>
      <c r="BD18" s="14">
        <f t="shared" si="0"/>
        <v>0.99999999999999989</v>
      </c>
    </row>
    <row r="19" spans="1:56" x14ac:dyDescent="0.15">
      <c r="A19" s="157"/>
    </row>
    <row r="20" spans="1:56" ht="12.75" customHeight="1" x14ac:dyDescent="0.15">
      <c r="A20" s="157"/>
      <c r="B20" s="110" t="str">
        <f>CONCATENATE("Source:  All values are averages for income classes between $25,000 and $100,000 and are derived from IMPLAN™ using ", C2," state data.")</f>
        <v>Source:  All values are averages for income classes between $25,000 and $100,000 and are derived from IMPLAN™ using 2016 state data.</v>
      </c>
      <c r="H20" s="42"/>
    </row>
    <row r="21" spans="1:56" ht="17.75" customHeight="1" x14ac:dyDescent="0.15">
      <c r="A21" s="157"/>
      <c r="B21" s="110"/>
    </row>
    <row r="22" spans="1:56" x14ac:dyDescent="0.15">
      <c r="A22" s="157"/>
      <c r="B22" s="90"/>
    </row>
    <row r="23" spans="1:56" x14ac:dyDescent="0.15">
      <c r="A23" s="157"/>
    </row>
    <row r="24" spans="1:56" x14ac:dyDescent="0.15">
      <c r="A24" s="157"/>
    </row>
    <row r="25" spans="1:56" x14ac:dyDescent="0.15">
      <c r="A25" s="157"/>
    </row>
    <row r="26" spans="1:56" x14ac:dyDescent="0.15">
      <c r="A26" s="157"/>
    </row>
    <row r="27" spans="1:56" x14ac:dyDescent="0.15">
      <c r="A27" s="157"/>
    </row>
    <row r="28" spans="1:56" x14ac:dyDescent="0.15">
      <c r="A28" s="157"/>
    </row>
    <row r="29" spans="1:56" x14ac:dyDescent="0.15">
      <c r="A29" s="157"/>
    </row>
    <row r="30" spans="1:56" x14ac:dyDescent="0.15">
      <c r="A30" s="157"/>
    </row>
    <row r="31" spans="1:56" x14ac:dyDescent="0.15">
      <c r="A31" s="157"/>
    </row>
    <row r="32" spans="1:56" x14ac:dyDescent="0.15">
      <c r="A32" s="157"/>
    </row>
    <row r="33" spans="1:1" x14ac:dyDescent="0.15">
      <c r="A33" s="157"/>
    </row>
    <row r="34" spans="1:1" x14ac:dyDescent="0.15">
      <c r="A34" s="157"/>
    </row>
    <row r="35" spans="1:1" x14ac:dyDescent="0.15">
      <c r="A35" s="157"/>
    </row>
    <row r="36" spans="1:1" x14ac:dyDescent="0.15">
      <c r="A36" s="157"/>
    </row>
    <row r="37" spans="1:1" x14ac:dyDescent="0.15">
      <c r="A37" s="157"/>
    </row>
    <row r="38" spans="1:1" x14ac:dyDescent="0.15">
      <c r="A38" s="157"/>
    </row>
    <row r="39" spans="1:1" x14ac:dyDescent="0.15">
      <c r="A39" s="157"/>
    </row>
    <row r="40" spans="1:1" x14ac:dyDescent="0.15">
      <c r="A40" s="157"/>
    </row>
    <row r="41" spans="1:1" x14ac:dyDescent="0.15">
      <c r="A41" s="157"/>
    </row>
    <row r="42" spans="1:1" x14ac:dyDescent="0.15">
      <c r="A42" s="157"/>
    </row>
    <row r="43" spans="1:1" x14ac:dyDescent="0.15">
      <c r="A43" s="157"/>
    </row>
    <row r="44" spans="1:1" x14ac:dyDescent="0.15">
      <c r="A44" s="157"/>
    </row>
    <row r="45" spans="1:1" x14ac:dyDescent="0.15">
      <c r="A45" s="157"/>
    </row>
    <row r="46" spans="1:1" x14ac:dyDescent="0.15">
      <c r="A46" s="157"/>
    </row>
    <row r="47" spans="1:1" x14ac:dyDescent="0.15">
      <c r="A47" s="157"/>
    </row>
    <row r="48" spans="1:1" x14ac:dyDescent="0.15">
      <c r="A48" s="157"/>
    </row>
  </sheetData>
  <sheetProtection password="DFD3" sheet="1" objects="1" scenarios="1"/>
  <customSheetViews>
    <customSheetView guid="{55B80D82-F000-11D6-8735-C8E5A357943D}" showRuler="0">
      <selection activeCell="D17" sqref="D17"/>
      <pageMargins left="0.75" right="0.75" top="1" bottom="1" header="0.5" footer="0.5"/>
      <headerFooter alignWithMargins="0"/>
    </customSheetView>
  </customSheetViews>
  <phoneticPr fontId="0" type="noConversion"/>
  <pageMargins left="0.75" right="0.75" top="1" bottom="1" header="0.5" footer="0.5"/>
  <pageSetup orientation="portrait" horizontalDpi="0" verticalDpi="96" copies="0" r:id="rId1"/>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AP235"/>
  <sheetViews>
    <sheetView topLeftCell="A120" zoomScale="37" zoomScaleNormal="100" workbookViewId="0">
      <selection activeCell="E81" sqref="E81"/>
    </sheetView>
  </sheetViews>
  <sheetFormatPr baseColWidth="10" defaultColWidth="8.83203125" defaultRowHeight="13" x14ac:dyDescent="0.15"/>
  <cols>
    <col min="1" max="1" width="161.33203125" customWidth="1"/>
    <col min="3" max="3" width="25.33203125" customWidth="1"/>
    <col min="4" max="4" width="16" customWidth="1"/>
    <col min="5" max="5" width="17" customWidth="1"/>
    <col min="6" max="6" width="17.33203125" customWidth="1"/>
    <col min="7" max="7" width="15.6640625" customWidth="1"/>
    <col min="8" max="8" width="16.33203125" customWidth="1"/>
    <col min="9" max="9" width="13.33203125" customWidth="1"/>
    <col min="10" max="10" width="13.6640625" customWidth="1"/>
    <col min="11" max="11" width="17.6640625" customWidth="1"/>
    <col min="12" max="12" width="14.6640625" customWidth="1"/>
    <col min="13" max="13" width="14.33203125" customWidth="1"/>
    <col min="14" max="14" width="14" bestFit="1" customWidth="1"/>
    <col min="15" max="15" width="12.33203125" customWidth="1"/>
    <col min="16" max="16" width="13.33203125" customWidth="1"/>
    <col min="17" max="17" width="14" customWidth="1"/>
    <col min="18" max="18" width="16" customWidth="1"/>
    <col min="19" max="19" width="13" customWidth="1"/>
    <col min="20" max="20" width="16.6640625" customWidth="1"/>
    <col min="21" max="21" width="10.33203125" bestFit="1" customWidth="1"/>
    <col min="23" max="23" width="22.33203125" customWidth="1"/>
    <col min="24" max="24" width="10.33203125" bestFit="1" customWidth="1"/>
    <col min="25" max="26" width="10.33203125" customWidth="1"/>
    <col min="27" max="27" width="11.6640625" bestFit="1" customWidth="1"/>
    <col min="28" max="28" width="51.33203125" customWidth="1"/>
    <col min="29" max="29" width="20" customWidth="1"/>
    <col min="30" max="30" width="13.33203125" bestFit="1" customWidth="1"/>
    <col min="31" max="32" width="11.33203125" customWidth="1"/>
    <col min="33" max="33" width="64.33203125" customWidth="1"/>
    <col min="34" max="34" width="11.33203125" bestFit="1" customWidth="1"/>
  </cols>
  <sheetData>
    <row r="1" spans="1:34" x14ac:dyDescent="0.15">
      <c r="A1" s="157"/>
      <c r="B1" s="282"/>
      <c r="C1" s="1" t="s">
        <v>144</v>
      </c>
      <c r="D1" s="1"/>
      <c r="E1" s="11" t="str">
        <f>'STEP 3 - Edit Project Data'!B13</f>
        <v>COLORADO</v>
      </c>
      <c r="F1" s="1" t="s">
        <v>312</v>
      </c>
      <c r="G1" s="1"/>
      <c r="I1" s="11"/>
      <c r="J1" s="11"/>
      <c r="K1" s="11"/>
    </row>
    <row r="2" spans="1:34" x14ac:dyDescent="0.15">
      <c r="A2" s="157"/>
      <c r="B2" s="282"/>
      <c r="C2" s="1"/>
      <c r="D2" s="1"/>
      <c r="E2" s="1"/>
      <c r="F2" s="1"/>
      <c r="G2" s="1"/>
      <c r="H2" s="11"/>
      <c r="I2" s="11"/>
      <c r="J2" s="11"/>
      <c r="K2" s="11"/>
    </row>
    <row r="3" spans="1:34" ht="16" x14ac:dyDescent="0.15">
      <c r="A3" s="157"/>
      <c r="B3" s="282"/>
      <c r="C3" s="17" t="s">
        <v>158</v>
      </c>
      <c r="H3" s="155"/>
      <c r="W3" s="6"/>
      <c r="X3" s="8"/>
      <c r="Y3" s="8"/>
      <c r="Z3" s="8"/>
      <c r="AA3" s="8"/>
      <c r="AD3" s="45"/>
      <c r="AE3" s="8"/>
      <c r="AF3" s="8"/>
      <c r="AG3" s="8"/>
      <c r="AH3" s="8"/>
    </row>
    <row r="4" spans="1:34" ht="16" x14ac:dyDescent="0.15">
      <c r="A4" s="157"/>
      <c r="B4" s="282"/>
      <c r="C4" s="3"/>
      <c r="D4" s="1" t="s">
        <v>133</v>
      </c>
      <c r="E4" s="17" t="s">
        <v>160</v>
      </c>
      <c r="F4" s="1"/>
      <c r="G4" s="17" t="s">
        <v>159</v>
      </c>
      <c r="W4" s="6"/>
      <c r="X4" s="8"/>
      <c r="Y4" s="8"/>
      <c r="Z4" s="8"/>
      <c r="AA4" s="8"/>
      <c r="AB4" s="17" t="s">
        <v>275</v>
      </c>
      <c r="AC4" s="11" t="s">
        <v>133</v>
      </c>
      <c r="AD4" s="11" t="s">
        <v>18</v>
      </c>
      <c r="AE4" s="8"/>
      <c r="AF4" s="8"/>
      <c r="AG4" s="8"/>
      <c r="AH4" s="8"/>
    </row>
    <row r="5" spans="1:34" ht="16" x14ac:dyDescent="0.15">
      <c r="A5" s="157"/>
      <c r="B5" s="282"/>
      <c r="C5" s="3" t="s">
        <v>453</v>
      </c>
      <c r="D5" s="1"/>
      <c r="E5" s="17"/>
      <c r="F5" s="1"/>
      <c r="G5" s="17"/>
      <c r="W5" s="6"/>
      <c r="X5" s="8"/>
      <c r="Y5" s="8"/>
      <c r="Z5" s="8"/>
      <c r="AA5" s="8"/>
      <c r="AB5" s="3" t="s">
        <v>453</v>
      </c>
      <c r="AC5" s="11"/>
      <c r="AD5" s="11"/>
      <c r="AE5" s="8"/>
      <c r="AF5" s="8"/>
      <c r="AG5" s="8"/>
      <c r="AH5" s="8"/>
    </row>
    <row r="6" spans="1:34" ht="23" x14ac:dyDescent="0.25">
      <c r="A6" s="159" t="s">
        <v>418</v>
      </c>
      <c r="B6" s="282"/>
      <c r="C6" s="2" t="s">
        <v>2</v>
      </c>
      <c r="D6" s="9"/>
      <c r="E6" s="7"/>
      <c r="W6" s="6"/>
      <c r="X6" s="8"/>
      <c r="Y6" s="8"/>
      <c r="Z6" s="8"/>
      <c r="AA6" s="8"/>
      <c r="AB6" s="2" t="s">
        <v>2</v>
      </c>
      <c r="AC6" s="12"/>
      <c r="AD6" s="45"/>
      <c r="AE6" s="8"/>
      <c r="AF6" s="8"/>
      <c r="AG6" s="8"/>
      <c r="AH6" s="8"/>
    </row>
    <row r="7" spans="1:34" ht="16" x14ac:dyDescent="0.15">
      <c r="A7" s="157"/>
      <c r="B7" s="282"/>
      <c r="C7" s="2" t="s">
        <v>3</v>
      </c>
      <c r="D7" s="8">
        <f>IF('STEP 3 - Edit Project Data'!$B$24="y",DefaultData!D18,'STEP 3 - Edit Project Data'!B40)</f>
        <v>18560959.539846696</v>
      </c>
      <c r="E7" s="7">
        <f>IF('STEP 3 - Edit Project Data'!$B$24="y",IF('STEP 3 - Edit Project Data'!T$12=0,DefaultData!G18,'STEP 3 - Edit Project Data'!T40),'STEP 3 - Edit Project Data'!E40)</f>
        <v>0.9</v>
      </c>
      <c r="G7" s="8">
        <f>+E7*D7</f>
        <v>16704863.585862027</v>
      </c>
      <c r="W7" s="6"/>
      <c r="X7" s="8"/>
      <c r="Y7" s="8"/>
      <c r="Z7" s="8"/>
      <c r="AA7" s="8"/>
      <c r="AB7" s="2" t="s">
        <v>3</v>
      </c>
      <c r="AC7" s="8">
        <f>D7</f>
        <v>18560959.539846696</v>
      </c>
      <c r="AD7" s="15">
        <f t="shared" ref="AD7:AD33" si="0">E7</f>
        <v>0.9</v>
      </c>
      <c r="AE7" s="8"/>
      <c r="AF7" s="8"/>
      <c r="AG7" s="8"/>
      <c r="AH7" s="8"/>
    </row>
    <row r="8" spans="1:34" ht="16" x14ac:dyDescent="0.2">
      <c r="A8" s="160" t="s">
        <v>419</v>
      </c>
      <c r="B8" s="282"/>
      <c r="C8" s="2" t="s">
        <v>4</v>
      </c>
      <c r="D8" s="8">
        <f>IF('STEP 3 - Edit Project Data'!$B$24="y",DefaultData!D19,'STEP 3 - Edit Project Data'!B41)</f>
        <v>0</v>
      </c>
      <c r="E8" s="7">
        <f>IF('STEP 3 - Edit Project Data'!$B$24="y",IF('STEP 3 - Edit Project Data'!T$12=0,DefaultData!G19,'STEP 3 - Edit Project Data'!T41),'STEP 3 - Edit Project Data'!E41)</f>
        <v>0</v>
      </c>
      <c r="G8" s="8">
        <f t="shared" ref="G8:G33" si="1">+E8*D8</f>
        <v>0</v>
      </c>
      <c r="H8" s="58"/>
      <c r="W8" s="6"/>
      <c r="X8" s="8"/>
      <c r="Y8" s="8"/>
      <c r="Z8" s="8"/>
      <c r="AA8" s="8"/>
      <c r="AB8" s="2" t="s">
        <v>4</v>
      </c>
      <c r="AC8" s="8">
        <f t="shared" ref="AC8:AD37" si="2">D8</f>
        <v>0</v>
      </c>
      <c r="AD8" s="15">
        <f t="shared" si="0"/>
        <v>0</v>
      </c>
      <c r="AE8" s="8"/>
      <c r="AF8" s="8"/>
      <c r="AG8" s="8"/>
      <c r="AH8" s="8"/>
    </row>
    <row r="9" spans="1:34" ht="16" x14ac:dyDescent="0.2">
      <c r="A9" s="161"/>
      <c r="B9" s="282"/>
      <c r="C9" s="2" t="s">
        <v>5</v>
      </c>
      <c r="D9" s="8">
        <f>IF('STEP 3 - Edit Project Data'!$B$24="y",DefaultData!D20,'STEP 3 - Edit Project Data'!B42)</f>
        <v>5682993.109400183</v>
      </c>
      <c r="E9" s="7">
        <f>IF('STEP 3 - Edit Project Data'!$B$24="y",IF('STEP 3 - Edit Project Data'!T$12=0,DefaultData!G20,'STEP 3 - Edit Project Data'!T42),'STEP 3 - Edit Project Data'!E42)</f>
        <v>1</v>
      </c>
      <c r="G9" s="8">
        <f t="shared" si="1"/>
        <v>5682993.109400183</v>
      </c>
      <c r="H9" s="58"/>
      <c r="W9" s="6"/>
      <c r="X9" s="8"/>
      <c r="Y9" s="8"/>
      <c r="Z9" s="8"/>
      <c r="AA9" s="8"/>
      <c r="AB9" s="2" t="s">
        <v>5</v>
      </c>
      <c r="AC9" s="8">
        <f t="shared" si="2"/>
        <v>5682993.109400183</v>
      </c>
      <c r="AD9" s="15">
        <f t="shared" si="0"/>
        <v>1</v>
      </c>
      <c r="AE9" s="8"/>
      <c r="AF9" s="8"/>
      <c r="AG9" s="8"/>
      <c r="AH9" s="8"/>
    </row>
    <row r="10" spans="1:34" ht="16" x14ac:dyDescent="0.2">
      <c r="A10" s="160" t="s">
        <v>420</v>
      </c>
      <c r="B10" s="282"/>
      <c r="C10" s="2" t="s">
        <v>6</v>
      </c>
      <c r="D10" s="8">
        <f>IF('STEP 3 - Edit Project Data'!$B$24="y",DefaultData!D21,'STEP 3 - Edit Project Data'!B43)</f>
        <v>1563881.1528987759</v>
      </c>
      <c r="E10" s="7">
        <f>IF('STEP 3 - Edit Project Data'!$B$24="y",IF('STEP 3 - Edit Project Data'!T$12=0,DefaultData!G21,'STEP 3 - Edit Project Data'!T43),'STEP 3 - Edit Project Data'!E43)</f>
        <v>0.7</v>
      </c>
      <c r="G10" s="8">
        <f t="shared" si="1"/>
        <v>1094716.807029143</v>
      </c>
      <c r="W10" s="6"/>
      <c r="X10" s="8"/>
      <c r="Y10" s="8"/>
      <c r="Z10" s="8"/>
      <c r="AA10" s="8"/>
      <c r="AB10" s="2" t="s">
        <v>6</v>
      </c>
      <c r="AC10" s="8">
        <f t="shared" si="2"/>
        <v>1563881.1528987759</v>
      </c>
      <c r="AD10" s="15">
        <f t="shared" si="0"/>
        <v>0.7</v>
      </c>
      <c r="AE10" s="8"/>
      <c r="AF10" s="8"/>
      <c r="AG10" s="8"/>
      <c r="AH10" s="8"/>
    </row>
    <row r="11" spans="1:34" ht="16" x14ac:dyDescent="0.2">
      <c r="A11" s="160"/>
      <c r="B11" s="282"/>
      <c r="C11" s="2" t="s">
        <v>7</v>
      </c>
      <c r="D11" s="8">
        <f>SUM(D7:D10)</f>
        <v>25807833.802145656</v>
      </c>
      <c r="E11" s="7"/>
      <c r="G11" s="8">
        <f>SUM(G7:G10)</f>
        <v>23482573.502291352</v>
      </c>
      <c r="H11" s="58"/>
      <c r="W11" s="6"/>
      <c r="X11" s="8"/>
      <c r="Y11" s="8"/>
      <c r="Z11" s="8"/>
      <c r="AA11" s="8"/>
      <c r="AB11" s="33" t="s">
        <v>241</v>
      </c>
      <c r="AC11" s="8">
        <f t="shared" si="2"/>
        <v>25807833.802145656</v>
      </c>
      <c r="AD11" s="15"/>
      <c r="AE11" s="9"/>
      <c r="AF11" s="9"/>
      <c r="AG11" s="9"/>
      <c r="AH11" s="9"/>
    </row>
    <row r="12" spans="1:34" ht="16" x14ac:dyDescent="0.2">
      <c r="A12" s="160" t="s">
        <v>421</v>
      </c>
      <c r="B12" s="282"/>
      <c r="C12" s="2" t="s">
        <v>8</v>
      </c>
      <c r="D12" s="8"/>
      <c r="E12" s="7"/>
      <c r="G12" s="8"/>
      <c r="AB12" s="2" t="s">
        <v>8</v>
      </c>
      <c r="AC12" s="8"/>
      <c r="AD12" s="15"/>
    </row>
    <row r="13" spans="1:34" x14ac:dyDescent="0.15">
      <c r="A13" s="157"/>
      <c r="B13" s="282"/>
      <c r="C13" s="2" t="s">
        <v>9</v>
      </c>
      <c r="D13" s="8">
        <f>IF('STEP 3 - Edit Project Data'!$B$24="y",DefaultData!D24,'STEP 3 - Edit Project Data'!B46)</f>
        <v>4239947.7575955112</v>
      </c>
      <c r="E13" s="7">
        <f>IF('STEP 3 - Edit Project Data'!$B$24="y",IF('STEP 3 - Edit Project Data'!T$12=0,DefaultData!G24,'STEP 3 - Edit Project Data'!T46),'STEP 3 - Edit Project Data'!E46)</f>
        <v>0.95</v>
      </c>
      <c r="G13" s="8">
        <f t="shared" si="1"/>
        <v>4027950.3697157353</v>
      </c>
      <c r="AB13" s="2" t="s">
        <v>9</v>
      </c>
      <c r="AC13" s="8">
        <f t="shared" si="2"/>
        <v>4239947.7575955112</v>
      </c>
      <c r="AD13" s="15">
        <f t="shared" si="0"/>
        <v>0.95</v>
      </c>
    </row>
    <row r="14" spans="1:34" x14ac:dyDescent="0.15">
      <c r="A14" s="157"/>
      <c r="B14" s="282"/>
      <c r="C14" s="2" t="s">
        <v>10</v>
      </c>
      <c r="D14" s="8">
        <f>IF('STEP 3 - Edit Project Data'!$B$24="y",DefaultData!D25,'STEP 3 - Edit Project Data'!B47)</f>
        <v>7790047.9660859304</v>
      </c>
      <c r="E14" s="7">
        <f>IF('STEP 3 - Edit Project Data'!$B$24="y",IF('STEP 3 - Edit Project Data'!T$12=0,DefaultData!G25,'STEP 3 - Edit Project Data'!T47),'STEP 3 - Edit Project Data'!E47)</f>
        <v>0.75</v>
      </c>
      <c r="G14" s="8">
        <f t="shared" si="1"/>
        <v>5842535.974564448</v>
      </c>
      <c r="AB14" s="2" t="s">
        <v>10</v>
      </c>
      <c r="AC14" s="8">
        <f t="shared" si="2"/>
        <v>7790047.9660859304</v>
      </c>
      <c r="AD14" s="15">
        <f t="shared" si="0"/>
        <v>0.75</v>
      </c>
    </row>
    <row r="15" spans="1:34" x14ac:dyDescent="0.15">
      <c r="A15" s="157"/>
      <c r="B15" s="282"/>
      <c r="C15" s="2" t="s">
        <v>11</v>
      </c>
      <c r="D15" s="8">
        <f>IF('STEP 3 - Edit Project Data'!$B$24="y",DefaultData!D26,'STEP 3 - Edit Project Data'!B48)</f>
        <v>1773965.3638829268</v>
      </c>
      <c r="E15" s="7">
        <f>IF('STEP 3 - Edit Project Data'!$B$24="y",IF('STEP 3 - Edit Project Data'!T$12=0,DefaultData!G26,'STEP 3 - Edit Project Data'!T48),'STEP 3 - Edit Project Data'!E48)</f>
        <v>0.7</v>
      </c>
      <c r="G15" s="8">
        <f t="shared" si="1"/>
        <v>1241775.7547180487</v>
      </c>
      <c r="AB15" s="2" t="s">
        <v>11</v>
      </c>
      <c r="AC15" s="8">
        <f t="shared" si="2"/>
        <v>1773965.3638829268</v>
      </c>
      <c r="AD15" s="15">
        <f t="shared" si="0"/>
        <v>0.7</v>
      </c>
    </row>
    <row r="16" spans="1:34" x14ac:dyDescent="0.15">
      <c r="A16" s="157"/>
      <c r="B16" s="282"/>
      <c r="C16" s="2" t="s">
        <v>12</v>
      </c>
      <c r="D16" s="8">
        <f>IF('STEP 3 - Edit Project Data'!$B$24="y",DefaultData!D27,'STEP 3 - Edit Project Data'!B49)</f>
        <v>2047903.0070803107</v>
      </c>
      <c r="E16" s="7">
        <f>IF('STEP 3 - Edit Project Data'!$B$24="y",IF('STEP 3 - Edit Project Data'!T$12=0,DefaultData!G27,'STEP 3 - Edit Project Data'!T49),'STEP 3 - Edit Project Data'!E49)</f>
        <v>0</v>
      </c>
      <c r="G16" s="8">
        <f t="shared" si="1"/>
        <v>0</v>
      </c>
      <c r="AB16" s="2" t="s">
        <v>12</v>
      </c>
      <c r="AC16" s="8">
        <f t="shared" si="2"/>
        <v>2047903.0070803107</v>
      </c>
      <c r="AD16" s="15">
        <f t="shared" si="0"/>
        <v>0</v>
      </c>
    </row>
    <row r="17" spans="1:30" x14ac:dyDescent="0.15">
      <c r="A17" s="157"/>
      <c r="B17" s="282"/>
      <c r="C17" s="2" t="s">
        <v>525</v>
      </c>
      <c r="D17" s="8">
        <f>IF('STEP 3 - Edit Project Data'!$B$24="y",DefaultData!D28,'STEP 3 - Edit Project Data'!B50)</f>
        <v>1295776.8240952727</v>
      </c>
      <c r="E17" s="7">
        <f>IF('STEP 3 - Edit Project Data'!$B$24="y",IF('STEP 3 - Edit Project Data'!T$12=0,DefaultData!G28,'STEP 3 - Edit Project Data'!T50),'STEP 3 - Edit Project Data'!E50)</f>
        <v>0.5</v>
      </c>
      <c r="G17" s="8">
        <f>+E17*D17</f>
        <v>647888.41204763635</v>
      </c>
      <c r="H17" s="22"/>
      <c r="AB17" s="2" t="s">
        <v>525</v>
      </c>
      <c r="AC17" s="8">
        <f>D17</f>
        <v>1295776.8240952727</v>
      </c>
      <c r="AD17" s="15">
        <f>E17</f>
        <v>0.5</v>
      </c>
    </row>
    <row r="18" spans="1:30" x14ac:dyDescent="0.15">
      <c r="A18" s="157"/>
      <c r="B18" s="282"/>
      <c r="C18" s="2" t="s">
        <v>7</v>
      </c>
      <c r="D18" s="8">
        <f>SUM(D13:D17)</f>
        <v>17147640.918739952</v>
      </c>
      <c r="E18" s="7">
        <f>IF('STEP 3 - Edit Project Data'!$B$24="y",IF('STEP 3 - Edit Project Data'!T$12=0,DefaultData!G29,'STEP 3 - Edit Project Data'!T51),'STEP 3 - Edit Project Data'!E51)</f>
        <v>0</v>
      </c>
      <c r="G18" s="8">
        <f>+SUM(G13:G17)</f>
        <v>11760150.511045868</v>
      </c>
      <c r="H18">
        <f>SUM(G13:G16)</f>
        <v>11112262.098998232</v>
      </c>
      <c r="I18" s="58"/>
      <c r="AB18" s="33" t="s">
        <v>242</v>
      </c>
      <c r="AC18" s="8">
        <f t="shared" si="2"/>
        <v>17147640.918739952</v>
      </c>
      <c r="AD18" s="15"/>
    </row>
    <row r="19" spans="1:30" x14ac:dyDescent="0.15">
      <c r="A19" s="157"/>
      <c r="B19" s="282"/>
      <c r="C19" s="2" t="s">
        <v>13</v>
      </c>
      <c r="D19" s="8">
        <f>+D18+D11</f>
        <v>42955474.720885605</v>
      </c>
      <c r="E19" s="7"/>
      <c r="G19" s="8">
        <f>+G18+G11</f>
        <v>35242724.013337217</v>
      </c>
      <c r="AB19" s="2" t="s">
        <v>13</v>
      </c>
      <c r="AC19" s="8">
        <f t="shared" si="2"/>
        <v>42955474.720885605</v>
      </c>
      <c r="AD19" s="15"/>
    </row>
    <row r="20" spans="1:30" ht="16" x14ac:dyDescent="0.2">
      <c r="A20" s="160" t="s">
        <v>422</v>
      </c>
      <c r="B20" s="282"/>
      <c r="C20" s="4" t="s">
        <v>19</v>
      </c>
      <c r="D20" s="8"/>
      <c r="E20" s="7"/>
      <c r="G20" s="8"/>
      <c r="AB20" s="4" t="s">
        <v>19</v>
      </c>
      <c r="AC20" s="8"/>
      <c r="AD20" s="15"/>
    </row>
    <row r="21" spans="1:30" x14ac:dyDescent="0.15">
      <c r="A21" s="157"/>
      <c r="B21" s="282"/>
      <c r="C21" s="33" t="s">
        <v>238</v>
      </c>
      <c r="D21" s="8">
        <f>IF('STEP 3 - Edit Project Data'!$B$24="y",DefaultData!D32,'STEP 3 - Edit Project Data'!B33)</f>
        <v>180900000</v>
      </c>
      <c r="E21" s="7">
        <f>IF('STEP 3 - Edit Project Data'!$B$24="y",IF('STEP 3 - Edit Project Data'!T$12=0,DefaultData!G32,'STEP 3 - Edit Project Data'!T33),'STEP 3 - Edit Project Data'!E33)</f>
        <v>0</v>
      </c>
      <c r="G21" s="8">
        <f t="shared" si="1"/>
        <v>0</v>
      </c>
      <c r="AB21" s="2" t="s">
        <v>14</v>
      </c>
      <c r="AC21" s="8">
        <f t="shared" si="2"/>
        <v>180900000</v>
      </c>
      <c r="AD21" s="15">
        <f t="shared" si="0"/>
        <v>0</v>
      </c>
    </row>
    <row r="22" spans="1:30" x14ac:dyDescent="0.15">
      <c r="A22" s="157"/>
      <c r="B22" s="282"/>
      <c r="C22" s="2" t="s">
        <v>237</v>
      </c>
      <c r="D22" s="8">
        <f>IF('STEP 3 - Edit Project Data'!$B$24="y",DefaultData!D33,'STEP 3 - Edit Project Data'!B34)</f>
        <v>56400000</v>
      </c>
      <c r="E22" s="7">
        <f>IF('STEP 3 - Edit Project Data'!$B$24="y",IF('STEP 3 - Edit Project Data'!T$12=0,DefaultData!G33,'STEP 3 - Edit Project Data'!T34),'STEP 3 - Edit Project Data'!E34)</f>
        <v>0</v>
      </c>
      <c r="G22" s="8">
        <f>+E22*D22</f>
        <v>0</v>
      </c>
      <c r="AB22" s="2" t="s">
        <v>237</v>
      </c>
      <c r="AC22" s="8">
        <f>D22</f>
        <v>56400000</v>
      </c>
      <c r="AD22" s="15">
        <f>E22</f>
        <v>0</v>
      </c>
    </row>
    <row r="23" spans="1:30" x14ac:dyDescent="0.15">
      <c r="A23" s="157"/>
      <c r="B23" s="282"/>
      <c r="C23" s="2" t="s">
        <v>15</v>
      </c>
      <c r="D23" s="8">
        <f>IF('STEP 3 - Edit Project Data'!$B$24="y",DefaultData!D34,'STEP 3 - Edit Project Data'!B35)</f>
        <v>65700000</v>
      </c>
      <c r="E23" s="7">
        <f>IF('STEP 3 - Edit Project Data'!$B$24="y",IF('STEP 3 - Edit Project Data'!T$12=0,DefaultData!G34,'STEP 3 - Edit Project Data'!T35),'STEP 3 - Edit Project Data'!E35)</f>
        <v>0</v>
      </c>
      <c r="G23" s="8">
        <f t="shared" si="1"/>
        <v>0</v>
      </c>
      <c r="AB23" s="2" t="s">
        <v>15</v>
      </c>
      <c r="AC23" s="8">
        <f t="shared" si="2"/>
        <v>65700000</v>
      </c>
      <c r="AD23" s="15">
        <f t="shared" si="0"/>
        <v>0</v>
      </c>
    </row>
    <row r="24" spans="1:30" x14ac:dyDescent="0.15">
      <c r="A24" s="157"/>
      <c r="B24" s="282"/>
      <c r="C24" s="2" t="s">
        <v>445</v>
      </c>
      <c r="D24" s="8">
        <f>IF('STEP 3 - Edit Project Data'!$B$24="y",DefaultData!D35,'STEP 3 - Edit Project Data'!B36)</f>
        <v>31071692.333119016</v>
      </c>
      <c r="E24" s="7">
        <f>IF('STEP 3 - Edit Project Data'!$B$24="y",IF('STEP 3 - Edit Project Data'!T$12=0,DefaultData!G35,'STEP 3 - Edit Project Data'!T36),'STEP 3 - Edit Project Data'!E36)</f>
        <v>0</v>
      </c>
      <c r="G24" s="8">
        <f t="shared" si="1"/>
        <v>0</v>
      </c>
      <c r="H24" s="38"/>
      <c r="AB24" s="2" t="s">
        <v>445</v>
      </c>
      <c r="AC24" s="8">
        <f>D24</f>
        <v>31071692.333119016</v>
      </c>
      <c r="AD24" s="15">
        <f>E24</f>
        <v>0</v>
      </c>
    </row>
    <row r="25" spans="1:30" x14ac:dyDescent="0.15">
      <c r="A25" s="157"/>
      <c r="B25" s="282"/>
      <c r="C25" s="2" t="s">
        <v>13</v>
      </c>
      <c r="D25" s="8">
        <f>SUM(D21:D24)</f>
        <v>334071692.33311903</v>
      </c>
      <c r="E25" s="7"/>
      <c r="G25" s="8">
        <f>+G23+G22+G21</f>
        <v>0</v>
      </c>
      <c r="H25" s="38">
        <v>0.89448733178325956</v>
      </c>
      <c r="J25" s="38">
        <v>0.10551266821674041</v>
      </c>
      <c r="AB25" s="33" t="s">
        <v>243</v>
      </c>
      <c r="AC25" s="8">
        <f t="shared" si="2"/>
        <v>334071692.33311903</v>
      </c>
      <c r="AD25" s="15"/>
    </row>
    <row r="26" spans="1:30" ht="14" x14ac:dyDescent="0.15">
      <c r="A26" s="157"/>
      <c r="B26" s="282"/>
      <c r="C26" s="199" t="s">
        <v>454</v>
      </c>
      <c r="D26" s="8"/>
      <c r="E26" s="7"/>
      <c r="G26" s="8"/>
      <c r="H26" s="25" t="s">
        <v>458</v>
      </c>
      <c r="I26" s="25" t="s">
        <v>536</v>
      </c>
      <c r="J26" s="25" t="s">
        <v>537</v>
      </c>
      <c r="K26" s="38">
        <v>0.23449061099247084</v>
      </c>
      <c r="AB26" s="4" t="s">
        <v>454</v>
      </c>
      <c r="AC26" s="8"/>
      <c r="AD26" s="15"/>
    </row>
    <row r="27" spans="1:30" x14ac:dyDescent="0.15">
      <c r="A27" s="157"/>
      <c r="B27" s="282"/>
      <c r="C27" s="2" t="s">
        <v>21</v>
      </c>
      <c r="D27" s="8"/>
      <c r="E27" s="7"/>
      <c r="G27" s="8"/>
      <c r="AB27" s="2" t="s">
        <v>21</v>
      </c>
      <c r="AC27" s="8">
        <f t="shared" si="2"/>
        <v>0</v>
      </c>
      <c r="AD27" s="15">
        <f t="shared" si="0"/>
        <v>0</v>
      </c>
    </row>
    <row r="28" spans="1:30" x14ac:dyDescent="0.15">
      <c r="A28" s="157"/>
      <c r="B28" s="282"/>
      <c r="C28" s="95" t="s">
        <v>538</v>
      </c>
      <c r="D28" s="8">
        <f>IF('STEP 3 - Edit Project Data'!$B$24="y",DefaultData!D39,'STEP 3 - Edit Project Data'!B54)</f>
        <v>4638518.6636323333</v>
      </c>
      <c r="E28" s="7">
        <f>IF('STEP 3 - Edit Project Data'!$B$24="y",IF('STEP 3 - Edit Project Data'!T$12=0,DefaultData!G39,'STEP 3 - Edit Project Data'!T54),'STEP 3 - Edit Project Data'!E54)</f>
        <v>0.9</v>
      </c>
      <c r="G28" s="8">
        <f>+E28*D28</f>
        <v>4174666.7972690999</v>
      </c>
      <c r="H28" s="25"/>
      <c r="I28" s="25">
        <f>G28</f>
        <v>4174666.7972690999</v>
      </c>
      <c r="J28" s="25"/>
      <c r="AB28" s="95" t="s">
        <v>538</v>
      </c>
      <c r="AC28" s="8">
        <f t="shared" ref="AC28:AD31" si="3">D28</f>
        <v>4638518.6636323333</v>
      </c>
      <c r="AD28" s="15">
        <f t="shared" si="3"/>
        <v>0.9</v>
      </c>
    </row>
    <row r="29" spans="1:30" x14ac:dyDescent="0.15">
      <c r="A29" s="157"/>
      <c r="B29" s="282"/>
      <c r="C29" s="95" t="s">
        <v>539</v>
      </c>
      <c r="D29" s="8">
        <f>IF('STEP 3 - Edit Project Data'!$B$24="y",DefaultData!D40,'STEP 3 - Edit Project Data'!B55)</f>
        <v>1987936.5701281431</v>
      </c>
      <c r="E29" s="7">
        <f>IF('STEP 3 - Edit Project Data'!$B$24="y",IF('STEP 3 - Edit Project Data'!T$12=0,DefaultData!G40,'STEP 3 - Edit Project Data'!T55),'STEP 3 - Edit Project Data'!E55)</f>
        <v>0.1</v>
      </c>
      <c r="G29" s="8">
        <f>+E29*D29</f>
        <v>198793.65701281431</v>
      </c>
      <c r="H29" s="25">
        <f>G29*H25</f>
        <v>177818.40783682873</v>
      </c>
      <c r="I29" s="25"/>
      <c r="J29" s="25">
        <f>G29*J25</f>
        <v>20975.249175985566</v>
      </c>
      <c r="Q29" s="22"/>
      <c r="R29" s="22"/>
      <c r="S29" s="42"/>
      <c r="AB29" s="95" t="s">
        <v>539</v>
      </c>
      <c r="AC29" s="8">
        <f t="shared" si="3"/>
        <v>1987936.5701281431</v>
      </c>
      <c r="AD29" s="15">
        <f t="shared" si="3"/>
        <v>0.1</v>
      </c>
    </row>
    <row r="30" spans="1:30" x14ac:dyDescent="0.15">
      <c r="A30" s="157"/>
      <c r="B30" s="282"/>
      <c r="C30" s="2" t="s">
        <v>307</v>
      </c>
      <c r="D30" s="8">
        <f>IF('STEP 3 - Edit Project Data'!$B$24="y",DefaultData!D41,'STEP 3 - Edit Project Data'!B56)</f>
        <v>2376670</v>
      </c>
      <c r="E30" s="7">
        <f>IF('STEP 3 - Edit Project Data'!$B$24="y",IF('STEP 3 - Edit Project Data'!T$12=0,DefaultData!G41,'STEP 3 - Edit Project Data'!T56),'STEP 3 - Edit Project Data'!E56)</f>
        <v>0</v>
      </c>
      <c r="G30" s="8">
        <f t="shared" si="1"/>
        <v>0</v>
      </c>
      <c r="S30" s="42"/>
      <c r="AB30" s="2" t="s">
        <v>307</v>
      </c>
      <c r="AC30" s="8">
        <f t="shared" si="3"/>
        <v>2376670</v>
      </c>
      <c r="AD30" s="15">
        <f t="shared" si="3"/>
        <v>0</v>
      </c>
    </row>
    <row r="31" spans="1:30" x14ac:dyDescent="0.15">
      <c r="A31" s="157"/>
      <c r="B31" s="282"/>
      <c r="C31" s="2" t="s">
        <v>308</v>
      </c>
      <c r="D31" s="8">
        <f>IF('STEP 3 - Edit Project Data'!$B$24="y",DefaultData!D42,'STEP 3 - Edit Project Data'!B57)</f>
        <v>716475.87847002619</v>
      </c>
      <c r="E31" s="7">
        <f>IF('STEP 3 - Edit Project Data'!$B$24="y",IF('STEP 3 - Edit Project Data'!T$12=0,DefaultData!G42,'STEP 3 - Edit Project Data'!T57),'STEP 3 - Edit Project Data'!E57)</f>
        <v>1</v>
      </c>
      <c r="G31" s="8">
        <f t="shared" si="1"/>
        <v>716475.87847002619</v>
      </c>
      <c r="I31" s="14">
        <f>I32-I33</f>
        <v>3.291800802540525</v>
      </c>
      <c r="AB31" s="2" t="s">
        <v>308</v>
      </c>
      <c r="AC31" s="8">
        <f t="shared" si="3"/>
        <v>716475.87847002619</v>
      </c>
      <c r="AD31" s="15">
        <f t="shared" si="3"/>
        <v>1</v>
      </c>
    </row>
    <row r="32" spans="1:30" x14ac:dyDescent="0.15">
      <c r="A32" s="157"/>
      <c r="B32" s="282"/>
      <c r="C32" s="2" t="s">
        <v>22</v>
      </c>
      <c r="D32" s="8">
        <f>IF('STEP 3 - Edit Project Data'!$B$24="y",DefaultData!D43,'STEP 3 - Edit Project Data'!B58)</f>
        <v>0</v>
      </c>
      <c r="E32" s="7">
        <f>IF('STEP 3 - Edit Project Data'!$B$24="y",IF('STEP 3 - Edit Project Data'!T$12=0,DefaultData!G43,'STEP 3 - Edit Project Data'!T58),'STEP 3 - Edit Project Data'!E58)</f>
        <v>1</v>
      </c>
      <c r="G32" s="8">
        <f t="shared" si="1"/>
        <v>0</v>
      </c>
      <c r="I32">
        <v>7.4929731707530109</v>
      </c>
      <c r="AB32" s="2" t="s">
        <v>22</v>
      </c>
      <c r="AC32" s="8">
        <f t="shared" si="2"/>
        <v>0</v>
      </c>
      <c r="AD32" s="15">
        <f t="shared" si="0"/>
        <v>1</v>
      </c>
    </row>
    <row r="33" spans="1:37" x14ac:dyDescent="0.15">
      <c r="A33" s="157"/>
      <c r="B33" s="282"/>
      <c r="C33" s="2" t="s">
        <v>23</v>
      </c>
      <c r="D33" s="8">
        <f>IF('STEP 3 - Edit Project Data'!$B$24="y",DefaultData!D44,'STEP 3 - Edit Project Data'!B59)</f>
        <v>437229.63951422449</v>
      </c>
      <c r="E33" s="7">
        <f>IF('STEP 3 - Edit Project Data'!$B$24="y",IF('STEP 3 - Edit Project Data'!T$12=0,DefaultData!G44,'STEP 3 - Edit Project Data'!T59),'STEP 3 - Edit Project Data'!E59)</f>
        <v>1</v>
      </c>
      <c r="G33" s="8">
        <f t="shared" si="1"/>
        <v>437229.63951422449</v>
      </c>
      <c r="H33" t="s">
        <v>517</v>
      </c>
      <c r="I33">
        <f>I55</f>
        <v>4.201172368212486</v>
      </c>
      <c r="J33">
        <f>I45-DefaultData!AQ28</f>
        <v>0.9990307539337806</v>
      </c>
      <c r="L33" t="s">
        <v>431</v>
      </c>
      <c r="M33" s="18">
        <f>M55*G60</f>
        <v>0.39055906642707366</v>
      </c>
      <c r="N33" s="14">
        <f>M45-H45</f>
        <v>0.16620686580508348</v>
      </c>
      <c r="P33" t="s">
        <v>431</v>
      </c>
      <c r="Q33" s="18">
        <f>Q55*G60</f>
        <v>0.73740839972767602</v>
      </c>
      <c r="R33" s="9">
        <f>(Q57-Q33-Q45)*G60</f>
        <v>10.453468520946339</v>
      </c>
      <c r="T33" s="261" t="s">
        <v>431</v>
      </c>
      <c r="U33" s="20">
        <f>U55*G60</f>
        <v>0.44751546994847446</v>
      </c>
      <c r="V33" s="9">
        <f>(U57-U33-U45)*K60</f>
        <v>0</v>
      </c>
      <c r="W33" s="261"/>
      <c r="X33" s="261"/>
      <c r="AB33" s="2" t="s">
        <v>23</v>
      </c>
      <c r="AC33" s="8">
        <f t="shared" si="2"/>
        <v>437229.63951422449</v>
      </c>
      <c r="AD33" s="15">
        <f t="shared" si="0"/>
        <v>1</v>
      </c>
    </row>
    <row r="34" spans="1:37" x14ac:dyDescent="0.15">
      <c r="A34" s="157"/>
      <c r="B34" s="282"/>
      <c r="C34" s="2" t="s">
        <v>13</v>
      </c>
      <c r="D34" s="8">
        <f>SUM(D28:D33)</f>
        <v>10156830.751744727</v>
      </c>
      <c r="E34" s="7"/>
      <c r="G34" s="8">
        <f>+E34*D34+SUM(G28:G33)</f>
        <v>5527165.9722661646</v>
      </c>
      <c r="H34" t="s">
        <v>430</v>
      </c>
      <c r="I34">
        <f>I57-I45-I37-I33</f>
        <v>5.6916257398978907</v>
      </c>
      <c r="L34" t="s">
        <v>430</v>
      </c>
      <c r="M34" s="18">
        <f>((M57-M45)*G60)-M37-M33</f>
        <v>0.26644193837601488</v>
      </c>
      <c r="P34" t="s">
        <v>430</v>
      </c>
      <c r="Q34" s="18">
        <f>((Q57-Q45)*G60)-Q37-Q33</f>
        <v>0.6478508733930407</v>
      </c>
      <c r="T34" s="261" t="s">
        <v>430</v>
      </c>
      <c r="U34" s="20">
        <f>((U57-U45)*G60)-U37-U33</f>
        <v>0.39539497764267661</v>
      </c>
      <c r="V34" s="261"/>
      <c r="W34" s="261"/>
      <c r="X34" s="261"/>
      <c r="AB34" s="33" t="s">
        <v>244</v>
      </c>
      <c r="AC34" s="8">
        <f t="shared" si="2"/>
        <v>10156830.751744727</v>
      </c>
      <c r="AD34" s="15"/>
    </row>
    <row r="35" spans="1:37" ht="14" x14ac:dyDescent="0.15">
      <c r="A35" s="157"/>
      <c r="B35" s="282"/>
      <c r="C35" s="4" t="s">
        <v>574</v>
      </c>
      <c r="D35" s="8">
        <f>D34+D25+D19</f>
        <v>387183997.80574942</v>
      </c>
      <c r="E35" s="7"/>
      <c r="G35" s="8">
        <f>G34+G25+G19</f>
        <v>40769889.985603385</v>
      </c>
      <c r="M35" s="18"/>
      <c r="Q35" s="18"/>
      <c r="T35" s="261"/>
      <c r="U35" s="18"/>
      <c r="V35" s="261"/>
      <c r="W35" s="261"/>
      <c r="X35" s="261"/>
      <c r="AB35" s="4" t="s">
        <v>574</v>
      </c>
      <c r="AC35" s="8">
        <f t="shared" si="2"/>
        <v>387183997.80574942</v>
      </c>
      <c r="AD35" s="15"/>
    </row>
    <row r="36" spans="1:37" ht="28" x14ac:dyDescent="0.15">
      <c r="A36" s="157"/>
      <c r="B36" s="282"/>
      <c r="C36" s="223" t="s">
        <v>575</v>
      </c>
      <c r="D36" s="8">
        <f>IF('STEP 3 - Edit Project Data'!$B$24="y",DefaultData!D47,'STEP 3 - Edit Project Data'!B63)</f>
        <v>9535427.1802622247</v>
      </c>
      <c r="E36" s="7">
        <f>IF('STEP 3 - Edit Project Data'!$B$24="y",IF('STEP 3 - Edit Project Data'!T$12=0,DefaultData!G47,'STEP 3 - Edit Project Data'!T63),'STEP 3 - Edit Project Data'!E63)</f>
        <v>1</v>
      </c>
      <c r="G36" s="8">
        <f>+E36*D36</f>
        <v>9535427.1802622247</v>
      </c>
      <c r="M36" s="18"/>
      <c r="Q36" s="18"/>
      <c r="T36" s="261"/>
      <c r="U36" s="18"/>
      <c r="V36" s="261"/>
      <c r="W36" s="261"/>
      <c r="X36" s="261"/>
      <c r="AB36" s="223" t="s">
        <v>575</v>
      </c>
      <c r="AC36" s="8">
        <f t="shared" si="2"/>
        <v>9535427.1802622247</v>
      </c>
      <c r="AD36" s="15">
        <f t="shared" si="2"/>
        <v>1</v>
      </c>
    </row>
    <row r="37" spans="1:37" ht="14" x14ac:dyDescent="0.15">
      <c r="A37" s="157"/>
      <c r="B37" s="282"/>
      <c r="C37" s="4" t="s">
        <v>16</v>
      </c>
      <c r="D37" s="8">
        <f>D36+D35</f>
        <v>396719424.98601162</v>
      </c>
      <c r="E37" s="7"/>
      <c r="G37" s="8">
        <f>+G34+G25+G19</f>
        <v>40769889.985603385</v>
      </c>
      <c r="H37" t="s">
        <v>407</v>
      </c>
      <c r="I37">
        <f>I46+I47+I48+I49</f>
        <v>20.298767884912898</v>
      </c>
      <c r="J37">
        <f>J46+J47+J48+J49</f>
        <v>22.023354250977256</v>
      </c>
      <c r="L37" t="s">
        <v>408</v>
      </c>
      <c r="M37" s="18">
        <f>(M46+M47+M48+M49)*$G60</f>
        <v>1.7477397937578341</v>
      </c>
      <c r="N37" s="18">
        <f>(N46+N47+N48+N49)*$G60</f>
        <v>1.5477757418997362</v>
      </c>
      <c r="P37" t="s">
        <v>432</v>
      </c>
      <c r="Q37" s="18">
        <f>(Q46+Q47+Q48+Q49)*$G60</f>
        <v>9.857088753854292</v>
      </c>
      <c r="R37" s="18">
        <f>(R46+R47+R48+R49)*$G60</f>
        <v>4.4349834130759858</v>
      </c>
      <c r="T37" s="261" t="s">
        <v>432</v>
      </c>
      <c r="U37" s="18">
        <f>(U46+U47+U48+U49)*$G60</f>
        <v>3.0996703332766189</v>
      </c>
      <c r="V37" s="18">
        <f>(V46+V47+V48+V49)*$G60</f>
        <v>2.3079714789687298</v>
      </c>
      <c r="W37" s="261"/>
      <c r="X37" s="261"/>
      <c r="AB37" s="29" t="s">
        <v>276</v>
      </c>
      <c r="AC37" s="8">
        <f t="shared" si="2"/>
        <v>396719424.98601162</v>
      </c>
      <c r="AD37" s="45">
        <f>AC37/('STEP 3 - Edit Project Data'!B16*1000)</f>
        <v>1322.3980832867055</v>
      </c>
    </row>
    <row r="38" spans="1:37" ht="16" x14ac:dyDescent="0.2">
      <c r="A38" s="157"/>
      <c r="B38" s="282"/>
      <c r="C38" s="2"/>
      <c r="D38" s="8">
        <f>D37/(DefaultData!E5*1000)</f>
        <v>1322.3980832867055</v>
      </c>
      <c r="E38" s="7"/>
      <c r="G38" s="8"/>
      <c r="I38" s="22">
        <f>I39/'STEP 3 - Edit Project Data'!$B16</f>
        <v>6.7662559616376322E-2</v>
      </c>
      <c r="J38" s="22">
        <f>J39/'STEP 3 - Edit Project Data'!$B16</f>
        <v>7.3411180836590859E-2</v>
      </c>
      <c r="K38" s="22">
        <f>K39/'STEP 3 - Edit Project Data'!$B16</f>
        <v>6.4200259680030403E-2</v>
      </c>
      <c r="L38" s="22">
        <f>L39/'STEP 3 - Edit Project Data'!$B16</f>
        <v>0.20527400013299757</v>
      </c>
      <c r="P38">
        <f>+$G60*P39</f>
        <v>4.3580732233534061</v>
      </c>
      <c r="T38">
        <f>+$G60*T39</f>
        <v>17.444312498089058</v>
      </c>
      <c r="U38" s="261"/>
      <c r="V38" s="261"/>
      <c r="W38" s="261"/>
      <c r="X38" s="261">
        <f>+$G60*X39</f>
        <v>7.2424143288880947</v>
      </c>
      <c r="AD38" s="10"/>
      <c r="AG38" s="168" t="s">
        <v>200</v>
      </c>
      <c r="AH38" s="103"/>
      <c r="AI38" s="103"/>
      <c r="AJ38" s="103"/>
    </row>
    <row r="39" spans="1:37" ht="14" x14ac:dyDescent="0.15">
      <c r="A39" s="157"/>
      <c r="B39" s="282"/>
      <c r="C39" t="s">
        <v>140</v>
      </c>
      <c r="D39">
        <f>+'STEP 3 - Edit Project Data'!B22</f>
        <v>2020</v>
      </c>
      <c r="F39" s="99" t="str">
        <f>CONCATENATE("Convert to ",Deflators!E4, " dollars")</f>
        <v>Convert to 2016 dollars</v>
      </c>
      <c r="G39" s="28">
        <f>Deflators!F7</f>
        <v>0.93469999999999998</v>
      </c>
      <c r="I39" s="12">
        <f>SUM(I46:I49)</f>
        <v>20.298767884912898</v>
      </c>
      <c r="J39" s="12">
        <f t="shared" ref="J39:T39" si="4">SUM(J46:J49)</f>
        <v>22.023354250977256</v>
      </c>
      <c r="K39" s="12">
        <f t="shared" si="4"/>
        <v>19.260077904009119</v>
      </c>
      <c r="L39" s="12">
        <f t="shared" si="4"/>
        <v>61.58220003989927</v>
      </c>
      <c r="M39" s="12">
        <f t="shared" si="4"/>
        <v>1.633707042211473</v>
      </c>
      <c r="N39" s="12">
        <f t="shared" si="4"/>
        <v>1.446789812955446</v>
      </c>
      <c r="O39" s="12">
        <f t="shared" si="4"/>
        <v>0.9932302184481554</v>
      </c>
      <c r="P39" s="12">
        <f t="shared" si="4"/>
        <v>4.0737270736150739</v>
      </c>
      <c r="Q39" s="12">
        <f t="shared" si="4"/>
        <v>9.2139547147637799</v>
      </c>
      <c r="R39" s="12">
        <f t="shared" si="4"/>
        <v>4.1456191933781881</v>
      </c>
      <c r="S39" s="12">
        <f t="shared" si="4"/>
        <v>2.9465697617861069</v>
      </c>
      <c r="T39" s="12">
        <f t="shared" si="4"/>
        <v>16.306143669928076</v>
      </c>
      <c r="U39" s="12">
        <f t="shared" ref="U39:X39" si="5">SUM(U46:U49)</f>
        <v>2.8974297375926517</v>
      </c>
      <c r="V39" s="12">
        <f t="shared" si="5"/>
        <v>2.1573859403334543</v>
      </c>
      <c r="W39" s="12">
        <f t="shared" si="5"/>
        <v>1.7150612419543336</v>
      </c>
      <c r="X39" s="12">
        <f t="shared" si="5"/>
        <v>6.7698769198804394</v>
      </c>
      <c r="AB39" s="29" t="s">
        <v>166</v>
      </c>
      <c r="AD39" s="10"/>
      <c r="AG39" s="103"/>
      <c r="AH39" s="167" t="s">
        <v>75</v>
      </c>
      <c r="AI39" s="167" t="s">
        <v>198</v>
      </c>
      <c r="AJ39" s="167" t="s">
        <v>199</v>
      </c>
      <c r="AK39" s="275" t="s">
        <v>631</v>
      </c>
    </row>
    <row r="40" spans="1:37" x14ac:dyDescent="0.15">
      <c r="A40" s="157"/>
      <c r="B40" s="282"/>
      <c r="C40" s="17" t="s">
        <v>406</v>
      </c>
      <c r="F40" s="25">
        <f>SUM(F3:F39)</f>
        <v>0</v>
      </c>
      <c r="G40" s="26"/>
      <c r="I40">
        <f>(M45*10^6)/I45</f>
        <v>139022.51346867849</v>
      </c>
      <c r="M40" s="10">
        <f>Deflators!E4</f>
        <v>2016</v>
      </c>
      <c r="N40" t="s">
        <v>190</v>
      </c>
      <c r="Q40">
        <f>M40</f>
        <v>2016</v>
      </c>
      <c r="R40" t="s">
        <v>190</v>
      </c>
      <c r="U40" s="261">
        <f>Q40</f>
        <v>2016</v>
      </c>
      <c r="V40" s="261" t="s">
        <v>190</v>
      </c>
      <c r="W40" s="261"/>
      <c r="X40" s="261"/>
      <c r="AC40" s="11" t="s">
        <v>133</v>
      </c>
      <c r="AD40" s="11" t="s">
        <v>18</v>
      </c>
      <c r="AG40" s="75" t="s">
        <v>165</v>
      </c>
      <c r="AH40" s="113"/>
      <c r="AI40" s="113"/>
      <c r="AJ40" s="113"/>
      <c r="AK40" s="113"/>
    </row>
    <row r="41" spans="1:37" ht="14" x14ac:dyDescent="0.15">
      <c r="A41" s="157"/>
      <c r="B41" s="282"/>
      <c r="D41" s="24" t="s">
        <v>138</v>
      </c>
      <c r="F41" t="s">
        <v>16</v>
      </c>
      <c r="G41" t="s">
        <v>139</v>
      </c>
      <c r="I41" s="11" t="s">
        <v>75</v>
      </c>
      <c r="J41" s="11" t="s">
        <v>75</v>
      </c>
      <c r="K41" s="11" t="s">
        <v>75</v>
      </c>
      <c r="L41" s="11" t="s">
        <v>75</v>
      </c>
      <c r="M41" s="11" t="s">
        <v>198</v>
      </c>
      <c r="N41" s="11"/>
      <c r="O41" s="11"/>
      <c r="P41" s="11"/>
      <c r="Q41" s="11" t="s">
        <v>199</v>
      </c>
      <c r="U41" s="11" t="s">
        <v>631</v>
      </c>
      <c r="V41" s="261"/>
      <c r="W41" s="261"/>
      <c r="X41" s="261"/>
      <c r="AB41" s="3" t="s">
        <v>455</v>
      </c>
      <c r="AG41" s="87" t="s">
        <v>163</v>
      </c>
      <c r="AH41" s="122">
        <f>AH42+AH43</f>
        <v>80.108577481530801</v>
      </c>
      <c r="AI41" s="164">
        <f>AI42+AI43</f>
        <v>11.679985425997568</v>
      </c>
      <c r="AJ41" s="164">
        <f>AJ42+AJ43</f>
        <v>12.02683475929817</v>
      </c>
      <c r="AK41" s="164">
        <f>AK42+AK43</f>
        <v>11.736941829518969</v>
      </c>
    </row>
    <row r="42" spans="1:37" ht="14" x14ac:dyDescent="0.15">
      <c r="A42" s="157"/>
      <c r="B42" s="282"/>
      <c r="G42" s="99" t="str">
        <f>CONCATENATE("Millions of ",Deflators!E4, " dollars")</f>
        <v>Millions of 2016 dollars</v>
      </c>
      <c r="H42">
        <f>H43/29</f>
        <v>5731.2712346580629</v>
      </c>
      <c r="I42" s="11" t="s">
        <v>145</v>
      </c>
      <c r="J42" s="11" t="s">
        <v>146</v>
      </c>
      <c r="K42" s="11" t="s">
        <v>147</v>
      </c>
      <c r="L42" s="11" t="s">
        <v>16</v>
      </c>
      <c r="M42" s="11" t="s">
        <v>145</v>
      </c>
      <c r="N42" s="11" t="s">
        <v>146</v>
      </c>
      <c r="O42" s="11" t="s">
        <v>147</v>
      </c>
      <c r="P42" s="11" t="s">
        <v>16</v>
      </c>
      <c r="Q42" s="11" t="s">
        <v>145</v>
      </c>
      <c r="R42" s="11" t="s">
        <v>146</v>
      </c>
      <c r="S42" s="11" t="s">
        <v>147</v>
      </c>
      <c r="T42" s="11" t="s">
        <v>16</v>
      </c>
      <c r="U42" s="11" t="s">
        <v>145</v>
      </c>
      <c r="V42" s="11" t="s">
        <v>146</v>
      </c>
      <c r="W42" s="11" t="s">
        <v>147</v>
      </c>
      <c r="X42" s="11" t="s">
        <v>16</v>
      </c>
      <c r="AB42" s="29" t="s">
        <v>167</v>
      </c>
      <c r="AD42" s="10"/>
      <c r="AG42" s="82" t="s">
        <v>434</v>
      </c>
      <c r="AH42" s="122">
        <f>I45</f>
        <v>75.907405113318319</v>
      </c>
      <c r="AI42" s="164">
        <f>M45*G60</f>
        <v>11.289426359570495</v>
      </c>
      <c r="AJ42" s="164">
        <f>Q45*$G60</f>
        <v>11.289426359570495</v>
      </c>
      <c r="AK42" s="164">
        <f>U45*$G60</f>
        <v>11.289426359570495</v>
      </c>
    </row>
    <row r="43" spans="1:37" ht="17" x14ac:dyDescent="0.15">
      <c r="A43" s="157"/>
      <c r="B43" s="282"/>
      <c r="C43" s="6" t="s">
        <v>76</v>
      </c>
      <c r="D43" s="8">
        <f>E141</f>
        <v>0</v>
      </c>
      <c r="F43" s="8">
        <f>D43</f>
        <v>0</v>
      </c>
      <c r="G43" s="18">
        <f t="shared" ref="G43:G56" si="6">F43*G$39/10^6</f>
        <v>0</v>
      </c>
      <c r="H43" s="8">
        <f>H46*10^6</f>
        <v>166206.86580508383</v>
      </c>
      <c r="I43" s="22">
        <f>+G43*Multipliers!D213</f>
        <v>0</v>
      </c>
      <c r="J43" s="21">
        <f>+$G43*Multipliers!E213</f>
        <v>0</v>
      </c>
      <c r="K43" s="21">
        <f>+$G43*Multipliers!F213</f>
        <v>0</v>
      </c>
      <c r="L43" s="12">
        <f>+K43+J43+I43</f>
        <v>0</v>
      </c>
      <c r="M43" s="18">
        <f>+$G43*Multipliers!H213</f>
        <v>0</v>
      </c>
      <c r="N43" s="18">
        <f>+$G43*Multipliers!I213</f>
        <v>0</v>
      </c>
      <c r="O43" s="18">
        <f>+$G43*Multipliers!J213</f>
        <v>0</v>
      </c>
      <c r="P43" s="18">
        <f>+O43+N43+M43</f>
        <v>0</v>
      </c>
      <c r="Q43" s="18">
        <f>+$G43*Multipliers!L213</f>
        <v>0</v>
      </c>
      <c r="R43" s="18">
        <f>+$G43*Multipliers!M213</f>
        <v>0</v>
      </c>
      <c r="S43" s="18">
        <f>+$G43*Multipliers!N213</f>
        <v>0</v>
      </c>
      <c r="T43" s="18">
        <f>+S43+R43+Q43</f>
        <v>0</v>
      </c>
      <c r="U43" s="18">
        <f>+$G43*Multipliers!P213</f>
        <v>0</v>
      </c>
      <c r="V43" s="18">
        <f>+$G43*Multipliers!Q213</f>
        <v>0</v>
      </c>
      <c r="W43" s="18">
        <f>+$G43*Multipliers!R213</f>
        <v>0</v>
      </c>
      <c r="X43" s="18">
        <f>+W43+V43+U43</f>
        <v>0</v>
      </c>
      <c r="AB43" s="2" t="s">
        <v>168</v>
      </c>
      <c r="AC43" s="8">
        <f t="shared" ref="AC43:AD45" si="7">D66</f>
        <v>654949.51326797565</v>
      </c>
      <c r="AD43" s="15">
        <f t="shared" si="7"/>
        <v>1</v>
      </c>
      <c r="AG43" t="s">
        <v>433</v>
      </c>
      <c r="AH43" s="10">
        <f>I33</f>
        <v>4.201172368212486</v>
      </c>
      <c r="AI43" s="150">
        <f>M33</f>
        <v>0.39055906642707366</v>
      </c>
      <c r="AJ43" s="150">
        <f>Q33</f>
        <v>0.73740839972767602</v>
      </c>
      <c r="AK43" s="150">
        <f>U33</f>
        <v>0.44751546994847446</v>
      </c>
    </row>
    <row r="44" spans="1:37" ht="17" x14ac:dyDescent="0.15">
      <c r="A44" s="157"/>
      <c r="B44" s="282"/>
      <c r="C44" s="6" t="s">
        <v>148</v>
      </c>
      <c r="D44" s="8">
        <f t="shared" ref="D44:D56" si="8">E142</f>
        <v>0</v>
      </c>
      <c r="F44" s="8">
        <f t="shared" ref="F44:F56" si="9">D44</f>
        <v>0</v>
      </c>
      <c r="G44" s="18">
        <f t="shared" si="6"/>
        <v>0</v>
      </c>
      <c r="H44" s="45" t="s">
        <v>403</v>
      </c>
      <c r="I44" s="22">
        <f>+G44*Multipliers!D214</f>
        <v>0</v>
      </c>
      <c r="J44" s="21">
        <f>+$G44*Multipliers!E214</f>
        <v>0</v>
      </c>
      <c r="K44" s="21">
        <f>+$G44*Multipliers!F214</f>
        <v>0</v>
      </c>
      <c r="L44" s="12">
        <f t="shared" ref="L44:L56" si="10">+K44+J44+I44</f>
        <v>0</v>
      </c>
      <c r="M44" s="18">
        <f>+$G44*Multipliers!H214</f>
        <v>0</v>
      </c>
      <c r="N44" s="18">
        <f>+$G44*Multipliers!I214</f>
        <v>0</v>
      </c>
      <c r="O44" s="18">
        <f>+$G44*Multipliers!J214</f>
        <v>0</v>
      </c>
      <c r="P44" s="18">
        <f t="shared" ref="P44:P56" si="11">+O44+N44+M44</f>
        <v>0</v>
      </c>
      <c r="Q44" s="18">
        <f>+$G44*Multipliers!L214</f>
        <v>0</v>
      </c>
      <c r="R44" s="18">
        <f>+$G44*Multipliers!M214</f>
        <v>0</v>
      </c>
      <c r="S44" s="18">
        <f>+$G44*Multipliers!N214</f>
        <v>0</v>
      </c>
      <c r="T44" s="18">
        <f t="shared" ref="T44:T56" si="12">+S44+R44+Q44</f>
        <v>0</v>
      </c>
      <c r="U44" s="18">
        <f>+$G44*Multipliers!P214</f>
        <v>0</v>
      </c>
      <c r="V44" s="18">
        <f>+$G44*Multipliers!Q214</f>
        <v>0</v>
      </c>
      <c r="W44" s="18">
        <f>+$G44*Multipliers!R214</f>
        <v>0</v>
      </c>
      <c r="X44" s="18">
        <f t="shared" ref="X44:X56" si="13">+W44+V44+U44</f>
        <v>0</v>
      </c>
      <c r="AB44" s="2" t="s">
        <v>169</v>
      </c>
      <c r="AC44" s="8">
        <f t="shared" si="7"/>
        <v>82097.395480421284</v>
      </c>
      <c r="AD44" s="15">
        <f t="shared" si="7"/>
        <v>1</v>
      </c>
      <c r="AG44" s="121" t="s">
        <v>210</v>
      </c>
      <c r="AH44" s="10">
        <f>I34+I37+J57</f>
        <v>218.24863198170038</v>
      </c>
      <c r="AI44" s="150">
        <f>M34+M37+N60</f>
        <v>14.044672442358978</v>
      </c>
      <c r="AJ44" s="150">
        <f>+Q34+Q37+R60</f>
        <v>44.607295708389202</v>
      </c>
      <c r="AK44" s="150">
        <f>+U34+U37+V60</f>
        <v>21.172639523435446</v>
      </c>
    </row>
    <row r="45" spans="1:37" ht="17" x14ac:dyDescent="0.15">
      <c r="A45" s="157"/>
      <c r="B45" s="282"/>
      <c r="C45" s="6" t="s">
        <v>77</v>
      </c>
      <c r="D45" s="8">
        <f t="shared" si="8"/>
        <v>29089660.899726231</v>
      </c>
      <c r="F45" s="8">
        <f t="shared" si="9"/>
        <v>29089660.899726231</v>
      </c>
      <c r="G45" s="18">
        <f t="shared" si="6"/>
        <v>27.190106042974108</v>
      </c>
      <c r="H45" s="150">
        <f>H18*G39/10^6</f>
        <v>10.386631383933647</v>
      </c>
      <c r="I45" s="22">
        <f>+(H46*Multipliers!D215)+DefaultData!AQ28</f>
        <v>75.907405113318319</v>
      </c>
      <c r="J45" s="21">
        <f>($G45*Multipliers!E215)+(H47*Multipliers!D215)</f>
        <v>163.89792385990035</v>
      </c>
      <c r="K45" s="21">
        <f>+$G45*Multipliers!F215</f>
        <v>83.040955045578428</v>
      </c>
      <c r="L45" s="12">
        <f t="shared" si="10"/>
        <v>322.84628401879706</v>
      </c>
      <c r="M45" s="18">
        <f>H45+H46</f>
        <v>10.552838249738731</v>
      </c>
      <c r="N45" s="18">
        <f>(G45*Multipliers!I215)+(H47*Multipliers!H215)</f>
        <v>9.3877316829924595</v>
      </c>
      <c r="O45" s="18">
        <f>+$G45*Multipliers!J215</f>
        <v>4.1755840678365379</v>
      </c>
      <c r="P45" s="18">
        <f t="shared" si="11"/>
        <v>24.116154000567729</v>
      </c>
      <c r="Q45" s="18">
        <f>($H46*Multipliers!L215)+(H45*Multipliers!L215)</f>
        <v>10.552838249738731</v>
      </c>
      <c r="R45" s="18">
        <f>($G45*Multipliers!M215)+(H47*Multipliers!L215)</f>
        <v>26.611781491063486</v>
      </c>
      <c r="S45" s="18">
        <f>+$G45*Multipliers!N215</f>
        <v>12.388569430089198</v>
      </c>
      <c r="T45" s="18">
        <f t="shared" si="12"/>
        <v>49.553189170891415</v>
      </c>
      <c r="U45" s="18">
        <f>($H46)+(H45)</f>
        <v>10.552838249738731</v>
      </c>
      <c r="V45" s="20">
        <f>($G45*Multipliers!Q215)+(H47*Multipliers!P215)</f>
        <v>13.733453316012529</v>
      </c>
      <c r="W45" s="18">
        <f>+$G45*Multipliers!R215</f>
        <v>7.2115398284215582</v>
      </c>
      <c r="X45" s="18">
        <f t="shared" si="13"/>
        <v>31.497831394172817</v>
      </c>
      <c r="AB45" s="2" t="s">
        <v>170</v>
      </c>
      <c r="AC45" s="8">
        <f t="shared" si="7"/>
        <v>106994.11327050562</v>
      </c>
      <c r="AD45" s="15">
        <f t="shared" si="7"/>
        <v>1</v>
      </c>
      <c r="AG45" s="121" t="s">
        <v>211</v>
      </c>
      <c r="AH45" s="122">
        <f>K57</f>
        <v>146.92079394031387</v>
      </c>
      <c r="AI45" s="164">
        <f>O60</f>
        <v>8.3955396712931076</v>
      </c>
      <c r="AJ45" s="164">
        <f>S60</f>
        <v>24.907166570973654</v>
      </c>
      <c r="AK45" s="164">
        <f>W60</f>
        <v>14.497619962730282</v>
      </c>
    </row>
    <row r="46" spans="1:37" ht="17" x14ac:dyDescent="0.15">
      <c r="A46" s="157"/>
      <c r="B46" s="282"/>
      <c r="C46" s="6" t="s">
        <v>149</v>
      </c>
      <c r="D46" s="8">
        <f t="shared" si="8"/>
        <v>9857659.9066692833</v>
      </c>
      <c r="F46" s="8">
        <f t="shared" si="9"/>
        <v>9857659.9066692833</v>
      </c>
      <c r="G46" s="18">
        <f t="shared" si="6"/>
        <v>9.2139547147637799</v>
      </c>
      <c r="H46" s="150">
        <f>H29/10^6*G39</f>
        <v>0.16620686580508381</v>
      </c>
      <c r="I46" s="22">
        <f>+G46*Multipliers!D216</f>
        <v>20.298767884912898</v>
      </c>
      <c r="J46" s="21">
        <f>+$G46*Multipliers!E216</f>
        <v>22.023354250977256</v>
      </c>
      <c r="K46" s="21">
        <f>+$G46*Multipliers!F216</f>
        <v>19.260077904009119</v>
      </c>
      <c r="L46" s="12">
        <f t="shared" si="10"/>
        <v>61.58220003989927</v>
      </c>
      <c r="M46" s="18">
        <f>+$G46*Multipliers!H216</f>
        <v>1.633707042211473</v>
      </c>
      <c r="N46" s="18">
        <f>+$G46*Multipliers!I216</f>
        <v>1.446789812955446</v>
      </c>
      <c r="O46" s="18">
        <f>+$G46*Multipliers!J216</f>
        <v>0.9932302184481554</v>
      </c>
      <c r="P46" s="18">
        <f t="shared" si="11"/>
        <v>4.0737270736150739</v>
      </c>
      <c r="Q46" s="18">
        <f>+$G46*Multipliers!L216</f>
        <v>9.2139547147637799</v>
      </c>
      <c r="R46" s="18">
        <f>+$G46*Multipliers!M216</f>
        <v>4.1456191933781881</v>
      </c>
      <c r="S46" s="18">
        <f>+$G46*Multipliers!N216</f>
        <v>2.9465697617861069</v>
      </c>
      <c r="T46" s="18">
        <f t="shared" si="12"/>
        <v>16.306143669928076</v>
      </c>
      <c r="U46" s="18">
        <f>+$G46*Multipliers!P216</f>
        <v>2.8974297375926517</v>
      </c>
      <c r="V46" s="18">
        <f>+$G46*Multipliers!Q216</f>
        <v>2.1573859403334543</v>
      </c>
      <c r="W46" s="18">
        <f>+$G46*Multipliers!R216</f>
        <v>1.7150612419543336</v>
      </c>
      <c r="X46" s="18">
        <f t="shared" si="13"/>
        <v>6.7698769198804394</v>
      </c>
      <c r="AB46" s="33" t="s">
        <v>245</v>
      </c>
      <c r="AC46" s="8">
        <f>D69</f>
        <v>844041.02201890259</v>
      </c>
      <c r="AD46" s="15"/>
      <c r="AG46" s="113" t="s">
        <v>164</v>
      </c>
      <c r="AH46" s="147">
        <f>AH45+AH44+AH41</f>
        <v>445.27800340354509</v>
      </c>
      <c r="AI46" s="166">
        <f>AI45+AI44+AI41</f>
        <v>34.120197539649652</v>
      </c>
      <c r="AJ46" s="166">
        <f>AJ45+AJ44+AJ41</f>
        <v>81.541297038661028</v>
      </c>
      <c r="AK46" s="166">
        <f>AK45+AK44+AK41</f>
        <v>47.407201315684695</v>
      </c>
    </row>
    <row r="47" spans="1:37" ht="13.5" customHeight="1" x14ac:dyDescent="0.15">
      <c r="A47" s="157"/>
      <c r="B47" s="282"/>
      <c r="C47" s="6" t="s">
        <v>150</v>
      </c>
      <c r="D47" s="8">
        <f t="shared" si="8"/>
        <v>0</v>
      </c>
      <c r="F47" s="8">
        <f t="shared" si="9"/>
        <v>0</v>
      </c>
      <c r="G47" s="18">
        <f t="shared" si="6"/>
        <v>0</v>
      </c>
      <c r="H47" s="150">
        <f>G45-(H45+H46)</f>
        <v>16.637267793235377</v>
      </c>
      <c r="I47" s="22">
        <f>+G47*Multipliers!D217</f>
        <v>0</v>
      </c>
      <c r="J47" s="21">
        <f>+$G47*Multipliers!E217</f>
        <v>0</v>
      </c>
      <c r="K47" s="21">
        <f>+$G47*Multipliers!F217</f>
        <v>0</v>
      </c>
      <c r="L47" s="12">
        <f t="shared" si="10"/>
        <v>0</v>
      </c>
      <c r="M47" s="18">
        <f>+$G47*Multipliers!H217</f>
        <v>0</v>
      </c>
      <c r="N47" s="18">
        <f>+$G47*Multipliers!I217</f>
        <v>0</v>
      </c>
      <c r="O47" s="18">
        <f>+$G47*Multipliers!J217</f>
        <v>0</v>
      </c>
      <c r="P47" s="18">
        <f t="shared" si="11"/>
        <v>0</v>
      </c>
      <c r="Q47" s="18">
        <f>+$G47*Multipliers!L217</f>
        <v>0</v>
      </c>
      <c r="R47" s="18">
        <f>+$G47*Multipliers!M217</f>
        <v>0</v>
      </c>
      <c r="S47" s="18">
        <f>+$G47*Multipliers!N217</f>
        <v>0</v>
      </c>
      <c r="T47" s="18">
        <f t="shared" si="12"/>
        <v>0</v>
      </c>
      <c r="U47" s="18">
        <f>+$G47*Multipliers!P217</f>
        <v>0</v>
      </c>
      <c r="V47" s="18">
        <f>+$G47*Multipliers!Q217</f>
        <v>0</v>
      </c>
      <c r="W47" s="18">
        <f>+$G47*Multipliers!R217</f>
        <v>0</v>
      </c>
      <c r="X47" s="18">
        <f t="shared" si="13"/>
        <v>0</v>
      </c>
      <c r="AB47" s="185" t="s">
        <v>452</v>
      </c>
      <c r="AC47" s="8">
        <f>D70</f>
        <v>0</v>
      </c>
      <c r="AD47" s="15">
        <f>E70</f>
        <v>0</v>
      </c>
      <c r="AG47" s="49"/>
      <c r="AH47" s="122"/>
      <c r="AI47" s="164"/>
      <c r="AJ47" s="164"/>
      <c r="AK47" s="164"/>
    </row>
    <row r="48" spans="1:37" ht="17" x14ac:dyDescent="0.15">
      <c r="A48" s="157"/>
      <c r="B48" s="282"/>
      <c r="C48" s="6" t="s">
        <v>151</v>
      </c>
      <c r="D48" s="8">
        <f t="shared" si="8"/>
        <v>0</v>
      </c>
      <c r="F48" s="8">
        <f t="shared" si="9"/>
        <v>0</v>
      </c>
      <c r="G48" s="18">
        <f t="shared" si="6"/>
        <v>0</v>
      </c>
      <c r="H48" s="8"/>
      <c r="I48" s="22">
        <f>+G48*Multipliers!D218</f>
        <v>0</v>
      </c>
      <c r="J48" s="21">
        <f>+$G48*Multipliers!E218</f>
        <v>0</v>
      </c>
      <c r="K48" s="21">
        <f>+$G48*Multipliers!F218</f>
        <v>0</v>
      </c>
      <c r="L48" s="12">
        <f t="shared" si="10"/>
        <v>0</v>
      </c>
      <c r="M48" s="18">
        <f>+$G48*Multipliers!H218</f>
        <v>0</v>
      </c>
      <c r="N48" s="18">
        <f>+$G48*Multipliers!I218</f>
        <v>0</v>
      </c>
      <c r="O48" s="18">
        <f>+$G48*Multipliers!J218</f>
        <v>0</v>
      </c>
      <c r="P48" s="18">
        <f t="shared" si="11"/>
        <v>0</v>
      </c>
      <c r="Q48" s="18">
        <f>+$G48*Multipliers!L218</f>
        <v>0</v>
      </c>
      <c r="R48" s="18">
        <f>+$G48*Multipliers!M218</f>
        <v>0</v>
      </c>
      <c r="S48" s="18">
        <f>+$G48*Multipliers!N218</f>
        <v>0</v>
      </c>
      <c r="T48" s="18">
        <f t="shared" si="12"/>
        <v>0</v>
      </c>
      <c r="U48" s="18">
        <f>+$G48*Multipliers!P218</f>
        <v>0</v>
      </c>
      <c r="V48" s="18">
        <f>+$G48*Multipliers!Q218</f>
        <v>0</v>
      </c>
      <c r="W48" s="18">
        <f>+$G48*Multipliers!R218</f>
        <v>0</v>
      </c>
      <c r="X48" s="18">
        <f t="shared" si="13"/>
        <v>0</v>
      </c>
      <c r="AB48" s="185" t="s">
        <v>16</v>
      </c>
      <c r="AC48" s="8">
        <f>D71</f>
        <v>844041.02201890259</v>
      </c>
      <c r="AG48" s="75" t="s">
        <v>328</v>
      </c>
      <c r="AH48" s="87"/>
      <c r="AI48" s="165"/>
      <c r="AJ48" s="164"/>
      <c r="AK48" s="164"/>
    </row>
    <row r="49" spans="1:37" ht="17" x14ac:dyDescent="0.15">
      <c r="A49" s="157"/>
      <c r="B49" s="282"/>
      <c r="C49" s="6" t="s">
        <v>152</v>
      </c>
      <c r="D49" s="8">
        <f t="shared" si="8"/>
        <v>0</v>
      </c>
      <c r="F49" s="8">
        <f t="shared" si="9"/>
        <v>0</v>
      </c>
      <c r="G49" s="18">
        <f t="shared" si="6"/>
        <v>0</v>
      </c>
      <c r="H49" s="22"/>
      <c r="I49" s="22">
        <f>+G49*Multipliers!D219</f>
        <v>0</v>
      </c>
      <c r="J49" s="21">
        <f>+$G49*Multipliers!E219</f>
        <v>0</v>
      </c>
      <c r="K49" s="21">
        <f>+$G49*Multipliers!F219</f>
        <v>0</v>
      </c>
      <c r="L49" s="12">
        <f t="shared" si="10"/>
        <v>0</v>
      </c>
      <c r="M49" s="18">
        <f>+$G49*Multipliers!H219</f>
        <v>0</v>
      </c>
      <c r="N49" s="18">
        <f>+$G49*Multipliers!I219</f>
        <v>0</v>
      </c>
      <c r="O49" s="18">
        <f>+$G49*Multipliers!J219</f>
        <v>0</v>
      </c>
      <c r="P49" s="18">
        <f t="shared" si="11"/>
        <v>0</v>
      </c>
      <c r="Q49" s="18">
        <f>+$G49*Multipliers!L219</f>
        <v>0</v>
      </c>
      <c r="R49" s="18">
        <f>+$G49*Multipliers!M219</f>
        <v>0</v>
      </c>
      <c r="S49" s="18">
        <f>+$G49*Multipliers!N219</f>
        <v>0</v>
      </c>
      <c r="T49" s="18">
        <f t="shared" si="12"/>
        <v>0</v>
      </c>
      <c r="U49" s="18">
        <f>+$G49*Multipliers!P219</f>
        <v>0</v>
      </c>
      <c r="V49" s="18">
        <f>+$G49*Multipliers!Q219</f>
        <v>0</v>
      </c>
      <c r="W49" s="18">
        <f>+$G49*Multipliers!R219</f>
        <v>0</v>
      </c>
      <c r="X49" s="18">
        <f t="shared" si="13"/>
        <v>0</v>
      </c>
      <c r="AB49" s="4" t="s">
        <v>451</v>
      </c>
      <c r="AC49" s="8"/>
      <c r="AD49" s="15"/>
      <c r="AG49" s="87" t="s">
        <v>163</v>
      </c>
      <c r="AK49" s="261"/>
    </row>
    <row r="50" spans="1:37" ht="17" x14ac:dyDescent="0.15">
      <c r="A50" s="157"/>
      <c r="B50" s="282"/>
      <c r="C50" s="6" t="s">
        <v>153</v>
      </c>
      <c r="D50" s="8">
        <f t="shared" si="8"/>
        <v>0</v>
      </c>
      <c r="F50" s="8">
        <f t="shared" si="9"/>
        <v>0</v>
      </c>
      <c r="G50" s="18">
        <f t="shared" si="6"/>
        <v>0</v>
      </c>
      <c r="H50" s="8"/>
      <c r="I50" s="22">
        <f>+G50*Multipliers!D220</f>
        <v>0</v>
      </c>
      <c r="J50" s="21">
        <f>+$G50*Multipliers!E220</f>
        <v>0</v>
      </c>
      <c r="K50" s="21">
        <f>+$G50*Multipliers!F220</f>
        <v>0</v>
      </c>
      <c r="L50" s="12">
        <f t="shared" si="10"/>
        <v>0</v>
      </c>
      <c r="M50" s="18">
        <f>+$G50*Multipliers!H220</f>
        <v>0</v>
      </c>
      <c r="N50" s="18">
        <f>+$G50*Multipliers!I220</f>
        <v>0</v>
      </c>
      <c r="O50" s="18">
        <f>+$G50*Multipliers!J220</f>
        <v>0</v>
      </c>
      <c r="P50" s="18">
        <f t="shared" si="11"/>
        <v>0</v>
      </c>
      <c r="Q50" s="18">
        <f>+$G50*Multipliers!L220</f>
        <v>0</v>
      </c>
      <c r="R50" s="18">
        <f>+$G50*Multipliers!M220</f>
        <v>0</v>
      </c>
      <c r="S50" s="18">
        <f>+$G50*Multipliers!N220</f>
        <v>0</v>
      </c>
      <c r="T50" s="18">
        <f t="shared" si="12"/>
        <v>0</v>
      </c>
      <c r="U50" s="18">
        <f>+$G50*Multipliers!P220</f>
        <v>0</v>
      </c>
      <c r="V50" s="18">
        <f>+$G50*Multipliers!Q220</f>
        <v>0</v>
      </c>
      <c r="W50" s="18">
        <f>+$G50*Multipliers!R220</f>
        <v>0</v>
      </c>
      <c r="X50" s="18">
        <f t="shared" si="13"/>
        <v>0</v>
      </c>
      <c r="AB50" s="1" t="s">
        <v>171</v>
      </c>
      <c r="AG50" s="82" t="s">
        <v>436</v>
      </c>
      <c r="AH50" s="135">
        <f>L137</f>
        <v>11.968868329123286</v>
      </c>
      <c r="AI50" s="123">
        <f>P139</f>
        <v>0.78391089734359654</v>
      </c>
      <c r="AJ50" s="123">
        <f>T139</f>
        <v>0.78391089734359654</v>
      </c>
      <c r="AK50" s="123">
        <f>X139</f>
        <v>0.78391089734359654</v>
      </c>
    </row>
    <row r="51" spans="1:37" ht="17" x14ac:dyDescent="0.15">
      <c r="A51" s="157"/>
      <c r="B51" s="282"/>
      <c r="C51" s="6" t="s">
        <v>78</v>
      </c>
      <c r="D51" s="8">
        <f t="shared" si="8"/>
        <v>0</v>
      </c>
      <c r="F51" s="8">
        <f t="shared" si="9"/>
        <v>0</v>
      </c>
      <c r="G51" s="18">
        <f t="shared" si="6"/>
        <v>0</v>
      </c>
      <c r="H51" s="8"/>
      <c r="I51" s="22">
        <f>+G51*Multipliers!D221</f>
        <v>0</v>
      </c>
      <c r="J51" s="21">
        <f>+$G51*Multipliers!E221</f>
        <v>0</v>
      </c>
      <c r="K51" s="21">
        <f>+$G51*Multipliers!F221</f>
        <v>0</v>
      </c>
      <c r="L51" s="12">
        <f t="shared" si="10"/>
        <v>0</v>
      </c>
      <c r="M51" s="18">
        <f>+$G51*Multipliers!H221</f>
        <v>0</v>
      </c>
      <c r="N51" s="18">
        <f>+$G51*Multipliers!I221</f>
        <v>0</v>
      </c>
      <c r="O51" s="18">
        <f>+$G51*Multipliers!J221</f>
        <v>0</v>
      </c>
      <c r="P51" s="18">
        <f t="shared" si="11"/>
        <v>0</v>
      </c>
      <c r="Q51" s="18">
        <f>+$G51*Multipliers!L221</f>
        <v>0</v>
      </c>
      <c r="R51" s="18">
        <f>+$G51*Multipliers!M221</f>
        <v>0</v>
      </c>
      <c r="S51" s="18">
        <f>+$G51*Multipliers!N221</f>
        <v>0</v>
      </c>
      <c r="T51" s="18">
        <f t="shared" si="12"/>
        <v>0</v>
      </c>
      <c r="U51" s="18">
        <f>+$G51*Multipliers!P221</f>
        <v>0</v>
      </c>
      <c r="V51" s="18">
        <f>+$G51*Multipliers!Q221</f>
        <v>0</v>
      </c>
      <c r="W51" s="18">
        <f>+$G51*Multipliers!R221</f>
        <v>0</v>
      </c>
      <c r="X51" s="18">
        <f t="shared" si="13"/>
        <v>0</v>
      </c>
      <c r="AB51" t="s">
        <v>182</v>
      </c>
      <c r="AC51" s="8">
        <f t="shared" ref="AC51:AD61" si="14">D74</f>
        <v>352976.97408887587</v>
      </c>
      <c r="AD51" s="15">
        <f t="shared" si="14"/>
        <v>1</v>
      </c>
      <c r="AG51" s="121" t="s">
        <v>210</v>
      </c>
      <c r="AH51" s="135">
        <f>(L159-AH50)+M159</f>
        <v>24.843375399048583</v>
      </c>
      <c r="AI51" s="123">
        <f>P160-AI50+Q160</f>
        <v>1.4961647901373647</v>
      </c>
      <c r="AJ51" s="164">
        <f>T160-AJ50+U160</f>
        <v>5.5422047420335101</v>
      </c>
      <c r="AK51" s="164">
        <f>X160-AK50+Y160</f>
        <v>3.6545452239374763</v>
      </c>
    </row>
    <row r="52" spans="1:37" ht="17" x14ac:dyDescent="0.15">
      <c r="A52" s="157"/>
      <c r="B52" s="282"/>
      <c r="C52" s="6" t="s">
        <v>79</v>
      </c>
      <c r="D52" s="8">
        <f t="shared" si="8"/>
        <v>323944.20602381817</v>
      </c>
      <c r="F52" s="8">
        <f t="shared" si="9"/>
        <v>323944.20602381817</v>
      </c>
      <c r="G52" s="18">
        <f t="shared" si="6"/>
        <v>0.30279064937046285</v>
      </c>
      <c r="H52" s="8"/>
      <c r="I52" s="22">
        <f>+G52*Multipliers!D222</f>
        <v>3.197679512586642</v>
      </c>
      <c r="J52" s="21">
        <f>+$G52*Multipliers!E222</f>
        <v>0.77058025438595723</v>
      </c>
      <c r="K52" s="21">
        <f>+$G52*Multipliers!F222</f>
        <v>0.92862745202067565</v>
      </c>
      <c r="L52" s="12">
        <f t="shared" si="10"/>
        <v>4.8968872189932746</v>
      </c>
      <c r="M52" s="18">
        <f>+$G52*Multipliers!H222</f>
        <v>0.11828125833308115</v>
      </c>
      <c r="N52" s="18">
        <f>+$G52*Multipliers!I222</f>
        <v>4.7455491054168124E-2</v>
      </c>
      <c r="O52" s="18">
        <f>+$G52*Multipliers!J222</f>
        <v>5.3402848710778598E-2</v>
      </c>
      <c r="P52" s="18">
        <f t="shared" si="11"/>
        <v>0.21913959809802785</v>
      </c>
      <c r="Q52" s="18">
        <f>+$G52*Multipliers!L222</f>
        <v>0.30279064937046285</v>
      </c>
      <c r="R52" s="18">
        <f>+$G52*Multipliers!M222</f>
        <v>0.13481443796707743</v>
      </c>
      <c r="S52" s="18">
        <f>+$G52*Multipliers!N222</f>
        <v>0.15842515608323898</v>
      </c>
      <c r="T52" s="18">
        <f t="shared" si="12"/>
        <v>0.59603024342077926</v>
      </c>
      <c r="U52" s="18">
        <f>+$G52*Multipliers!P222</f>
        <v>0.19167971524195918</v>
      </c>
      <c r="V52" s="18">
        <f>+$G52*Multipliers!Q222</f>
        <v>7.7096794881212072E-2</v>
      </c>
      <c r="W52" s="18">
        <f>+$G52*Multipliers!R222</f>
        <v>9.2209737918413928E-2</v>
      </c>
      <c r="X52" s="18">
        <f t="shared" si="13"/>
        <v>0.36098624804158519</v>
      </c>
      <c r="AB52" t="s">
        <v>173</v>
      </c>
      <c r="AC52" s="8">
        <f t="shared" si="14"/>
        <v>137661.01989466159</v>
      </c>
      <c r="AD52" s="15">
        <f t="shared" si="14"/>
        <v>0.8</v>
      </c>
      <c r="AG52" s="121" t="s">
        <v>211</v>
      </c>
      <c r="AH52" s="135">
        <f>N159</f>
        <v>15.035590973517953</v>
      </c>
      <c r="AI52" s="164">
        <f>R160</f>
        <v>0.88909494008588175</v>
      </c>
      <c r="AJ52" s="164">
        <f>V160</f>
        <v>2.6375608758347471</v>
      </c>
      <c r="AK52" s="164">
        <f>Z160</f>
        <v>1.5351427923167911</v>
      </c>
    </row>
    <row r="53" spans="1:37" ht="17" x14ac:dyDescent="0.15">
      <c r="A53" s="157"/>
      <c r="B53" s="282"/>
      <c r="C53" s="6" t="s">
        <v>154</v>
      </c>
      <c r="D53" s="8">
        <f t="shared" si="8"/>
        <v>0</v>
      </c>
      <c r="F53" s="8">
        <f t="shared" si="9"/>
        <v>0</v>
      </c>
      <c r="G53" s="18">
        <f t="shared" si="6"/>
        <v>0</v>
      </c>
      <c r="H53" s="8"/>
      <c r="I53" s="22">
        <f>+G53*Multipliers!D223</f>
        <v>0</v>
      </c>
      <c r="J53" s="21">
        <f>+$G53*Multipliers!E223</f>
        <v>0</v>
      </c>
      <c r="K53" s="21">
        <f>+$G53*Multipliers!F223</f>
        <v>0</v>
      </c>
      <c r="L53" s="12">
        <f t="shared" si="10"/>
        <v>0</v>
      </c>
      <c r="M53" s="18">
        <f>+$G53*Multipliers!H223</f>
        <v>0</v>
      </c>
      <c r="N53" s="18">
        <f>+$G53*Multipliers!I223</f>
        <v>0</v>
      </c>
      <c r="O53" s="18">
        <f>+$G53*Multipliers!J223</f>
        <v>0</v>
      </c>
      <c r="P53" s="18">
        <f t="shared" si="11"/>
        <v>0</v>
      </c>
      <c r="Q53" s="18">
        <f>+$G53*Multipliers!L223</f>
        <v>0</v>
      </c>
      <c r="R53" s="18">
        <f>+$G53*Multipliers!M223</f>
        <v>0</v>
      </c>
      <c r="S53" s="18">
        <f>+$G53*Multipliers!N223</f>
        <v>0</v>
      </c>
      <c r="T53" s="18">
        <f t="shared" si="12"/>
        <v>0</v>
      </c>
      <c r="U53" s="18">
        <f>+$G53*Multipliers!P223</f>
        <v>0</v>
      </c>
      <c r="V53" s="18">
        <f>+$G53*Multipliers!Q223</f>
        <v>0</v>
      </c>
      <c r="W53" s="18">
        <f>+$G53*Multipliers!R223</f>
        <v>0</v>
      </c>
      <c r="X53" s="18">
        <f t="shared" si="13"/>
        <v>0</v>
      </c>
      <c r="AB53" t="s">
        <v>174</v>
      </c>
      <c r="AC53" s="8">
        <f t="shared" si="14"/>
        <v>68830.509947330793</v>
      </c>
      <c r="AD53" s="15">
        <f t="shared" si="14"/>
        <v>1</v>
      </c>
      <c r="AG53" s="113" t="s">
        <v>164</v>
      </c>
      <c r="AH53" s="167">
        <f>SUM(AH50:AH52)</f>
        <v>51.84783470168982</v>
      </c>
      <c r="AI53" s="166">
        <f>SUM(AI50:AI52)</f>
        <v>3.1691706275668428</v>
      </c>
      <c r="AJ53" s="166">
        <f>SUM(AJ50:AJ52)</f>
        <v>8.9636765152118532</v>
      </c>
      <c r="AK53" s="166">
        <f>SUM(AK50:AK52)</f>
        <v>5.973598913597864</v>
      </c>
    </row>
    <row r="54" spans="1:37" ht="17" x14ac:dyDescent="0.15">
      <c r="A54" s="157"/>
      <c r="B54" s="282"/>
      <c r="C54" s="6" t="s">
        <v>155</v>
      </c>
      <c r="D54" s="8">
        <f t="shared" si="8"/>
        <v>323944.20602381817</v>
      </c>
      <c r="F54" s="8">
        <f t="shared" si="9"/>
        <v>323944.20602381817</v>
      </c>
      <c r="G54" s="18">
        <f t="shared" si="6"/>
        <v>0.30279064937046285</v>
      </c>
      <c r="H54" s="8"/>
      <c r="I54" s="22">
        <f>+G54*Multipliers!D224</f>
        <v>2.4939462273112505</v>
      </c>
      <c r="J54" s="21">
        <f>+$G54*Multipliers!E224</f>
        <v>0.86775331905571473</v>
      </c>
      <c r="K54" s="21">
        <f>+$G54*Multipliers!F224</f>
        <v>1.1124280415585606</v>
      </c>
      <c r="L54" s="12">
        <f t="shared" si="10"/>
        <v>4.4741275879255262</v>
      </c>
      <c r="M54" s="18">
        <f>+$G54*Multipliers!H224</f>
        <v>0.1307764518707101</v>
      </c>
      <c r="N54" s="18">
        <f>+$G54*Multipliers!I224</f>
        <v>4.9619774676380402E-2</v>
      </c>
      <c r="O54" s="18">
        <f>+$G54*Multipliers!J224</f>
        <v>5.8176411041658528E-2</v>
      </c>
      <c r="P54" s="18">
        <f t="shared" si="11"/>
        <v>0.23857263758874903</v>
      </c>
      <c r="Q54" s="18">
        <f>+$G54*Multipliers!L224</f>
        <v>0.30279064937046285</v>
      </c>
      <c r="R54" s="18">
        <f>+$G54*Multipliers!M224</f>
        <v>0.1362028361778414</v>
      </c>
      <c r="S54" s="18">
        <f>+$G54*Multipliers!N224</f>
        <v>0.17258598357190719</v>
      </c>
      <c r="T54" s="18">
        <f t="shared" si="12"/>
        <v>0.61157946912021144</v>
      </c>
      <c r="U54" s="18">
        <f>+$G54*Multipliers!P224</f>
        <v>0.17791738481662686</v>
      </c>
      <c r="V54" s="18">
        <f>+$G54*Multipliers!Q224</f>
        <v>7.7787955647906248E-2</v>
      </c>
      <c r="W54" s="18">
        <f>+$G54*Multipliers!R224</f>
        <v>0.10045167159104837</v>
      </c>
      <c r="X54" s="18">
        <f t="shared" si="13"/>
        <v>0.35615701205558148</v>
      </c>
      <c r="AB54" t="s">
        <v>175</v>
      </c>
      <c r="AC54" s="8">
        <f t="shared" si="14"/>
        <v>275322.03978932317</v>
      </c>
      <c r="AD54" s="15">
        <f t="shared" si="14"/>
        <v>1</v>
      </c>
    </row>
    <row r="55" spans="1:37" ht="17" x14ac:dyDescent="0.15">
      <c r="A55" s="157"/>
      <c r="B55" s="282"/>
      <c r="C55" s="6" t="s">
        <v>156</v>
      </c>
      <c r="D55" s="8">
        <f t="shared" si="8"/>
        <v>737451.12764601177</v>
      </c>
      <c r="F55" s="8">
        <f t="shared" si="9"/>
        <v>737451.12764601177</v>
      </c>
      <c r="G55" s="18">
        <f t="shared" si="6"/>
        <v>0.68929556901072719</v>
      </c>
      <c r="H55" s="8"/>
      <c r="I55" s="22">
        <f>+G55*Multipliers!D225</f>
        <v>4.201172368212486</v>
      </c>
      <c r="J55" s="21">
        <f>+$G55*Multipliers!E225</f>
        <v>2.0801928015582791</v>
      </c>
      <c r="K55" s="21">
        <f>+$G55*Multipliers!F225</f>
        <v>3.0302617652616868</v>
      </c>
      <c r="L55" s="12">
        <f t="shared" si="10"/>
        <v>9.3116269350324519</v>
      </c>
      <c r="M55" s="18">
        <f>+$G55*Multipliers!H225</f>
        <v>0.3650767119340752</v>
      </c>
      <c r="N55" s="18">
        <f>+$G55*Multipliers!I225</f>
        <v>0.1268381823226955</v>
      </c>
      <c r="O55" s="18">
        <f>+$G55*Multipliers!J225</f>
        <v>0.15826252376963654</v>
      </c>
      <c r="P55" s="18">
        <f t="shared" si="11"/>
        <v>0.65017741802640727</v>
      </c>
      <c r="Q55" s="18">
        <f>+$G55*Multipliers!L225</f>
        <v>0.68929556901072719</v>
      </c>
      <c r="R55" s="18">
        <f>+$G55*Multipliers!M225</f>
        <v>0.32886520663893648</v>
      </c>
      <c r="S55" s="18">
        <f>+$G55*Multipliers!N225</f>
        <v>0.46950962820518516</v>
      </c>
      <c r="T55" s="18">
        <f t="shared" si="12"/>
        <v>1.4876704038548487</v>
      </c>
      <c r="U55" s="18">
        <f>+$G55*Multipliers!P225</f>
        <v>0.41831694704475081</v>
      </c>
      <c r="V55" s="18">
        <f>+$G55*Multipliers!Q225</f>
        <v>0.19006655543827186</v>
      </c>
      <c r="W55" s="18">
        <f>+$G55*Multipliers!R225</f>
        <v>0.27327831620424325</v>
      </c>
      <c r="X55" s="18">
        <f t="shared" si="13"/>
        <v>0.88166181868726601</v>
      </c>
      <c r="AB55" t="s">
        <v>172</v>
      </c>
      <c r="AC55" s="8">
        <f t="shared" si="14"/>
        <v>2647327.3056665687</v>
      </c>
      <c r="AD55" s="15">
        <f t="shared" si="14"/>
        <v>0</v>
      </c>
    </row>
    <row r="56" spans="1:37" ht="17" x14ac:dyDescent="0.15">
      <c r="C56" s="6" t="s">
        <v>80</v>
      </c>
      <c r="D56" s="8">
        <f t="shared" si="8"/>
        <v>9972656.8197764494</v>
      </c>
      <c r="E56" s="8"/>
      <c r="F56" s="8">
        <f t="shared" si="9"/>
        <v>9972656.8197764494</v>
      </c>
      <c r="G56" s="18">
        <f t="shared" si="6"/>
        <v>9.3214423294450466</v>
      </c>
      <c r="H56" s="8"/>
      <c r="I56" s="22">
        <v>0</v>
      </c>
      <c r="J56" s="21">
        <f>+$G56*Multipliers!E226</f>
        <v>2.6184338710120612</v>
      </c>
      <c r="K56" s="21">
        <f>+$G56*Multipliers!F226</f>
        <v>39.548443731885399</v>
      </c>
      <c r="L56" s="12">
        <f t="shared" si="10"/>
        <v>42.166877602897458</v>
      </c>
      <c r="M56" s="18">
        <v>0</v>
      </c>
      <c r="N56" s="18">
        <f>+$G56*Multipliers!I226</f>
        <v>0.18711629008478206</v>
      </c>
      <c r="O56" s="18">
        <f>+$G56*Multipliers!J226</f>
        <v>2.4091095604915198</v>
      </c>
      <c r="P56" s="18">
        <f t="shared" si="11"/>
        <v>2.5962258505763018</v>
      </c>
      <c r="Q56" s="18">
        <v>0</v>
      </c>
      <c r="R56" s="18">
        <f>+$G56*Multipliers!M226</f>
        <v>0.52003603569227708</v>
      </c>
      <c r="S56" s="18">
        <f>+$G56*Multipliers!N226</f>
        <v>7.146417597727118</v>
      </c>
      <c r="T56" s="18">
        <f t="shared" si="12"/>
        <v>7.6664536334193949</v>
      </c>
      <c r="U56" s="18">
        <v>0</v>
      </c>
      <c r="V56" s="18">
        <f>+$G56*Multipliers!Q226</f>
        <v>0.28839546546392297</v>
      </c>
      <c r="W56" s="18">
        <f>+$G56*Multipliers!R226</f>
        <v>4.1591697691845484</v>
      </c>
      <c r="X56" s="18">
        <f t="shared" si="13"/>
        <v>4.4475652346484713</v>
      </c>
      <c r="AB56" t="s">
        <v>179</v>
      </c>
      <c r="AC56" s="8">
        <f t="shared" si="14"/>
        <v>137661.01989466159</v>
      </c>
      <c r="AD56" s="15">
        <f t="shared" si="14"/>
        <v>0</v>
      </c>
    </row>
    <row r="57" spans="1:37" ht="17" x14ac:dyDescent="0.15">
      <c r="C57" s="6" t="s">
        <v>16</v>
      </c>
      <c r="D57" s="8">
        <f>SUM(D43:D56)</f>
        <v>50305317.165865615</v>
      </c>
      <c r="E57" s="8"/>
      <c r="F57" s="8">
        <f>SUM(F43:F56)</f>
        <v>50305317.165865615</v>
      </c>
      <c r="G57" s="20">
        <f>SUM(G43:G56)</f>
        <v>47.02037995493459</v>
      </c>
      <c r="H57" s="8"/>
      <c r="I57" s="21">
        <f t="shared" ref="I57:T57" si="15">SUM(I43:I56)</f>
        <v>106.09897110634159</v>
      </c>
      <c r="J57" s="21">
        <f t="shared" si="15"/>
        <v>192.25823835688959</v>
      </c>
      <c r="K57" s="21">
        <f t="shared" si="15"/>
        <v>146.92079394031387</v>
      </c>
      <c r="L57" s="21">
        <f t="shared" si="15"/>
        <v>445.27800340354503</v>
      </c>
      <c r="M57" s="18">
        <f t="shared" si="15"/>
        <v>12.800679714088069</v>
      </c>
      <c r="N57" s="18">
        <f t="shared" si="15"/>
        <v>11.24555123408593</v>
      </c>
      <c r="O57" s="18">
        <f t="shared" si="15"/>
        <v>7.8477656302982863</v>
      </c>
      <c r="P57" s="18">
        <f t="shared" si="15"/>
        <v>31.89399657847229</v>
      </c>
      <c r="Q57" s="18">
        <f t="shared" si="15"/>
        <v>21.061669832254161</v>
      </c>
      <c r="R57" s="18">
        <f t="shared" si="15"/>
        <v>31.877319200917807</v>
      </c>
      <c r="S57" s="18">
        <f t="shared" si="15"/>
        <v>23.282077557462753</v>
      </c>
      <c r="T57" s="18">
        <f t="shared" si="15"/>
        <v>76.221066590634734</v>
      </c>
      <c r="U57" s="18">
        <f t="shared" ref="U57:X57" si="16">SUM(U43:U56)</f>
        <v>14.23818203443472</v>
      </c>
      <c r="V57" s="18">
        <f t="shared" si="16"/>
        <v>16.524186027777297</v>
      </c>
      <c r="W57" s="18">
        <f t="shared" si="16"/>
        <v>13.551710565274146</v>
      </c>
      <c r="X57" s="18">
        <f t="shared" si="16"/>
        <v>44.314078627486161</v>
      </c>
      <c r="AB57" t="s">
        <v>180</v>
      </c>
      <c r="AC57" s="8">
        <f t="shared" si="14"/>
        <v>894796.62931530038</v>
      </c>
      <c r="AD57" s="15">
        <f t="shared" si="14"/>
        <v>0</v>
      </c>
    </row>
    <row r="58" spans="1:37" ht="16" x14ac:dyDescent="0.15">
      <c r="C58" s="6"/>
      <c r="D58" s="8"/>
      <c r="E58" s="8"/>
      <c r="I58" s="22"/>
      <c r="J58" s="22"/>
      <c r="K58" s="22"/>
      <c r="L58" s="22"/>
      <c r="M58" s="38"/>
      <c r="N58" s="38"/>
      <c r="O58" s="38"/>
      <c r="P58" s="38"/>
      <c r="Q58" s="38"/>
      <c r="R58" s="38"/>
      <c r="S58" s="38"/>
      <c r="T58" s="38"/>
      <c r="U58" s="38"/>
      <c r="V58" s="38"/>
      <c r="W58" s="38"/>
      <c r="X58" s="38"/>
      <c r="AB58" t="s">
        <v>181</v>
      </c>
      <c r="AC58" s="8">
        <f t="shared" si="14"/>
        <v>7841383.4793843757</v>
      </c>
      <c r="AD58" s="15">
        <f t="shared" si="14"/>
        <v>0</v>
      </c>
    </row>
    <row r="59" spans="1:37" x14ac:dyDescent="0.15">
      <c r="C59" s="13"/>
      <c r="D59" s="16"/>
      <c r="E59" s="16"/>
      <c r="F59" s="27" t="s">
        <v>191</v>
      </c>
      <c r="G59" s="10">
        <f>D39</f>
        <v>2020</v>
      </c>
      <c r="H59" t="s">
        <v>190</v>
      </c>
      <c r="U59" s="261"/>
      <c r="V59" s="261"/>
      <c r="W59" s="261"/>
      <c r="X59" s="261"/>
      <c r="AB59" t="s">
        <v>582</v>
      </c>
      <c r="AC59" s="8">
        <f>D82</f>
        <v>12355958.977981098</v>
      </c>
    </row>
    <row r="60" spans="1:37" ht="16" x14ac:dyDescent="0.15">
      <c r="C60" s="6"/>
      <c r="G60" s="28">
        <f>Deflators!F8</f>
        <v>1.0698000000000001</v>
      </c>
      <c r="M60" s="20">
        <f>M57*$G60</f>
        <v>13.694167158131417</v>
      </c>
      <c r="N60" s="20">
        <f t="shared" ref="N60:T60" si="17">N57*$G60</f>
        <v>12.030490710225129</v>
      </c>
      <c r="O60" s="20">
        <f t="shared" si="17"/>
        <v>8.3955396712931076</v>
      </c>
      <c r="P60" s="20">
        <f t="shared" si="17"/>
        <v>34.120197539649659</v>
      </c>
      <c r="Q60" s="20">
        <f t="shared" si="17"/>
        <v>22.531774386545504</v>
      </c>
      <c r="R60" s="20">
        <f t="shared" si="17"/>
        <v>34.10235608114187</v>
      </c>
      <c r="S60" s="20">
        <f t="shared" si="17"/>
        <v>24.907166570973654</v>
      </c>
      <c r="T60" s="20">
        <f t="shared" si="17"/>
        <v>81.541297038661043</v>
      </c>
      <c r="U60" s="20">
        <f t="shared" ref="U60:X60" si="18">U57*$G60</f>
        <v>15.232007140438265</v>
      </c>
      <c r="V60" s="20">
        <f t="shared" si="18"/>
        <v>17.677574212516152</v>
      </c>
      <c r="W60" s="20">
        <f t="shared" si="18"/>
        <v>14.497619962730282</v>
      </c>
      <c r="X60" s="20">
        <f t="shared" si="18"/>
        <v>47.407201315684702</v>
      </c>
      <c r="AB60" s="226" t="s">
        <v>575</v>
      </c>
      <c r="AC60" s="8">
        <f>D83</f>
        <v>260766.71920890728</v>
      </c>
      <c r="AD60" s="15">
        <f t="shared" si="14"/>
        <v>1</v>
      </c>
    </row>
    <row r="61" spans="1:37" ht="16" x14ac:dyDescent="0.15">
      <c r="C61" s="6"/>
      <c r="E61" s="14"/>
      <c r="U61" s="261"/>
      <c r="V61" s="261"/>
      <c r="W61" s="261"/>
      <c r="X61" s="261"/>
      <c r="AB61" s="1" t="s">
        <v>578</v>
      </c>
      <c r="AC61" s="8">
        <f>D84</f>
        <v>0</v>
      </c>
      <c r="AD61" s="15">
        <f t="shared" si="14"/>
        <v>1</v>
      </c>
    </row>
    <row r="62" spans="1:37" ht="14" x14ac:dyDescent="0.15">
      <c r="C62" s="29" t="s">
        <v>437</v>
      </c>
      <c r="H62" s="1" t="s">
        <v>397</v>
      </c>
      <c r="AB62" s="1" t="s">
        <v>579</v>
      </c>
      <c r="AC62" s="8">
        <f>AC61+AC60+AC59+AC48</f>
        <v>13460766.719208907</v>
      </c>
      <c r="AD62" s="15"/>
    </row>
    <row r="63" spans="1:37" x14ac:dyDescent="0.15">
      <c r="D63" s="30" t="s">
        <v>133</v>
      </c>
      <c r="E63" s="30" t="s">
        <v>18</v>
      </c>
      <c r="F63" s="1" t="s">
        <v>333</v>
      </c>
      <c r="G63" s="17" t="s">
        <v>159</v>
      </c>
      <c r="H63" s="1" t="s">
        <v>333</v>
      </c>
      <c r="I63" s="1" t="s">
        <v>398</v>
      </c>
      <c r="J63" s="1" t="s">
        <v>399</v>
      </c>
      <c r="AB63" s="24" t="s">
        <v>278</v>
      </c>
      <c r="AC63" s="8">
        <f t="shared" ref="AC63:AD67" si="19">D86</f>
        <v>43736139.918417171</v>
      </c>
      <c r="AD63" s="15">
        <f t="shared" si="19"/>
        <v>0</v>
      </c>
    </row>
    <row r="64" spans="1:37" ht="14" x14ac:dyDescent="0.15">
      <c r="C64" s="187" t="s">
        <v>455</v>
      </c>
      <c r="D64" s="30"/>
      <c r="E64" s="30"/>
      <c r="F64" s="1"/>
      <c r="G64" s="17"/>
      <c r="H64" s="1"/>
      <c r="I64" s="1"/>
      <c r="J64" s="1"/>
      <c r="AB64" s="24" t="s">
        <v>266</v>
      </c>
      <c r="AC64" s="8">
        <f t="shared" si="19"/>
        <v>0</v>
      </c>
      <c r="AD64" s="15">
        <f t="shared" si="19"/>
        <v>1</v>
      </c>
    </row>
    <row r="65" spans="3:30" x14ac:dyDescent="0.15">
      <c r="C65" s="186" t="s">
        <v>167</v>
      </c>
      <c r="D65" s="30"/>
      <c r="E65" s="30"/>
      <c r="F65" s="1"/>
      <c r="G65" s="17"/>
      <c r="H65" s="1"/>
      <c r="I65" s="1"/>
      <c r="J65" s="1"/>
      <c r="AB65" s="24" t="s">
        <v>267</v>
      </c>
      <c r="AC65" s="8">
        <f t="shared" si="19"/>
        <v>14042611.167424642</v>
      </c>
      <c r="AD65" s="15">
        <f t="shared" si="19"/>
        <v>0</v>
      </c>
    </row>
    <row r="66" spans="3:30" x14ac:dyDescent="0.15">
      <c r="C66" s="2" t="s">
        <v>168</v>
      </c>
      <c r="D66" s="8">
        <f>IF('STEP 3 - Edit Project Data'!$B$24="y",DefaultData!D55,'STEP 3 - Edit Project Data'!B71)</f>
        <v>654949.51326797565</v>
      </c>
      <c r="E66" s="7">
        <f>IF('STEP 3 - Edit Project Data'!$B$24="y",IF('STEP 3 - Edit Project Data'!T$12=0,DefaultData!G55,'STEP 3 - Edit Project Data'!T71),'STEP 3 - Edit Project Data'!E71)</f>
        <v>1</v>
      </c>
      <c r="F66" s="8">
        <f>D66*(1-DefaultData!M$108)</f>
        <v>408648.47723783419</v>
      </c>
      <c r="G66" s="8">
        <f>F66*E66</f>
        <v>408648.47723783419</v>
      </c>
      <c r="H66" s="8">
        <f>D66*(1-DefaultData!M$106)</f>
        <v>608325.6579524714</v>
      </c>
      <c r="I66" s="69">
        <f>D66*E66*DefaultData!M$106</f>
        <v>46623.855315504254</v>
      </c>
      <c r="J66" s="69">
        <f>E66*D66*DefaultData!M$107</f>
        <v>199677.18071463724</v>
      </c>
      <c r="AB66" t="s">
        <v>193</v>
      </c>
      <c r="AC66" s="8">
        <f t="shared" si="19"/>
        <v>891300</v>
      </c>
      <c r="AD66" s="15">
        <f t="shared" si="19"/>
        <v>1</v>
      </c>
    </row>
    <row r="67" spans="3:30" x14ac:dyDescent="0.15">
      <c r="C67" s="2" t="s">
        <v>169</v>
      </c>
      <c r="D67" s="8">
        <f>IF('STEP 3 - Edit Project Data'!$B$24="y",DefaultData!D56,'STEP 3 - Edit Project Data'!B72)</f>
        <v>82097.395480421284</v>
      </c>
      <c r="E67" s="7">
        <f>IF('STEP 3 - Edit Project Data'!$B$24="y",IF('STEP 3 - Edit Project Data'!T$12=0,DefaultData!G56,'STEP 3 - Edit Project Data'!T72),'STEP 3 - Edit Project Data'!E72)</f>
        <v>1</v>
      </c>
      <c r="F67" s="8">
        <f>D67*(1-DefaultData!M$108)</f>
        <v>51223.758425085944</v>
      </c>
      <c r="G67" s="8">
        <f>F67*E67</f>
        <v>51223.758425085944</v>
      </c>
      <c r="H67" s="8">
        <f>D67*(1-DefaultData!M$106)</f>
        <v>76253.13266150569</v>
      </c>
      <c r="I67" s="69">
        <f>D67*E67*DefaultData!M$106</f>
        <v>5844.2628189155921</v>
      </c>
      <c r="J67" s="69">
        <f>E67*D67*DefaultData!M$107</f>
        <v>25029.37423641975</v>
      </c>
      <c r="AB67" t="s">
        <v>176</v>
      </c>
      <c r="AC67" s="8">
        <f t="shared" si="19"/>
        <v>1563900</v>
      </c>
      <c r="AD67" s="15">
        <f t="shared" si="19"/>
        <v>1</v>
      </c>
    </row>
    <row r="68" spans="3:30" x14ac:dyDescent="0.15">
      <c r="C68" s="2" t="s">
        <v>170</v>
      </c>
      <c r="D68" s="8">
        <f>IF('STEP 3 - Edit Project Data'!$B$24="y",DefaultData!D57,'STEP 3 - Edit Project Data'!B73)</f>
        <v>106994.11327050562</v>
      </c>
      <c r="E68" s="7">
        <f>IF('STEP 3 - Edit Project Data'!$B$24="y",IF('STEP 3 - Edit Project Data'!T$12=0,DefaultData!G57,'STEP 3 - Edit Project Data'!T73),'STEP 3 - Edit Project Data'!E73)</f>
        <v>1</v>
      </c>
      <c r="F68" s="8">
        <f>D68*(1-DefaultData!M$108)</f>
        <v>66757.789074827524</v>
      </c>
      <c r="G68" s="8">
        <f>F68*E68</f>
        <v>66757.789074827524</v>
      </c>
      <c r="H68" s="8">
        <f>D68*(1-DefaultData!M$106)</f>
        <v>99377.529158786972</v>
      </c>
      <c r="I68" s="69">
        <f>D68*E68*DefaultData!M$106</f>
        <v>7616.584111718651</v>
      </c>
      <c r="J68" s="69">
        <f>E68*D68*DefaultData!M$107</f>
        <v>32619.740083959452</v>
      </c>
      <c r="AB68" s="24" t="s">
        <v>277</v>
      </c>
      <c r="AC68" s="8">
        <f>D91</f>
        <v>73694717.805050731</v>
      </c>
      <c r="AD68" s="15"/>
    </row>
    <row r="69" spans="3:30" x14ac:dyDescent="0.15">
      <c r="C69" s="2" t="s">
        <v>13</v>
      </c>
      <c r="D69" s="8">
        <f>+D68+D67+D66</f>
        <v>844041.02201890259</v>
      </c>
      <c r="E69" s="7"/>
      <c r="F69" s="8">
        <f>+F68+F67+F66</f>
        <v>526630.02473774762</v>
      </c>
      <c r="G69" s="8">
        <f>+G68+G67+G66</f>
        <v>526630.02473774762</v>
      </c>
      <c r="H69" s="8">
        <f>+H68+H67+H66</f>
        <v>783956.31977276411</v>
      </c>
      <c r="I69" s="8">
        <f>+I68+I67+I66</f>
        <v>60084.702246138499</v>
      </c>
      <c r="J69" s="8">
        <f>+J68+J67+J66</f>
        <v>257326.29503501643</v>
      </c>
      <c r="K69" s="8">
        <f>J69+I69+G69</f>
        <v>844041.02201890247</v>
      </c>
      <c r="AC69" s="8"/>
      <c r="AD69" s="7"/>
    </row>
    <row r="70" spans="3:30" ht="16" x14ac:dyDescent="0.2">
      <c r="C70" s="185" t="s">
        <v>452</v>
      </c>
      <c r="D70" s="8">
        <f>IF('STEP 3 - Edit Project Data'!$B$24="y",DefaultData!D59,'STEP 3 - Edit Project Data'!B75)</f>
        <v>0</v>
      </c>
      <c r="E70" s="7"/>
      <c r="F70" s="8"/>
      <c r="G70" s="8"/>
      <c r="H70" s="8"/>
      <c r="I70" s="8"/>
      <c r="J70" s="8"/>
      <c r="K70" s="8"/>
      <c r="AB70" s="48" t="s">
        <v>161</v>
      </c>
    </row>
    <row r="71" spans="3:30" x14ac:dyDescent="0.15">
      <c r="C71" s="185" t="s">
        <v>16</v>
      </c>
      <c r="D71" s="8">
        <f>D70+D69</f>
        <v>844041.02201890259</v>
      </c>
      <c r="E71" s="20"/>
      <c r="F71" s="8"/>
      <c r="G71" s="8"/>
      <c r="H71" s="8"/>
      <c r="I71" s="8"/>
      <c r="J71" s="8"/>
      <c r="K71" s="8"/>
      <c r="AD71" s="11" t="s">
        <v>18</v>
      </c>
    </row>
    <row r="72" spans="3:30" ht="14" x14ac:dyDescent="0.15">
      <c r="C72" s="4" t="s">
        <v>451</v>
      </c>
      <c r="D72" s="8"/>
      <c r="E72" s="7"/>
      <c r="F72" s="8"/>
      <c r="G72" s="8"/>
      <c r="H72" s="8"/>
      <c r="I72" s="8"/>
      <c r="J72" s="8"/>
      <c r="K72" s="8"/>
      <c r="AB72" s="3" t="s">
        <v>134</v>
      </c>
    </row>
    <row r="73" spans="3:30" ht="14" x14ac:dyDescent="0.15">
      <c r="C73" s="4" t="s">
        <v>171</v>
      </c>
      <c r="D73" s="8"/>
      <c r="E73" s="7"/>
      <c r="AB73" s="17" t="s">
        <v>230</v>
      </c>
    </row>
    <row r="74" spans="3:30" x14ac:dyDescent="0.15">
      <c r="C74" t="s">
        <v>182</v>
      </c>
      <c r="D74" s="8">
        <f>IF('STEP 3 - Edit Project Data'!$B$24="y",DefaultData!D63,'STEP 3 - Edit Project Data'!B76)</f>
        <v>352976.97408887587</v>
      </c>
      <c r="E74" s="7">
        <f>IF('STEP 3 - Edit Project Data'!$B$24="y",IF('STEP 3 - Edit Project Data'!T$12=0,DefaultData!G63,'STEP 3 - Edit Project Data'!T76),'STEP 3 - Edit Project Data'!E76)</f>
        <v>1</v>
      </c>
      <c r="G74" s="8">
        <f t="shared" ref="G74:G81" si="20">D74*E74</f>
        <v>352976.97408887587</v>
      </c>
      <c r="AB74" s="13" t="s">
        <v>135</v>
      </c>
      <c r="AC74" s="15">
        <f>IF('STEP 3 - Edit Project Data'!$B$24="y",DefaultData!D84,'STEP 3 - Edit Project Data'!B92)</f>
        <v>0.8</v>
      </c>
      <c r="AD74" s="15">
        <f>IF('STEP 3 - Edit Project Data'!$B$24="y",DefaultData!F84,'STEP 3 - Edit Project Data'!E92)</f>
        <v>0</v>
      </c>
    </row>
    <row r="75" spans="3:30" x14ac:dyDescent="0.15">
      <c r="C75" t="s">
        <v>173</v>
      </c>
      <c r="D75" s="8">
        <f>IF('STEP 3 - Edit Project Data'!$B$24="y",DefaultData!D64,'STEP 3 - Edit Project Data'!B77)</f>
        <v>137661.01989466159</v>
      </c>
      <c r="E75" s="7">
        <f>IF('STEP 3 - Edit Project Data'!$B$24="y",IF('STEP 3 - Edit Project Data'!T$12=0,DefaultData!G64,'STEP 3 - Edit Project Data'!T77),'STEP 3 - Edit Project Data'!E77)</f>
        <v>0.8</v>
      </c>
      <c r="G75" s="8">
        <f t="shared" si="20"/>
        <v>110128.81591572927</v>
      </c>
      <c r="AB75" s="13" t="s">
        <v>136</v>
      </c>
      <c r="AC75" s="72">
        <f>IF('STEP 3 - Edit Project Data'!$B$24="y",DefaultData!D85,'STEP 3 - Edit Project Data'!B93)</f>
        <v>10</v>
      </c>
      <c r="AD75" s="15"/>
    </row>
    <row r="76" spans="3:30" x14ac:dyDescent="0.15">
      <c r="C76" t="s">
        <v>174</v>
      </c>
      <c r="D76" s="8">
        <f>IF('STEP 3 - Edit Project Data'!$B$24="y",DefaultData!D65,'STEP 3 - Edit Project Data'!B78)</f>
        <v>68830.509947330793</v>
      </c>
      <c r="E76" s="7">
        <f>IF('STEP 3 - Edit Project Data'!$B$24="y",IF('STEP 3 - Edit Project Data'!T$12=0,DefaultData!G65,'STEP 3 - Edit Project Data'!T78),'STEP 3 - Edit Project Data'!E78)</f>
        <v>1</v>
      </c>
      <c r="G76" s="8">
        <f t="shared" si="20"/>
        <v>68830.509947330793</v>
      </c>
      <c r="AB76" s="13" t="s">
        <v>137</v>
      </c>
      <c r="AC76" s="15">
        <f>IF('STEP 3 - Edit Project Data'!$B$24="y",DefaultData!D86,'STEP 3 - Edit Project Data'!B94)</f>
        <v>6.3E-2</v>
      </c>
      <c r="AD76" s="15"/>
    </row>
    <row r="77" spans="3:30" x14ac:dyDescent="0.15">
      <c r="C77" s="24" t="s">
        <v>232</v>
      </c>
      <c r="D77" s="8">
        <f>IF('STEP 3 - Edit Project Data'!$B$24="y",DefaultData!D66,'STEP 3 - Edit Project Data'!B79)</f>
        <v>275322.03978932317</v>
      </c>
      <c r="E77" s="7">
        <f>IF('STEP 3 - Edit Project Data'!$B$24="y",IF('STEP 3 - Edit Project Data'!T$12=0,DefaultData!G66,'STEP 3 - Edit Project Data'!T79),'STEP 3 - Edit Project Data'!E79)</f>
        <v>1</v>
      </c>
      <c r="G77" s="8">
        <f t="shared" si="20"/>
        <v>275322.03978932317</v>
      </c>
      <c r="AB77" s="74" t="s">
        <v>231</v>
      </c>
    </row>
    <row r="78" spans="3:30" x14ac:dyDescent="0.15">
      <c r="C78" t="s">
        <v>172</v>
      </c>
      <c r="D78" s="8">
        <f>IF('STEP 3 - Edit Project Data'!$B$24="y",DefaultData!D67,'STEP 3 - Edit Project Data'!B80)</f>
        <v>2647327.3056665687</v>
      </c>
      <c r="E78" s="7">
        <f>IF('STEP 3 - Edit Project Data'!$B$24="y",IF('STEP 3 - Edit Project Data'!T$12=0,DefaultData!G67,'STEP 3 - Edit Project Data'!T80),'STEP 3 - Edit Project Data'!E80)</f>
        <v>0</v>
      </c>
      <c r="G78" s="8">
        <f t="shared" si="20"/>
        <v>0</v>
      </c>
      <c r="AB78" s="75" t="s">
        <v>228</v>
      </c>
      <c r="AC78" s="15">
        <f>IF('STEP 3 - Edit Project Data'!$B$24="y",DefaultData!D89,'STEP 3 - Edit Project Data'!B96)</f>
        <v>0.19999999999999996</v>
      </c>
      <c r="AD78" s="15"/>
    </row>
    <row r="79" spans="3:30" x14ac:dyDescent="0.15">
      <c r="C79" t="s">
        <v>179</v>
      </c>
      <c r="D79" s="8">
        <f>IF('STEP 3 - Edit Project Data'!$B$24="y",DefaultData!D68,'STEP 3 - Edit Project Data'!B81)</f>
        <v>137661.01989466159</v>
      </c>
      <c r="E79" s="7">
        <f>IF('STEP 3 - Edit Project Data'!$B$24="y",IF('STEP 3 - Edit Project Data'!T$12=0,DefaultData!G68,'STEP 3 - Edit Project Data'!T81),'STEP 3 - Edit Project Data'!E81)</f>
        <v>0</v>
      </c>
      <c r="G79" s="8">
        <f t="shared" si="20"/>
        <v>0</v>
      </c>
      <c r="AB79" s="75" t="s">
        <v>247</v>
      </c>
      <c r="AC79" s="15">
        <f>IF('STEP 3 - Edit Project Data'!$B$24="y",DefaultData!D90,'STEP 3 - Edit Project Data'!B97)</f>
        <v>0</v>
      </c>
      <c r="AD79" s="15">
        <f>IF('STEP 3 - Edit Project Data'!$B$24="y",DefaultData!F90,'STEP 3 - Edit Project Data'!E97)</f>
        <v>1</v>
      </c>
    </row>
    <row r="80" spans="3:30" x14ac:dyDescent="0.15">
      <c r="C80" t="s">
        <v>180</v>
      </c>
      <c r="D80" s="8">
        <f>IF('STEP 3 - Edit Project Data'!$B$24="y",DefaultData!D69,'STEP 3 - Edit Project Data'!B82)</f>
        <v>894796.62931530038</v>
      </c>
      <c r="E80" s="7">
        <f>IF('STEP 3 - Edit Project Data'!$B$24="y",IF('STEP 3 - Edit Project Data'!T$12=0,DefaultData!G69,'STEP 3 - Edit Project Data'!T82),'STEP 3 - Edit Project Data'!E82)</f>
        <v>0</v>
      </c>
      <c r="G80" s="8">
        <f t="shared" si="20"/>
        <v>0</v>
      </c>
      <c r="AB80" s="75" t="s">
        <v>248</v>
      </c>
      <c r="AC80" s="15">
        <f>IF('STEP 3 - Edit Project Data'!$B$24="y",DefaultData!D91,'STEP 3 - Edit Project Data'!B98)</f>
        <v>1</v>
      </c>
      <c r="AD80" s="15">
        <f>IF('STEP 3 - Edit Project Data'!$B$24="y",DefaultData!F91,'STEP 3 - Edit Project Data'!E98)</f>
        <v>0</v>
      </c>
    </row>
    <row r="81" spans="3:31" x14ac:dyDescent="0.15">
      <c r="C81" t="s">
        <v>181</v>
      </c>
      <c r="D81" s="8">
        <f>IF('STEP 3 - Edit Project Data'!$B$24="y",DefaultData!D70,'STEP 3 - Edit Project Data'!B83)</f>
        <v>7841383.4793843757</v>
      </c>
      <c r="E81" s="7">
        <f>IF('STEP 3 - Edit Project Data'!$B$24="y",IF('STEP 3 - Edit Project Data'!T$12=0,DefaultData!G70,'STEP 3 - Edit Project Data'!T83),'STEP 3 - Edit Project Data'!E83)</f>
        <v>0</v>
      </c>
      <c r="G81" s="8">
        <f t="shared" si="20"/>
        <v>0</v>
      </c>
      <c r="AB81" s="75" t="s">
        <v>280</v>
      </c>
      <c r="AC81" s="15">
        <f>IF('STEP 3 - Edit Project Data'!$B$24="y",DefaultData!D92,'STEP 3 - Edit Project Data'!B99)</f>
        <v>0.12</v>
      </c>
      <c r="AD81" s="15"/>
    </row>
    <row r="82" spans="3:31" x14ac:dyDescent="0.15">
      <c r="C82" t="s">
        <v>582</v>
      </c>
      <c r="D82" s="8">
        <f>SUM(D74:D81)</f>
        <v>12355958.977981098</v>
      </c>
      <c r="E82" s="20">
        <f>D82/(DefaultData!E5*1000)</f>
        <v>41.186529926603662</v>
      </c>
      <c r="G82" s="8">
        <f>SUM(G74:G81)</f>
        <v>807258.33974125911</v>
      </c>
      <c r="AB82" s="75" t="s">
        <v>235</v>
      </c>
      <c r="AC82" s="64">
        <f>IF('STEP 3 - Edit Project Data'!$B$24="y",DefaultData!D93,'STEP 3 - Edit Project Data'!B100)</f>
        <v>10</v>
      </c>
      <c r="AD82" s="15"/>
    </row>
    <row r="83" spans="3:31" ht="28" x14ac:dyDescent="0.15">
      <c r="C83" s="226" t="s">
        <v>575</v>
      </c>
      <c r="D83" s="8">
        <f>IF('STEP 3 - Edit Project Data'!$B$24="y",DefaultData!D72,'STEP 3 - Edit Project Data'!B85)</f>
        <v>260766.71920890728</v>
      </c>
      <c r="E83" s="7">
        <f>IF('STEP 3 - Edit Project Data'!$B$24="y",IF('STEP 3 - Edit Project Data'!T$12=0,DefaultData!G72,'STEP 3 - Edit Project Data'!T85),'STEP 3 - Edit Project Data'!E85)</f>
        <v>1</v>
      </c>
      <c r="G83" s="8">
        <f>D83*E83</f>
        <v>260766.71920890728</v>
      </c>
      <c r="AB83" s="49" t="s">
        <v>203</v>
      </c>
      <c r="AC83" s="8"/>
      <c r="AD83" s="7"/>
    </row>
    <row r="84" spans="3:31" x14ac:dyDescent="0.15">
      <c r="C84" s="1" t="s">
        <v>578</v>
      </c>
      <c r="D84" s="8">
        <f>IF('STEP 3 - Edit Project Data'!$B$24="y",DefaultData!D73,'STEP 3 - Edit Project Data'!B86)</f>
        <v>0</v>
      </c>
      <c r="E84" s="7">
        <f>IF('STEP 3 - Edit Project Data'!$B$24="y",IF('STEP 3 - Edit Project Data'!T$12=0,DefaultData!G73,'STEP 3 - Edit Project Data'!T86),'STEP 3 - Edit Project Data'!E86)</f>
        <v>1</v>
      </c>
      <c r="G84" s="8">
        <f>D84*E84</f>
        <v>0</v>
      </c>
      <c r="AB84" s="82" t="s">
        <v>299</v>
      </c>
      <c r="AC84" s="15" t="str">
        <f>IF('STEP 3 - Edit Project Data'!$B$24="y",DefaultData!D95,'STEP 3 - Edit Project Data'!B102)</f>
        <v>NA</v>
      </c>
      <c r="AD84" s="7"/>
    </row>
    <row r="85" spans="3:31" x14ac:dyDescent="0.15">
      <c r="C85" s="1"/>
      <c r="D85" s="8"/>
      <c r="E85" s="20"/>
      <c r="G85" s="8"/>
      <c r="AB85" s="82" t="s">
        <v>208</v>
      </c>
      <c r="AC85" s="15" t="str">
        <f>IF('STEP 3 - Edit Project Data'!$B$24="y",DefaultData!D96,'STEP 3 - Edit Project Data'!B103)</f>
        <v>NA</v>
      </c>
      <c r="AD85" s="7"/>
    </row>
    <row r="86" spans="3:31" x14ac:dyDescent="0.15">
      <c r="C86" s="24" t="s">
        <v>177</v>
      </c>
      <c r="D86" s="8">
        <f>IF('STEP 3 - Edit Project Data'!$B$24="y",F197,Calculations!F233)</f>
        <v>43736139.918417171</v>
      </c>
      <c r="E86" s="7">
        <f>IF('STEP 3 - Edit Project Data'!$B$24="y",DefaultData!F84,'STEP 3 - Edit Project Data'!E92)</f>
        <v>0</v>
      </c>
      <c r="G86" s="8">
        <f>D86*E86</f>
        <v>0</v>
      </c>
      <c r="H86" s="8">
        <f>IF('STEP 3 - Edit Project Data'!$B$24="y",Calculations!D197,D233)*E86</f>
        <v>0</v>
      </c>
      <c r="I86" s="24" t="s">
        <v>253</v>
      </c>
      <c r="AB86" s="82" t="s">
        <v>300</v>
      </c>
      <c r="AC86" s="15">
        <f>IF('STEP 3 - Edit Project Data'!$B$24="y",DefaultData!D97,'STEP 3 - Edit Project Data'!B104)</f>
        <v>0</v>
      </c>
      <c r="AD86" s="15"/>
    </row>
    <row r="87" spans="3:31" x14ac:dyDescent="0.15">
      <c r="C87" s="24" t="s">
        <v>266</v>
      </c>
      <c r="D87" s="8">
        <f>IF('STEP 3 - Edit Project Data'!$B$24="y",K197,Calculations!K233)</f>
        <v>0</v>
      </c>
      <c r="E87" s="7">
        <f>IF('STEP 3 - Edit Project Data'!$B$24="y",DefaultData!F90,'STEP 3 - Edit Project Data'!E97)</f>
        <v>1</v>
      </c>
      <c r="G87" s="8">
        <f>D87*E87</f>
        <v>0</v>
      </c>
      <c r="H87" s="8">
        <f>IF('STEP 3 - Edit Project Data'!$B$24="y",Calculations!I197,I233)*E87</f>
        <v>0</v>
      </c>
      <c r="I87" s="31" t="s">
        <v>268</v>
      </c>
      <c r="AB87" s="82" t="s">
        <v>298</v>
      </c>
      <c r="AC87" s="81" t="str">
        <f>IF('STEP 3 - Edit Project Data'!$B$24="y",DefaultData!D98,'STEP 3 - Edit Project Data'!B105)</f>
        <v>NA</v>
      </c>
    </row>
    <row r="88" spans="3:31" x14ac:dyDescent="0.15">
      <c r="C88" s="24" t="s">
        <v>267</v>
      </c>
      <c r="D88" s="8">
        <f>IF('STEP 3 - Edit Project Data'!$B$24="y",P197,Calculations!P233)</f>
        <v>14042611.167424642</v>
      </c>
      <c r="E88" s="7">
        <f>IF('STEP 3 - Edit Project Data'!$B$24="y",DefaultData!F91,'STEP 3 - Edit Project Data'!E98)</f>
        <v>0</v>
      </c>
      <c r="G88" s="8">
        <f>D88*E88</f>
        <v>0</v>
      </c>
      <c r="H88" s="8">
        <f>IF('STEP 3 - Edit Project Data'!$B$24="y",Calculations!N197,N233)*E88</f>
        <v>0</v>
      </c>
      <c r="I88" s="24" t="s">
        <v>269</v>
      </c>
      <c r="L88" t="s">
        <v>395</v>
      </c>
      <c r="O88" t="s">
        <v>396</v>
      </c>
      <c r="AB88" s="121" t="s">
        <v>440</v>
      </c>
      <c r="AC88" s="81">
        <f>IF('STEP 3 - Edit Project Data'!$B$24="y",DefaultData!D99,'STEP 3 - Edit Project Data'!B106)</f>
        <v>2971</v>
      </c>
    </row>
    <row r="89" spans="3:31" x14ac:dyDescent="0.15">
      <c r="C89" t="s">
        <v>193</v>
      </c>
      <c r="D89" s="8">
        <f>IF('STEP 3 - Edit Project Data'!$B$24="y",IF(DefaultData!D100="NA",0,DefaultData!D100),'STEP 3 - Edit Project Data'!B107)</f>
        <v>891300</v>
      </c>
      <c r="E89" s="7">
        <f>IF('STEP 3 - Edit Project Data'!$B$24="y",DefaultData!F100,'STEP 3 - Edit Project Data'!E107)</f>
        <v>1</v>
      </c>
      <c r="G89" s="8">
        <f>D89*E89</f>
        <v>891300</v>
      </c>
      <c r="I89" s="10" t="s">
        <v>394</v>
      </c>
      <c r="K89" s="10" t="s">
        <v>394</v>
      </c>
      <c r="L89" s="10" t="s">
        <v>251</v>
      </c>
      <c r="M89" s="10">
        <v>0</v>
      </c>
      <c r="O89" s="10" t="s">
        <v>251</v>
      </c>
      <c r="P89" s="10" t="s">
        <v>393</v>
      </c>
      <c r="AB89" s="82" t="s">
        <v>209</v>
      </c>
      <c r="AC89" s="81">
        <f>IF('STEP 3 - Edit Project Data'!$B$24="y",DefaultData!D100,'STEP 3 - Edit Project Data'!B107)</f>
        <v>891300</v>
      </c>
      <c r="AD89" s="15">
        <f>IF('STEP 3 - Edit Project Data'!$B$24="y",DefaultData!F100,'STEP 3 - Edit Project Data'!E107)</f>
        <v>1</v>
      </c>
    </row>
    <row r="90" spans="3:31" x14ac:dyDescent="0.15">
      <c r="C90" t="s">
        <v>176</v>
      </c>
      <c r="D90" s="8">
        <f>IF('STEP 3 - Edit Project Data'!$B$24="y",DefaultData!D78,'STEP 3 - Edit Project Data'!B112)</f>
        <v>1563900</v>
      </c>
      <c r="E90" s="7">
        <f>IF('STEP 3 - Edit Project Data'!$B$24="y",DefaultData!F105,'STEP 3 - Edit Project Data'!E113)</f>
        <v>1</v>
      </c>
      <c r="G90" s="8">
        <f>D90*E90</f>
        <v>1563900</v>
      </c>
      <c r="H90" s="69">
        <f>IF('STEP 3 - Edit Project Data'!B24="Y",Calculations!L90,O90)</f>
        <v>1563900</v>
      </c>
      <c r="I90" s="24" t="s">
        <v>255</v>
      </c>
      <c r="J90" s="69">
        <f>IF('STEP 3 - Edit Project Data'!B24="Y",Calculations!M90,P90)</f>
        <v>0</v>
      </c>
      <c r="K90" s="24" t="s">
        <v>254</v>
      </c>
      <c r="L90" s="10">
        <f>DefaultData!D104*DefaultData!F105</f>
        <v>1563900</v>
      </c>
      <c r="M90" s="10">
        <v>0</v>
      </c>
      <c r="O90" s="81">
        <f>IF('STEP 3 - Edit Project Data'!B24="N",IF('STEP 3 - Edit Project Data'!B113="F",Calculations!G90,0),0)</f>
        <v>1563900</v>
      </c>
      <c r="P90" s="81">
        <f>IF('STEP 3 - Edit Project Data'!B24="N",IF('STEP 3 - Edit Project Data'!B113="O",Calculations!G90,0),0)</f>
        <v>0</v>
      </c>
      <c r="Q90" s="24"/>
      <c r="AB90" s="224" t="s">
        <v>577</v>
      </c>
      <c r="AC90" s="225">
        <f>IF('STEP 3 - Edit Project Data'!$B$24="y",DefaultData!D101,'STEP 3 - Edit Project Data'!B108)</f>
        <v>2.9000000000000001E-2</v>
      </c>
      <c r="AD90" s="15">
        <f>IF('STEP 3 - Edit Project Data'!$B$24="y",DefaultData!F101,'STEP 3 - Edit Project Data'!E108)</f>
        <v>1</v>
      </c>
    </row>
    <row r="91" spans="3:31" x14ac:dyDescent="0.15">
      <c r="C91" s="24" t="s">
        <v>16</v>
      </c>
      <c r="D91" s="8">
        <f>D69+SUM(D82:D90)</f>
        <v>73694717.805050731</v>
      </c>
      <c r="E91" s="7"/>
      <c r="G91" s="8">
        <f>G69+SUM(G82:G90)+I69+J69</f>
        <v>4367266.0809690682</v>
      </c>
      <c r="AB91" s="49" t="s">
        <v>204</v>
      </c>
      <c r="AC91" s="15"/>
      <c r="AD91" s="15"/>
    </row>
    <row r="92" spans="3:31" x14ac:dyDescent="0.15">
      <c r="C92" s="59" t="s">
        <v>593</v>
      </c>
      <c r="D92" s="69">
        <f>D82+D83+D84+D71</f>
        <v>13460766.719208907</v>
      </c>
      <c r="E92" s="57">
        <f>D91-D92</f>
        <v>60233951.08584182</v>
      </c>
      <c r="G92" s="69">
        <f>G82+G69+I69+J69</f>
        <v>1651299.3617601618</v>
      </c>
      <c r="H92" s="57">
        <f>G91-G92</f>
        <v>2715966.7192089064</v>
      </c>
      <c r="AB92" s="154" t="s">
        <v>252</v>
      </c>
      <c r="AC92" s="45">
        <f>IF('STEP 3 - Edit Project Data'!$B$24="y",DefaultData!D103,'STEP 3 - Edit Project Data'!B110)</f>
        <v>13032.5</v>
      </c>
      <c r="AD92" s="15"/>
    </row>
    <row r="93" spans="3:31" x14ac:dyDescent="0.15">
      <c r="C93" s="31" t="s">
        <v>279</v>
      </c>
      <c r="D93" s="73">
        <f>D92/('STEP 3 - Edit Project Data'!B16*1000)</f>
        <v>44.869222397363025</v>
      </c>
      <c r="AB93" s="82" t="s">
        <v>205</v>
      </c>
      <c r="AC93" s="84">
        <f>IF('STEP 3 - Edit Project Data'!$B$24="y",DefaultData!D104,'STEP 3 - Edit Project Data'!B112)</f>
        <v>1563900</v>
      </c>
    </row>
    <row r="94" spans="3:31" x14ac:dyDescent="0.15">
      <c r="C94" s="31"/>
      <c r="D94" s="73" t="s">
        <v>18</v>
      </c>
      <c r="E94" s="100">
        <v>1</v>
      </c>
      <c r="F94" s="100">
        <v>0.5</v>
      </c>
      <c r="L94" s="1" t="s">
        <v>216</v>
      </c>
      <c r="AB94" s="82" t="s">
        <v>273</v>
      </c>
      <c r="AC94" s="83" t="str">
        <f>IF('STEP 3 - Edit Project Data'!$B$24="y",DefaultData!D105,'STEP 3 - Edit Project Data'!B113)</f>
        <v>F</v>
      </c>
      <c r="AD94" s="15">
        <f>IF('STEP 3 - Edit Project Data'!$B$24="y",DefaultData!F105,'STEP 3 - Edit Project Data'!E113)</f>
        <v>1</v>
      </c>
    </row>
    <row r="95" spans="3:31" x14ac:dyDescent="0.15">
      <c r="C95" s="17" t="s">
        <v>319</v>
      </c>
      <c r="F95" s="25"/>
      <c r="G95" s="26"/>
      <c r="O95">
        <f>M40</f>
        <v>2016</v>
      </c>
      <c r="P95" t="str">
        <f>N40</f>
        <v>Dollars</v>
      </c>
      <c r="S95" t="s">
        <v>192</v>
      </c>
      <c r="AB95" s="90" t="s">
        <v>327</v>
      </c>
      <c r="AC95" s="91" t="s">
        <v>332</v>
      </c>
      <c r="AD95" s="49" t="s">
        <v>335</v>
      </c>
      <c r="AE95" s="1" t="s">
        <v>540</v>
      </c>
    </row>
    <row r="96" spans="3:31" x14ac:dyDescent="0.15">
      <c r="D96" s="19" t="s">
        <v>138</v>
      </c>
      <c r="E96" s="24" t="s">
        <v>260</v>
      </c>
      <c r="F96" s="10" t="s">
        <v>261</v>
      </c>
      <c r="G96" s="10" t="s">
        <v>16</v>
      </c>
      <c r="H96" s="31" t="s">
        <v>373</v>
      </c>
      <c r="I96" s="19"/>
      <c r="J96" s="10"/>
      <c r="L96" s="11" t="s">
        <v>75</v>
      </c>
      <c r="M96" s="11"/>
      <c r="N96" s="11"/>
      <c r="O96" s="11"/>
      <c r="P96" s="11" t="s">
        <v>198</v>
      </c>
      <c r="Q96" s="11"/>
      <c r="R96" s="11"/>
      <c r="S96" s="11"/>
      <c r="T96" s="11" t="s">
        <v>199</v>
      </c>
      <c r="X96" s="11" t="s">
        <v>631</v>
      </c>
      <c r="Y96" s="261"/>
      <c r="Z96" s="261"/>
      <c r="AA96" s="261"/>
      <c r="AB96" s="74" t="s">
        <v>498</v>
      </c>
    </row>
    <row r="97" spans="3:31" x14ac:dyDescent="0.15">
      <c r="E97" s="24" t="s">
        <v>263</v>
      </c>
      <c r="F97" s="10" t="s">
        <v>262</v>
      </c>
      <c r="G97" s="19" t="s">
        <v>259</v>
      </c>
      <c r="H97" s="19">
        <f>M40</f>
        <v>2016</v>
      </c>
      <c r="I97" s="31" t="s">
        <v>190</v>
      </c>
      <c r="J97" s="19"/>
      <c r="L97" s="11" t="s">
        <v>145</v>
      </c>
      <c r="M97" s="11" t="s">
        <v>146</v>
      </c>
      <c r="N97" s="11" t="s">
        <v>147</v>
      </c>
      <c r="O97" s="11" t="s">
        <v>16</v>
      </c>
      <c r="P97" s="11" t="s">
        <v>145</v>
      </c>
      <c r="Q97" s="11" t="s">
        <v>146</v>
      </c>
      <c r="R97" s="11" t="s">
        <v>147</v>
      </c>
      <c r="S97" s="11" t="s">
        <v>16</v>
      </c>
      <c r="T97" s="11" t="s">
        <v>145</v>
      </c>
      <c r="U97" s="11" t="s">
        <v>146</v>
      </c>
      <c r="V97" s="11" t="s">
        <v>147</v>
      </c>
      <c r="W97" s="11" t="s">
        <v>16</v>
      </c>
      <c r="X97" s="11" t="s">
        <v>145</v>
      </c>
      <c r="Y97" s="11" t="s">
        <v>146</v>
      </c>
      <c r="Z97" s="11" t="s">
        <v>147</v>
      </c>
      <c r="AA97" s="11" t="s">
        <v>16</v>
      </c>
      <c r="AB97" s="95" t="s">
        <v>500</v>
      </c>
      <c r="AC97" s="93">
        <f>IF('STEP 3 - Edit Project Data'!$B$24="y",DefaultData!E110,'STEP 3 - Edit Project Data'!B116)</f>
        <v>50.29</v>
      </c>
      <c r="AD97" s="94">
        <f>AC97*40*52</f>
        <v>104603.2</v>
      </c>
      <c r="AE97" s="136">
        <f>IF('STEP 3 - Edit Project Data'!$B$24="y",DefaultData!G110,'STEP 3 - Edit Project Data'!D116)</f>
        <v>0.37606110248282032</v>
      </c>
    </row>
    <row r="98" spans="3:31" ht="17" x14ac:dyDescent="0.15">
      <c r="C98" s="6" t="s">
        <v>76</v>
      </c>
      <c r="D98" s="8">
        <f>$D$141*DefaultData!D121+$D$142*DefaultData!D122+$D$143*DefaultData!D123+$D$144*DefaultData!D124+$D$145*DefaultData!D125+$D$146*DefaultData!D126+$D$147*DefaultData!D127+$D$148*DefaultData!D128+$D$149*DefaultData!D129+$D$150*DefaultData!D130+$D$151*DefaultData!D131+$D$152*DefaultData!D132+$D$153*DefaultData!D133+$D$154*DefaultData!D134</f>
        <v>0</v>
      </c>
      <c r="E98" s="8">
        <f>(H$90*Multipliers!U213)*E$94</f>
        <v>9806.5211591702646</v>
      </c>
      <c r="F98" s="8">
        <f>H$87*Multipliers!U213*F$94</f>
        <v>0</v>
      </c>
      <c r="G98" s="8">
        <f>F98+E98+D98</f>
        <v>9806.5211591702646</v>
      </c>
      <c r="H98" s="18">
        <f t="shared" ref="H98:H111" si="21">G98*G$39/10^6</f>
        <v>9.1661553274764457E-3</v>
      </c>
      <c r="I98" s="8"/>
      <c r="J98" s="18"/>
      <c r="L98" s="52">
        <f>$H98*Multipliers!D213</f>
        <v>6.69076771143471E-2</v>
      </c>
      <c r="M98" s="52">
        <f>$H98*Multipliers!E213</f>
        <v>3.1368505994377655E-2</v>
      </c>
      <c r="N98" s="52">
        <f>$H98*Multipliers!F213</f>
        <v>2.2676861972646532E-2</v>
      </c>
      <c r="O98" s="52">
        <f>+N98+M98+L98</f>
        <v>0.12095304508137128</v>
      </c>
      <c r="P98" s="36">
        <f>$H98*Multipliers!H213</f>
        <v>2.3621113271070941E-3</v>
      </c>
      <c r="Q98" s="36">
        <f>$H98*Multipliers!I213</f>
        <v>1.7754256502241542E-3</v>
      </c>
      <c r="R98" s="36">
        <f>$H98*Multipliers!J213</f>
        <v>1.3118228865820355E-3</v>
      </c>
      <c r="S98" s="36">
        <f>+R98+Q98+P98</f>
        <v>5.4493598639132838E-3</v>
      </c>
      <c r="T98" s="36">
        <f>$H98*Multipliers!L213</f>
        <v>9.1661553274764457E-3</v>
      </c>
      <c r="U98" s="36">
        <f>$H98*Multipliers!M213</f>
        <v>5.8921447929226574E-3</v>
      </c>
      <c r="V98" s="36">
        <f>$H98*Multipliers!N213</f>
        <v>3.8924415901151264E-3</v>
      </c>
      <c r="W98" s="36">
        <f>+V98+U98+T98</f>
        <v>1.8950741710514231E-2</v>
      </c>
      <c r="X98" s="36">
        <f>$H98*Multipliers!P213</f>
        <v>2.7942311417256394E-3</v>
      </c>
      <c r="Y98" s="36">
        <f>$H98*Multipliers!Q213</f>
        <v>2.7248871552190339E-3</v>
      </c>
      <c r="Z98" s="36">
        <f>$H98*Multipliers!R213</f>
        <v>2.2661142948176127E-3</v>
      </c>
      <c r="AA98" s="36">
        <f>+Z98+Y98+X98</f>
        <v>7.7852325917622863E-3</v>
      </c>
      <c r="AB98" s="95" t="s">
        <v>501</v>
      </c>
      <c r="AC98" s="93">
        <f>IF('STEP 3 - Edit Project Data'!$B$24="y",DefaultData!E111,'STEP 3 - Edit Project Data'!B117)</f>
        <v>52.14</v>
      </c>
      <c r="AD98" s="94">
        <f>AC98*40*52</f>
        <v>108451.2</v>
      </c>
      <c r="AE98" s="136">
        <f>IF('STEP 3 - Edit Project Data'!$B$24="y",DefaultData!G111,'STEP 3 - Edit Project Data'!D117)</f>
        <v>0.37606110248282032</v>
      </c>
    </row>
    <row r="99" spans="3:31" ht="17" x14ac:dyDescent="0.15">
      <c r="C99" s="6" t="s">
        <v>148</v>
      </c>
      <c r="D99" s="8">
        <f>$D$141*DefaultData!E121+$D$142*DefaultData!E122+$D$143*DefaultData!E123+$D$144*DefaultData!E124+$D$145*DefaultData!E125+$D$146*DefaultData!E126+$D$147*DefaultData!E127+$D$148*DefaultData!E128+$D$149*DefaultData!E129+$D$150*DefaultData!E130+$D$151*DefaultData!E131+$D$152*DefaultData!E132+$D$153*DefaultData!E133+$D$154*DefaultData!E134</f>
        <v>0</v>
      </c>
      <c r="E99" s="8">
        <f>(H$90*Multipliers!U214)*E$94</f>
        <v>21.462022482813172</v>
      </c>
      <c r="F99" s="8">
        <f>H$87*Multipliers!U214*F$94</f>
        <v>0</v>
      </c>
      <c r="G99" s="8">
        <f t="shared" ref="G99:G112" si="22">F99+E99+D99</f>
        <v>21.462022482813172</v>
      </c>
      <c r="H99" s="18">
        <f t="shared" si="21"/>
        <v>2.0060552414685472E-5</v>
      </c>
      <c r="I99" s="8"/>
      <c r="J99" s="18"/>
      <c r="L99" s="52">
        <f>$H99*Multipliers!D214</f>
        <v>7.1944351209262262E-5</v>
      </c>
      <c r="M99" s="52">
        <f>$H99*Multipliers!E214</f>
        <v>2.5593810135813537E-5</v>
      </c>
      <c r="N99" s="52">
        <f>$H99*Multipliers!F214</f>
        <v>9.0113075374101406E-5</v>
      </c>
      <c r="O99" s="52">
        <f t="shared" ref="O99:O111" si="23">+N99+M99+L99</f>
        <v>1.8765123671917719E-4</v>
      </c>
      <c r="P99" s="36">
        <f>$H99*Multipliers!H214</f>
        <v>1.2351631341421646E-5</v>
      </c>
      <c r="Q99" s="36">
        <f>$H99*Multipliers!I214</f>
        <v>2.1252894980813982E-6</v>
      </c>
      <c r="R99" s="36">
        <f>$H99*Multipliers!J214</f>
        <v>4.537576182069758E-6</v>
      </c>
      <c r="S99" s="36">
        <f t="shared" ref="S99:S111" si="24">+R99+Q99+P99</f>
        <v>1.9014497021572802E-5</v>
      </c>
      <c r="T99" s="36">
        <f>$H99*Multipliers!L214</f>
        <v>2.0060552414685472E-5</v>
      </c>
      <c r="U99" s="36">
        <f>$H99*Multipliers!M214</f>
        <v>4.9521440957416324E-6</v>
      </c>
      <c r="V99" s="36">
        <f>$H99*Multipliers!N214</f>
        <v>1.3465670159391389E-5</v>
      </c>
      <c r="W99" s="36">
        <f t="shared" ref="W99:W111" si="25">+V99+U99+T99</f>
        <v>3.8478366669818497E-5</v>
      </c>
      <c r="X99" s="36">
        <f>$H99*Multipliers!P214</f>
        <v>1.383933043419185E-5</v>
      </c>
      <c r="Y99" s="36">
        <f>$H99*Multipliers!Q214</f>
        <v>2.8842530017846898E-6</v>
      </c>
      <c r="Z99" s="36">
        <f>$H99*Multipliers!R214</f>
        <v>7.8407434040305047E-6</v>
      </c>
      <c r="AA99" s="36">
        <f t="shared" ref="AA99:AA111" si="26">+Z99+Y99+X99</f>
        <v>2.4564326840007045E-5</v>
      </c>
      <c r="AB99" s="95" t="s">
        <v>502</v>
      </c>
      <c r="AC99" s="93">
        <f>IF('STEP 3 - Edit Project Data'!$B$24="y",DefaultData!E112,'STEP 3 - Edit Project Data'!B118)</f>
        <v>55.8</v>
      </c>
      <c r="AD99" s="94">
        <f>AC99*40*52</f>
        <v>116064</v>
      </c>
      <c r="AE99" s="136">
        <f>IF('STEP 3 - Edit Project Data'!$B$24="y",DefaultData!G112,'STEP 3 - Edit Project Data'!D118)</f>
        <v>0.37606110248282032</v>
      </c>
    </row>
    <row r="100" spans="3:31" ht="17" x14ac:dyDescent="0.15">
      <c r="C100" s="6" t="s">
        <v>77</v>
      </c>
      <c r="D100" s="8">
        <f>$D$141*DefaultData!F121+$D$142*DefaultData!F122+$D$143*DefaultData!F123+$D$144*DefaultData!F124+$D$145*DefaultData!F125+$D$146*DefaultData!F126+$D$147*DefaultData!F127+$D$148*DefaultData!F128+$D$149*DefaultData!F129+$D$150*DefaultData!F130+$D$151*DefaultData!F131+$D$152*DefaultData!F132+$D$153*DefaultData!F133+$D$154*DefaultData!F134</f>
        <v>0</v>
      </c>
      <c r="E100" s="8">
        <f>(H$90*Multipliers!U215)*E$94</f>
        <v>0</v>
      </c>
      <c r="F100" s="8">
        <f>H$87*Multipliers!U215*F$94</f>
        <v>0</v>
      </c>
      <c r="G100" s="8">
        <f t="shared" si="22"/>
        <v>0</v>
      </c>
      <c r="H100" s="18">
        <f t="shared" si="21"/>
        <v>0</v>
      </c>
      <c r="I100" s="8"/>
      <c r="J100" s="18"/>
      <c r="L100" s="52">
        <f>$H100*Multipliers!D215</f>
        <v>0</v>
      </c>
      <c r="M100" s="52">
        <f>$H100*Multipliers!E215</f>
        <v>0</v>
      </c>
      <c r="N100" s="52">
        <f>$H100*Multipliers!F215</f>
        <v>0</v>
      </c>
      <c r="O100" s="52">
        <f t="shared" si="23"/>
        <v>0</v>
      </c>
      <c r="P100" s="36">
        <f>$H100*Multipliers!H215</f>
        <v>0</v>
      </c>
      <c r="Q100" s="36">
        <f>$H100*Multipliers!I215</f>
        <v>0</v>
      </c>
      <c r="R100" s="36">
        <f>$H100*Multipliers!J215</f>
        <v>0</v>
      </c>
      <c r="S100" s="36">
        <f t="shared" si="24"/>
        <v>0</v>
      </c>
      <c r="T100" s="36">
        <f>$H100*Multipliers!L215</f>
        <v>0</v>
      </c>
      <c r="U100" s="36">
        <f>$H100*Multipliers!M215</f>
        <v>0</v>
      </c>
      <c r="V100" s="36">
        <f>$H100*Multipliers!N215</f>
        <v>0</v>
      </c>
      <c r="W100" s="36">
        <f t="shared" si="25"/>
        <v>0</v>
      </c>
      <c r="X100" s="36">
        <f>$H100*Multipliers!P215</f>
        <v>0</v>
      </c>
      <c r="Y100" s="36">
        <f>$H100*Multipliers!Q215</f>
        <v>0</v>
      </c>
      <c r="Z100" s="36">
        <f>$H100*Multipliers!R215</f>
        <v>0</v>
      </c>
      <c r="AA100" s="36">
        <f t="shared" si="26"/>
        <v>0</v>
      </c>
      <c r="AB100" s="95" t="s">
        <v>503</v>
      </c>
      <c r="AC100" s="93">
        <f>IF('STEP 3 - Edit Project Data'!$B$24="y",DefaultData!E113,'STEP 3 - Edit Project Data'!B119)</f>
        <v>47.03</v>
      </c>
      <c r="AD100" s="94">
        <f>AC100*40*52</f>
        <v>97822.400000000009</v>
      </c>
      <c r="AE100" s="136">
        <f>IF('STEP 3 - Edit Project Data'!$B$24="y",DefaultData!G113,'STEP 3 - Edit Project Data'!D119)</f>
        <v>0.37606110248282032</v>
      </c>
    </row>
    <row r="101" spans="3:31" ht="17" x14ac:dyDescent="0.15">
      <c r="C101" s="6" t="s">
        <v>149</v>
      </c>
      <c r="D101" s="8">
        <f>$D$141*DefaultData!G121+$D$142*DefaultData!G122+$D$143*DefaultData!G123+$D$144*DefaultData!G124+$D$145*DefaultData!G125+$D$146*DefaultData!G126+$D$147*DefaultData!G127+$D$148*DefaultData!G128+$D$149*DefaultData!G129+$D$150*DefaultData!G130+$D$151*DefaultData!G131+$D$152*DefaultData!G132+$D$153*DefaultData!G133+$D$154*DefaultData!G134</f>
        <v>0</v>
      </c>
      <c r="E101" s="8">
        <f>(H$90*Multipliers!U216)*E$94</f>
        <v>67300.591137913885</v>
      </c>
      <c r="F101" s="8">
        <f>H$87*Multipliers!U216*F$94</f>
        <v>0</v>
      </c>
      <c r="G101" s="8">
        <f t="shared" si="22"/>
        <v>67300.591137913885</v>
      </c>
      <c r="H101" s="18">
        <f t="shared" si="21"/>
        <v>6.2905862536608098E-2</v>
      </c>
      <c r="I101" s="8"/>
      <c r="J101" s="18"/>
      <c r="L101" s="52">
        <f>$H101*Multipliers!D216</f>
        <v>0.13858452117035203</v>
      </c>
      <c r="M101" s="52">
        <f>$H101*Multipliers!E216</f>
        <v>0.15035868288859033</v>
      </c>
      <c r="N101" s="52">
        <f>$H101*Multipliers!F216</f>
        <v>0.13149313737483698</v>
      </c>
      <c r="O101" s="52">
        <f t="shared" si="23"/>
        <v>0.42043634143377934</v>
      </c>
      <c r="P101" s="36">
        <f>$H101*Multipliers!H216</f>
        <v>1.1153706937345008E-2</v>
      </c>
      <c r="Q101" s="36">
        <f>$H101*Multipliers!I216</f>
        <v>9.8775785111370074E-3</v>
      </c>
      <c r="R101" s="36">
        <f>$H101*Multipliers!J216</f>
        <v>6.7810191739700459E-3</v>
      </c>
      <c r="S101" s="36">
        <f t="shared" si="24"/>
        <v>2.7812304622452058E-2</v>
      </c>
      <c r="T101" s="36">
        <f>$H101*Multipliers!L216</f>
        <v>6.2905862536608098E-2</v>
      </c>
      <c r="U101" s="36">
        <f>$H101*Multipliers!M216</f>
        <v>2.8303129240467319E-2</v>
      </c>
      <c r="V101" s="36">
        <f>$H101*Multipliers!N216</f>
        <v>2.0116933296019018E-2</v>
      </c>
      <c r="W101" s="36">
        <f t="shared" si="25"/>
        <v>0.11132592507309444</v>
      </c>
      <c r="X101" s="36">
        <f>$H101*Multipliers!P216</f>
        <v>1.9781442651376935E-2</v>
      </c>
      <c r="Y101" s="36">
        <f>$H101*Multipliers!Q216</f>
        <v>1.4728987454602067E-2</v>
      </c>
      <c r="Z101" s="36">
        <f>$H101*Multipliers!R216</f>
        <v>1.1709131428155668E-2</v>
      </c>
      <c r="AA101" s="36">
        <f t="shared" si="26"/>
        <v>4.6219561534134673E-2</v>
      </c>
      <c r="AB101" s="74" t="s">
        <v>499</v>
      </c>
      <c r="AC101" s="91" t="s">
        <v>332</v>
      </c>
      <c r="AD101" s="49" t="s">
        <v>335</v>
      </c>
      <c r="AE101" s="1" t="s">
        <v>540</v>
      </c>
    </row>
    <row r="102" spans="3:31" ht="17" x14ac:dyDescent="0.15">
      <c r="C102" s="6" t="s">
        <v>150</v>
      </c>
      <c r="D102" s="8">
        <f>$D$141*DefaultData!H121+$D$142*DefaultData!H122+$D$143*DefaultData!H123+$D$144*DefaultData!H124+$D$145*DefaultData!H125+$D$146*DefaultData!H126+$D$147*DefaultData!H127+$D$148*DefaultData!H128+$D$149*DefaultData!H129+$D$150*DefaultData!H130+$D$151*DefaultData!H131+$D$152*DefaultData!H132+$D$153*DefaultData!H133+$D$154*DefaultData!H134</f>
        <v>0</v>
      </c>
      <c r="E102" s="8">
        <f>(H$90*Multipliers!U217)*E$94</f>
        <v>2.8950167719595923</v>
      </c>
      <c r="F102" s="8">
        <f>H$87*Multipliers!U217*F$94</f>
        <v>0</v>
      </c>
      <c r="G102" s="8">
        <f t="shared" si="22"/>
        <v>2.8950167719595923</v>
      </c>
      <c r="H102" s="18">
        <f t="shared" si="21"/>
        <v>2.7059721767506307E-6</v>
      </c>
      <c r="I102" s="8"/>
      <c r="J102" s="18"/>
      <c r="L102" s="52">
        <f>$H102*Multipliers!D217</f>
        <v>1.013174666953399E-5</v>
      </c>
      <c r="M102" s="52">
        <f>$H102*Multipliers!E217</f>
        <v>5.9541447787496393E-6</v>
      </c>
      <c r="N102" s="52">
        <f>$H102*Multipliers!F217</f>
        <v>6.6262068913262143E-6</v>
      </c>
      <c r="O102" s="52">
        <f t="shared" si="23"/>
        <v>2.2712098339609844E-5</v>
      </c>
      <c r="P102" s="36">
        <f>$H102*Multipliers!H217</f>
        <v>6.6371002272702493E-7</v>
      </c>
      <c r="Q102" s="36">
        <f>$H102*Multipliers!I217</f>
        <v>3.7202392961212279E-7</v>
      </c>
      <c r="R102" s="36">
        <f>$H102*Multipliers!J217</f>
        <v>3.345396454115225E-7</v>
      </c>
      <c r="S102" s="36">
        <f t="shared" si="24"/>
        <v>1.3702735977506703E-6</v>
      </c>
      <c r="T102" s="36">
        <f>$H102*Multipliers!L217</f>
        <v>2.7059721767506307E-6</v>
      </c>
      <c r="U102" s="36">
        <f>$H102*Multipliers!M217</f>
        <v>1.0940476675562798E-6</v>
      </c>
      <c r="V102" s="36">
        <f>$H102*Multipliers!N217</f>
        <v>9.9242568349923329E-7</v>
      </c>
      <c r="W102" s="36">
        <f t="shared" si="25"/>
        <v>4.7924455278061438E-6</v>
      </c>
      <c r="X102" s="36">
        <f>$H102*Multipliers!P217</f>
        <v>8.8994134968245382E-7</v>
      </c>
      <c r="Y102" s="36">
        <f>$H102*Multipliers!Q217</f>
        <v>5.737514853945075E-7</v>
      </c>
      <c r="Z102" s="36">
        <f>$H102*Multipliers!R217</f>
        <v>5.776165337396706E-7</v>
      </c>
      <c r="AA102" s="36">
        <f t="shared" si="26"/>
        <v>2.041309368816632E-6</v>
      </c>
      <c r="AB102" s="92" t="s">
        <v>201</v>
      </c>
      <c r="AC102" s="93">
        <f>IF('STEP 3 - Edit Project Data'!$B$24="y",DefaultData!E115,'STEP 3 - Edit Project Data'!B121)</f>
        <v>24.815033103797841</v>
      </c>
      <c r="AD102" s="94">
        <f>AC102*40*52</f>
        <v>51615.268855899514</v>
      </c>
      <c r="AE102" s="136">
        <f>IF('STEP 3 - Edit Project Data'!$B$24="y",DefaultData!G115,'STEP 3 - Edit Project Data'!D121)</f>
        <v>0.37606110248282032</v>
      </c>
    </row>
    <row r="103" spans="3:31" ht="17" x14ac:dyDescent="0.15">
      <c r="C103" s="6" t="s">
        <v>151</v>
      </c>
      <c r="D103" s="8">
        <f>$D$141*DefaultData!I121+$D$142*DefaultData!I122+$D$143*DefaultData!I123+$D$144*DefaultData!I124+$D$145*DefaultData!I125+$D$146*DefaultData!I126+$D$147*DefaultData!I127+$D$148*DefaultData!I128+$D$149*DefaultData!I129+$D$150*DefaultData!I130+$D$151*DefaultData!I131+$D$152*DefaultData!I132+$D$153*DefaultData!I133+$D$154*DefaultData!I134</f>
        <v>0</v>
      </c>
      <c r="E103" s="8">
        <f>(H$90*Multipliers!U218)*E$94</f>
        <v>14.787697349281025</v>
      </c>
      <c r="F103" s="8">
        <f>H$87*Multipliers!U218*F$94</f>
        <v>0</v>
      </c>
      <c r="G103" s="8">
        <f t="shared" si="22"/>
        <v>14.787697349281025</v>
      </c>
      <c r="H103" s="18">
        <f t="shared" si="21"/>
        <v>1.3822060712372974E-5</v>
      </c>
      <c r="I103" s="8"/>
      <c r="J103" s="18"/>
      <c r="L103" s="52">
        <f>$H103*Multipliers!D218</f>
        <v>3.3724137066388293E-5</v>
      </c>
      <c r="M103" s="52">
        <f>$H103*Multipliers!E218</f>
        <v>3.0257093191224738E-5</v>
      </c>
      <c r="N103" s="52">
        <f>$H103*Multipliers!F218</f>
        <v>2.9659839349935853E-5</v>
      </c>
      <c r="O103" s="52">
        <f t="shared" si="23"/>
        <v>9.3641069607548885E-5</v>
      </c>
      <c r="P103" s="36">
        <f>$H103*Multipliers!H218</f>
        <v>2.6711383061705437E-6</v>
      </c>
      <c r="Q103" s="36">
        <f>$H103*Multipliers!I218</f>
        <v>1.9490237037449926E-6</v>
      </c>
      <c r="R103" s="36">
        <f>$H103*Multipliers!J218</f>
        <v>1.4937383991757571E-6</v>
      </c>
      <c r="S103" s="36">
        <f t="shared" si="24"/>
        <v>6.1139004090912933E-6</v>
      </c>
      <c r="T103" s="36">
        <f>$H103*Multipliers!L218</f>
        <v>1.3822060712372974E-5</v>
      </c>
      <c r="U103" s="36">
        <f>$H103*Multipliers!M218</f>
        <v>5.7650412284307585E-6</v>
      </c>
      <c r="V103" s="36">
        <f>$H103*Multipliers!N218</f>
        <v>4.4312105902285224E-6</v>
      </c>
      <c r="W103" s="36">
        <f t="shared" si="25"/>
        <v>2.4018312531032256E-5</v>
      </c>
      <c r="X103" s="36">
        <f>$H103*Multipliers!P218</f>
        <v>3.3851058980502439E-6</v>
      </c>
      <c r="Y103" s="36">
        <f>$H103*Multipliers!Q218</f>
        <v>3.0478038551861058E-6</v>
      </c>
      <c r="Z103" s="36">
        <f>$H103*Multipliers!R218</f>
        <v>2.5790595065598844E-6</v>
      </c>
      <c r="AA103" s="36">
        <f t="shared" si="26"/>
        <v>9.0119692597962345E-6</v>
      </c>
      <c r="AB103" s="95" t="s">
        <v>409</v>
      </c>
      <c r="AC103" s="93">
        <f>IF('STEP 3 - Edit Project Data'!$B$24="y",DefaultData!E116,'STEP 3 - Edit Project Data'!B122)</f>
        <v>15.881621186430618</v>
      </c>
      <c r="AD103" s="94">
        <f>AC103*40*52</f>
        <v>33033.772067775688</v>
      </c>
      <c r="AE103" s="136">
        <f>IF('STEP 3 - Edit Project Data'!$B$24="y",DefaultData!G116,'STEP 3 - Edit Project Data'!D122)</f>
        <v>0.37606110248282032</v>
      </c>
    </row>
    <row r="104" spans="3:31" ht="17" x14ac:dyDescent="0.15">
      <c r="C104" s="6" t="s">
        <v>152</v>
      </c>
      <c r="D104" s="8">
        <f>$D$141*DefaultData!J121+$D$142*DefaultData!J122+$D$143*DefaultData!J123+$D$144*DefaultData!J124+$D$145*DefaultData!J125+$D$146*DefaultData!J126+$D$147*DefaultData!J127+$D$148*DefaultData!J128+$D$149*DefaultData!J129+$D$150*DefaultData!J130+$D$151*DefaultData!J131+$D$152*DefaultData!J132+$D$153*DefaultData!J133+$D$154*DefaultData!J134</f>
        <v>0</v>
      </c>
      <c r="E104" s="8">
        <f>(H$90*Multipliers!U219)*E$94</f>
        <v>9.9392827055403981</v>
      </c>
      <c r="F104" s="8">
        <f>H$87*Multipliers!U219*F$94</f>
        <v>0</v>
      </c>
      <c r="G104" s="8">
        <f t="shared" si="22"/>
        <v>9.9392827055403981</v>
      </c>
      <c r="H104" s="18">
        <f t="shared" si="21"/>
        <v>9.2902475448686104E-6</v>
      </c>
      <c r="I104" s="8"/>
      <c r="J104" s="18"/>
      <c r="L104" s="52">
        <f>$H104*Multipliers!D219</f>
        <v>2.0789814203753833E-5</v>
      </c>
      <c r="M104" s="52">
        <f>$H104*Multipliers!E219</f>
        <v>2.2293579546827451E-5</v>
      </c>
      <c r="N104" s="52">
        <f>$H104*Multipliers!F219</f>
        <v>2.0948310096413029E-5</v>
      </c>
      <c r="O104" s="52">
        <f t="shared" si="23"/>
        <v>6.4031703846994316E-5</v>
      </c>
      <c r="P104" s="36">
        <f>$H104*Multipliers!H219</f>
        <v>1.8230197832465379E-6</v>
      </c>
      <c r="Q104" s="36">
        <f>$H104*Multipliers!I219</f>
        <v>1.4198600891934284E-6</v>
      </c>
      <c r="R104" s="36">
        <f>$H104*Multipliers!J219</f>
        <v>1.0499578341496456E-6</v>
      </c>
      <c r="S104" s="36">
        <f t="shared" si="24"/>
        <v>4.292837706589612E-6</v>
      </c>
      <c r="T104" s="36">
        <f>$H104*Multipliers!L219</f>
        <v>9.2902475448686104E-6</v>
      </c>
      <c r="U104" s="36">
        <f>$H104*Multipliers!M219</f>
        <v>3.9822066652779459E-6</v>
      </c>
      <c r="V104" s="36">
        <f>$H104*Multipliers!N219</f>
        <v>3.114708268005983E-6</v>
      </c>
      <c r="W104" s="36">
        <f t="shared" si="25"/>
        <v>1.6387162478152539E-5</v>
      </c>
      <c r="X104" s="36">
        <f>$H104*Multipliers!P219</f>
        <v>3.0464352150316385E-6</v>
      </c>
      <c r="Y104" s="36">
        <f>$H104*Multipliers!Q219</f>
        <v>2.1600651832033589E-6</v>
      </c>
      <c r="Z104" s="36">
        <f>$H104*Multipliers!R219</f>
        <v>1.8128166152320748E-6</v>
      </c>
      <c r="AA104" s="36">
        <f t="shared" si="26"/>
        <v>7.0193170134670722E-6</v>
      </c>
      <c r="AB104" s="95" t="s">
        <v>410</v>
      </c>
      <c r="AC104" s="93">
        <f>IF('STEP 3 - Edit Project Data'!$B$24="y",DefaultData!E117,'STEP 3 - Edit Project Data'!B123)</f>
        <v>39.704052966076546</v>
      </c>
      <c r="AD104" s="94">
        <f>AC104*40*52</f>
        <v>82584.43016943922</v>
      </c>
      <c r="AE104" s="136">
        <f>IF('STEP 3 - Edit Project Data'!$B$24="y",DefaultData!G117,'STEP 3 - Edit Project Data'!D123)</f>
        <v>0.37606110248282032</v>
      </c>
    </row>
    <row r="105" spans="3:31" ht="17" x14ac:dyDescent="0.15">
      <c r="C105" s="6" t="s">
        <v>153</v>
      </c>
      <c r="D105" s="8">
        <f>$D$141*DefaultData!K121+$D$142*DefaultData!K122+$D$143*DefaultData!K123+$D$144*DefaultData!K124+$D$145*DefaultData!K125+$D$146*DefaultData!K126+$D$147*DefaultData!K127+$D$148*DefaultData!K128+$D$149*DefaultData!K129+$D$150*DefaultData!K130+$D$151*DefaultData!K131+$D$152*DefaultData!K132+$D$153*DefaultData!K133+$D$154*DefaultData!K134</f>
        <v>279994.58519099571</v>
      </c>
      <c r="E105" s="8">
        <f>(H$90*Multipliers!U220)*E$94</f>
        <v>66980.49340474249</v>
      </c>
      <c r="F105" s="8">
        <f>H$87*Multipliers!U220*F$94</f>
        <v>0</v>
      </c>
      <c r="G105" s="8">
        <f t="shared" si="22"/>
        <v>346975.07859573822</v>
      </c>
      <c r="H105" s="18">
        <f t="shared" si="21"/>
        <v>0.32431760596343651</v>
      </c>
      <c r="I105" s="8"/>
      <c r="J105" s="18"/>
      <c r="L105" s="52">
        <f>$H105*Multipliers!D220</f>
        <v>0.9195366517427046</v>
      </c>
      <c r="M105" s="52">
        <f>$H105*Multipliers!E220</f>
        <v>0.84424339283672223</v>
      </c>
      <c r="N105" s="52">
        <f>$H105*Multipliers!F220</f>
        <v>1.1149486049478552</v>
      </c>
      <c r="O105" s="52">
        <f t="shared" si="23"/>
        <v>2.8787286495272819</v>
      </c>
      <c r="P105" s="36">
        <f>$H105*Multipliers!H220</f>
        <v>0.11552823819069447</v>
      </c>
      <c r="Q105" s="36">
        <f>$H105*Multipliers!I220</f>
        <v>6.0833592877287325E-2</v>
      </c>
      <c r="R105" s="36">
        <f>$H105*Multipliers!J220</f>
        <v>5.6069350565828444E-2</v>
      </c>
      <c r="S105" s="36">
        <f t="shared" si="24"/>
        <v>0.23243118163381024</v>
      </c>
      <c r="T105" s="36">
        <f>$H105*Multipliers!L220</f>
        <v>0.32431760596343651</v>
      </c>
      <c r="U105" s="36">
        <f>$H105*Multipliers!M220</f>
        <v>0.15889975213568794</v>
      </c>
      <c r="V105" s="36">
        <f>$H105*Multipliers!N220</f>
        <v>0.16636737716209166</v>
      </c>
      <c r="W105" s="36">
        <f t="shared" si="25"/>
        <v>0.64958473526121607</v>
      </c>
      <c r="X105" s="36">
        <f>$H105*Multipliers!P220</f>
        <v>0.15980297243545374</v>
      </c>
      <c r="Y105" s="36">
        <f>$H105*Multipliers!Q220</f>
        <v>8.9764625807081999E-2</v>
      </c>
      <c r="Z105" s="36">
        <f>$H105*Multipliers!R220</f>
        <v>9.6855430924052868E-2</v>
      </c>
      <c r="AA105" s="36">
        <f t="shared" si="26"/>
        <v>0.34642302916658863</v>
      </c>
    </row>
    <row r="106" spans="3:31" ht="17" x14ac:dyDescent="0.15">
      <c r="C106" s="6" t="s">
        <v>78</v>
      </c>
      <c r="D106" s="8">
        <f>$D$141*DefaultData!L121+$D$142*DefaultData!L122+$D$143*DefaultData!L123+$D$144*DefaultData!L124+$D$145*DefaultData!L125+$D$146*DefaultData!L126+$D$147*DefaultData!L127+$D$148*DefaultData!L128+$D$149*DefaultData!L129+$D$150*DefaultData!L130+$D$151*DefaultData!L131+$D$152*DefaultData!L132+$D$153*DefaultData!L133+$D$154*DefaultData!L134</f>
        <v>253241.17548861419</v>
      </c>
      <c r="E106" s="8">
        <f>(H$90*Multipliers!U221)*E$94</f>
        <v>83646.424334785857</v>
      </c>
      <c r="F106" s="8">
        <f>H$87*Multipliers!U221*F$94</f>
        <v>0</v>
      </c>
      <c r="G106" s="8">
        <f t="shared" si="22"/>
        <v>336887.59982340003</v>
      </c>
      <c r="H106" s="18">
        <f t="shared" si="21"/>
        <v>0.31488883955493202</v>
      </c>
      <c r="I106" s="8"/>
      <c r="J106" s="18"/>
      <c r="L106" s="52">
        <f>$H106*Multipliers!D221</f>
        <v>1.3294917823239978</v>
      </c>
      <c r="M106" s="52">
        <f>$H106*Multipliers!E221</f>
        <v>0.87585271591435232</v>
      </c>
      <c r="N106" s="52">
        <f>$H106*Multipliers!F221</f>
        <v>1.0556814293246184</v>
      </c>
      <c r="O106" s="52">
        <f t="shared" si="23"/>
        <v>3.2610259275629687</v>
      </c>
      <c r="P106" s="36">
        <f>$H106*Multipliers!H221</f>
        <v>0.11842810132425484</v>
      </c>
      <c r="Q106" s="36">
        <f>$H106*Multipliers!I221</f>
        <v>4.9765575437846155E-2</v>
      </c>
      <c r="R106" s="36">
        <f>$H106*Multipliers!J221</f>
        <v>5.4302311409293251E-2</v>
      </c>
      <c r="S106" s="36">
        <f t="shared" si="24"/>
        <v>0.22249598817139427</v>
      </c>
      <c r="T106" s="36">
        <f>$H106*Multipliers!L221</f>
        <v>0.31488883955493202</v>
      </c>
      <c r="U106" s="36">
        <f>$H106*Multipliers!M221</f>
        <v>0.13202001733455782</v>
      </c>
      <c r="V106" s="36">
        <f>$H106*Multipliers!N221</f>
        <v>0.16109005705750873</v>
      </c>
      <c r="W106" s="36">
        <f t="shared" si="25"/>
        <v>0.60799891394699856</v>
      </c>
      <c r="X106" s="36">
        <f>$H106*Multipliers!P221</f>
        <v>0.20359178372140371</v>
      </c>
      <c r="Y106" s="36">
        <f>$H106*Multipliers!Q221</f>
        <v>7.688081569604005E-2</v>
      </c>
      <c r="Z106" s="36">
        <f>$H106*Multipliers!R221</f>
        <v>9.3758376218943187E-2</v>
      </c>
      <c r="AA106" s="36">
        <f t="shared" si="26"/>
        <v>0.37423097563638696</v>
      </c>
    </row>
    <row r="107" spans="3:31" ht="17" x14ac:dyDescent="0.15">
      <c r="C107" s="6" t="s">
        <v>79</v>
      </c>
      <c r="D107" s="8">
        <f>$D$141*DefaultData!M121+$D$142*DefaultData!M122+$D$143*DefaultData!M123+$D$144*DefaultData!M124+$D$145*DefaultData!M125+$D$146*DefaultData!M126+$D$147*DefaultData!M127+$D$148*DefaultData!M128+$D$149*DefaultData!M129+$D$150*DefaultData!M130+$D$151*DefaultData!M131+$D$152*DefaultData!M132+$D$153*DefaultData!M133+$D$154*DefaultData!M134</f>
        <v>149643.97539695189</v>
      </c>
      <c r="E107" s="8">
        <f>(H$90*Multipliers!U222)*E$94</f>
        <v>213961.61110678187</v>
      </c>
      <c r="F107" s="8">
        <f>H$87*Multipliers!U222*F$94</f>
        <v>0</v>
      </c>
      <c r="G107" s="8">
        <f t="shared" si="22"/>
        <v>363605.58650373376</v>
      </c>
      <c r="H107" s="18">
        <f t="shared" si="21"/>
        <v>0.33986214170503992</v>
      </c>
      <c r="I107" s="8"/>
      <c r="J107" s="18"/>
      <c r="L107" s="52">
        <f>$H107*Multipliers!D222</f>
        <v>3.589180213766662</v>
      </c>
      <c r="M107" s="52">
        <f>$H107*Multipliers!E222</f>
        <v>0.86492451519136415</v>
      </c>
      <c r="N107" s="52">
        <f>$H107*Multipliers!F222</f>
        <v>1.0423218661012861</v>
      </c>
      <c r="O107" s="52">
        <f t="shared" si="23"/>
        <v>5.4964265950593116</v>
      </c>
      <c r="P107" s="36">
        <f>$H107*Multipliers!H222</f>
        <v>0.13276275824311995</v>
      </c>
      <c r="Q107" s="36">
        <f>$H107*Multipliers!I222</f>
        <v>5.3265597398290246E-2</v>
      </c>
      <c r="R107" s="36">
        <f>$H107*Multipliers!J222</f>
        <v>5.9941106417026407E-2</v>
      </c>
      <c r="S107" s="36">
        <f t="shared" si="24"/>
        <v>0.24596946205843662</v>
      </c>
      <c r="T107" s="36">
        <f>$H107*Multipliers!L222</f>
        <v>0.33986214170503992</v>
      </c>
      <c r="U107" s="36">
        <f>$H107*Multipliers!M222</f>
        <v>0.15132014055095105</v>
      </c>
      <c r="V107" s="36">
        <f>$H107*Multipliers!N222</f>
        <v>0.17782158385125207</v>
      </c>
      <c r="W107" s="36">
        <f t="shared" si="25"/>
        <v>0.66900386610724305</v>
      </c>
      <c r="X107" s="36">
        <f>$H107*Multipliers!P222</f>
        <v>0.21514759018809806</v>
      </c>
      <c r="Y107" s="36">
        <f>$H107*Multipliers!Q222</f>
        <v>8.6535967611286874E-2</v>
      </c>
      <c r="Z107" s="36">
        <f>$H107*Multipliers!R222</f>
        <v>0.10349922984797977</v>
      </c>
      <c r="AA107" s="36">
        <f t="shared" si="26"/>
        <v>0.40518278764736471</v>
      </c>
    </row>
    <row r="108" spans="3:31" ht="17" x14ac:dyDescent="0.15">
      <c r="C108" s="6" t="s">
        <v>154</v>
      </c>
      <c r="D108" s="8">
        <f>$D$141*DefaultData!N121+$D$142*DefaultData!N122+$D$143*DefaultData!N123+$D$144*DefaultData!N124+$D$145*DefaultData!N125+$D$146*DefaultData!N126+$D$147*DefaultData!N127+$D$148*DefaultData!N128+$D$149*DefaultData!N129+$D$150*DefaultData!N130+$D$151*DefaultData!N131+$D$152*DefaultData!N132+$D$153*DefaultData!N133+$D$154*DefaultData!N134</f>
        <v>257326.29503501643</v>
      </c>
      <c r="E108" s="8">
        <f>(H$90*Multipliers!U223)*E$94</f>
        <v>276316.54447428428</v>
      </c>
      <c r="F108" s="8">
        <f>H$87*Multipliers!U223*F$94</f>
        <v>0</v>
      </c>
      <c r="G108" s="8">
        <f t="shared" si="22"/>
        <v>533642.83950930065</v>
      </c>
      <c r="H108" s="18">
        <f t="shared" si="21"/>
        <v>0.49879596208934329</v>
      </c>
      <c r="I108" s="8"/>
      <c r="J108" s="18"/>
      <c r="L108" s="52">
        <f>($H108-(($H86+$H88)*$G39/10^6))*Multipliers!D223</f>
        <v>2.4814313509508015</v>
      </c>
      <c r="M108" s="52">
        <f>($H108*Multipliers!E223)</f>
        <v>1.7741419886169496</v>
      </c>
      <c r="N108" s="52">
        <f>($H108*Multipliers!F223)</f>
        <v>1.2498645971115365</v>
      </c>
      <c r="O108" s="52">
        <f t="shared" si="23"/>
        <v>5.5054379366792876</v>
      </c>
      <c r="P108" s="36">
        <f>($H108-(($H86+$H88)*$G39/10^6))*Multipliers!H223</f>
        <v>0.1044882151881279</v>
      </c>
      <c r="Q108" s="36">
        <f>$H108*Multipliers!I223</f>
        <v>9.2704639204579595E-2</v>
      </c>
      <c r="R108" s="36">
        <f>$H108*Multipliers!J223</f>
        <v>6.3605600981652133E-2</v>
      </c>
      <c r="S108" s="36">
        <f t="shared" si="24"/>
        <v>0.26079845537435964</v>
      </c>
      <c r="T108" s="36">
        <f>$H108*Multipliers!L223</f>
        <v>0.49879596208934329</v>
      </c>
      <c r="U108" s="36">
        <f>$H108*Multipliers!M223</f>
        <v>0.29772884061274202</v>
      </c>
      <c r="V108" s="36">
        <f>$H108*Multipliers!N223</f>
        <v>0.18869223629813495</v>
      </c>
      <c r="W108" s="36">
        <f t="shared" si="25"/>
        <v>0.98521703900022028</v>
      </c>
      <c r="X108" s="36">
        <f>$H108*Multipliers!P223</f>
        <v>0.27322910326660838</v>
      </c>
      <c r="Y108" s="36">
        <f>$H108*Multipliers!Q223</f>
        <v>0.16745491544073962</v>
      </c>
      <c r="Z108" s="36">
        <f>$H108*Multipliers!R223</f>
        <v>0.1098261975906865</v>
      </c>
      <c r="AA108" s="36">
        <f t="shared" si="26"/>
        <v>0.55051021629803443</v>
      </c>
    </row>
    <row r="109" spans="3:31" ht="17" x14ac:dyDescent="0.15">
      <c r="C109" s="6" t="s">
        <v>155</v>
      </c>
      <c r="D109" s="8">
        <f>$D$141*DefaultData!O121+$D$142*DefaultData!O122+$D$143*DefaultData!O123+$D$144*DefaultData!O124+$D$145*DefaultData!O125+$D$146*DefaultData!O126+$D$147*DefaultData!O127+$D$148*DefaultData!O128+$D$149*DefaultData!O129+$D$150*DefaultData!O130+$D$151*DefaultData!O131+$D$152*DefaultData!O132+$D$153*DefaultData!O133+$D$154*DefaultData!O134</f>
        <v>55548.093717366515</v>
      </c>
      <c r="E109" s="8">
        <f>(H$90*Multipliers!U224)*E$94</f>
        <v>814603.75140673365</v>
      </c>
      <c r="F109" s="8">
        <f>H$87*Multipliers!U224*F$94</f>
        <v>0</v>
      </c>
      <c r="G109" s="8">
        <f t="shared" si="22"/>
        <v>870151.8451241001</v>
      </c>
      <c r="H109" s="18">
        <f t="shared" si="21"/>
        <v>0.81333092963749631</v>
      </c>
      <c r="I109" s="8"/>
      <c r="J109" s="18"/>
      <c r="L109" s="52">
        <f>$H109*Multipliers!D224</f>
        <v>6.6990298668148247</v>
      </c>
      <c r="M109" s="52">
        <f>$H109*Multipliers!E224</f>
        <v>2.3308864231804618</v>
      </c>
      <c r="N109" s="52">
        <f>$H109*Multipliers!F224</f>
        <v>2.9881112084430961</v>
      </c>
      <c r="O109" s="52">
        <f t="shared" si="23"/>
        <v>12.018027498438382</v>
      </c>
      <c r="P109" s="36">
        <f>$H109*Multipliers!H224</f>
        <v>0.35128077236150529</v>
      </c>
      <c r="Q109" s="36">
        <f>$H109*Multipliers!I224</f>
        <v>0.1332844906203382</v>
      </c>
      <c r="R109" s="36">
        <f>$H109*Multipliers!J224</f>
        <v>0.1562686119068146</v>
      </c>
      <c r="S109" s="36">
        <f t="shared" si="24"/>
        <v>0.64083387488865817</v>
      </c>
      <c r="T109" s="36">
        <f>$H109*Multipliers!L224</f>
        <v>0.81333092963749631</v>
      </c>
      <c r="U109" s="36">
        <f>$H109*Multipliers!M224</f>
        <v>0.36585667225228957</v>
      </c>
      <c r="V109" s="36">
        <f>$H109*Multipliers!N224</f>
        <v>0.46358604122282365</v>
      </c>
      <c r="W109" s="36">
        <f t="shared" si="25"/>
        <v>1.6427736431126094</v>
      </c>
      <c r="X109" s="36">
        <f>$H109*Multipliers!P224</f>
        <v>0.47790680555175458</v>
      </c>
      <c r="Y109" s="36">
        <f>$H109*Multipliers!Q224</f>
        <v>0.20894750354164549</v>
      </c>
      <c r="Z109" s="36">
        <f>$H109*Multipliers!R224</f>
        <v>0.26982488266613464</v>
      </c>
      <c r="AA109" s="36">
        <f t="shared" si="26"/>
        <v>0.95667919175953475</v>
      </c>
    </row>
    <row r="110" spans="3:31" ht="17" x14ac:dyDescent="0.15">
      <c r="C110" s="6" t="s">
        <v>156</v>
      </c>
      <c r="D110" s="8">
        <f>$D$141*DefaultData!P121+$D$142*DefaultData!P122+$D$143*DefaultData!P123+$D$144*DefaultData!P124+$D$145*DefaultData!P125+$D$146*DefaultData!P126+$D$147*DefaultData!P127+$D$148*DefaultData!P128+$D$149*DefaultData!P129+$D$150*DefaultData!P130+$D$151*DefaultData!P131+$D$152*DefaultData!P132+$D$153*DefaultData!P133+$D$154*DefaultData!P134</f>
        <v>0</v>
      </c>
      <c r="E110" s="8">
        <f>(H$90*Multipliers!U225)*E$94</f>
        <v>15307.144921758478</v>
      </c>
      <c r="F110" s="8">
        <f>H$87*Multipliers!U225*F$94</f>
        <v>0</v>
      </c>
      <c r="G110" s="8">
        <f t="shared" si="22"/>
        <v>15307.144921758478</v>
      </c>
      <c r="H110" s="18">
        <f t="shared" si="21"/>
        <v>1.4307588358367649E-2</v>
      </c>
      <c r="I110" s="8"/>
      <c r="J110" s="18"/>
      <c r="L110" s="52">
        <f>$H110*Multipliers!D225</f>
        <v>8.7203004878154619E-2</v>
      </c>
      <c r="M110" s="52">
        <f>$H110*Multipliers!E225</f>
        <v>4.31782005409529E-2</v>
      </c>
      <c r="N110" s="52">
        <f>$H110*Multipliers!F225</f>
        <v>6.2898616942639873E-2</v>
      </c>
      <c r="O110" s="52">
        <f t="shared" si="23"/>
        <v>0.1932798223617474</v>
      </c>
      <c r="P110" s="36">
        <f>$H110*Multipliers!H225</f>
        <v>7.5778338762218641E-3</v>
      </c>
      <c r="Q110" s="36">
        <f>$H110*Multipliers!I225</f>
        <v>2.6327581118811305E-3</v>
      </c>
      <c r="R110" s="36">
        <f>$H110*Multipliers!J225</f>
        <v>3.2850277072027662E-3</v>
      </c>
      <c r="S110" s="36">
        <f t="shared" si="24"/>
        <v>1.3495619695305761E-2</v>
      </c>
      <c r="T110" s="36">
        <f>$H110*Multipliers!L225</f>
        <v>1.4307588358367649E-2</v>
      </c>
      <c r="U110" s="36">
        <f>$H110*Multipliers!M225</f>
        <v>6.8261979526901516E-3</v>
      </c>
      <c r="V110" s="36">
        <f>$H110*Multipliers!N225</f>
        <v>9.7455297736659154E-3</v>
      </c>
      <c r="W110" s="36">
        <f t="shared" si="25"/>
        <v>3.0879316084723718E-2</v>
      </c>
      <c r="X110" s="36">
        <f>$H110*Multipliers!P225</f>
        <v>8.6829321857315317E-3</v>
      </c>
      <c r="Y110" s="36">
        <f>$H110*Multipliers!Q225</f>
        <v>3.9451784664835668E-3</v>
      </c>
      <c r="Z110" s="36">
        <f>$H110*Multipliers!R225</f>
        <v>5.6723905263596662E-3</v>
      </c>
      <c r="AA110" s="36">
        <f t="shared" si="26"/>
        <v>1.8300501178574763E-2</v>
      </c>
    </row>
    <row r="111" spans="3:31" ht="17" x14ac:dyDescent="0.15">
      <c r="C111" s="6" t="s">
        <v>80</v>
      </c>
      <c r="D111" s="8">
        <f>$D$141*DefaultData!Q121+$D$142*DefaultData!Q122+$D$143*DefaultData!Q123+$D$144*DefaultData!Q124+$D$145*DefaultData!Q125+$D$146*DefaultData!Q126+$D$147*DefaultData!Q127+$D$148*DefaultData!Q128+$D$149*DefaultData!Q129+$D$150*DefaultData!Q130+$D$151*DefaultData!Q131+$D$152*DefaultData!Q132+$D$153*DefaultData!Q133+$D$154*DefaultData!Q134</f>
        <v>1280981.9314023766</v>
      </c>
      <c r="E111" s="8">
        <f>(H$90*Multipliers!U226)*E$94</f>
        <v>15927.834034519612</v>
      </c>
      <c r="F111" s="8">
        <f>H$87*Multipliers!U226*F$94</f>
        <v>0</v>
      </c>
      <c r="G111" s="8">
        <f t="shared" si="22"/>
        <v>1296909.7654368961</v>
      </c>
      <c r="H111" s="18">
        <f t="shared" si="21"/>
        <v>1.2122215577538669</v>
      </c>
      <c r="I111" s="8"/>
      <c r="J111" s="18"/>
      <c r="L111" s="52">
        <v>0</v>
      </c>
      <c r="M111" s="52">
        <f>$H111*Multipliers!E226</f>
        <v>0.34051833115645103</v>
      </c>
      <c r="N111" s="52">
        <f>$H111*Multipliers!F226</f>
        <v>5.1431392667599622</v>
      </c>
      <c r="O111" s="52">
        <f t="shared" si="23"/>
        <v>5.4836575979164133</v>
      </c>
      <c r="P111" s="36">
        <v>0</v>
      </c>
      <c r="Q111" s="36">
        <f>$H111*Multipliers!I226</f>
        <v>2.4333830820493108E-2</v>
      </c>
      <c r="R111" s="36">
        <f>$H111*Multipliers!J226</f>
        <v>0.31329642355815857</v>
      </c>
      <c r="S111" s="36">
        <f t="shared" si="24"/>
        <v>0.33763025437865168</v>
      </c>
      <c r="T111" s="36">
        <f>$H111*Multipliers!L226</f>
        <v>1.2122215577538669</v>
      </c>
      <c r="U111" s="36">
        <f>$H111*Multipliers!M226</f>
        <v>6.7628900227564723E-2</v>
      </c>
      <c r="V111" s="36">
        <f>$H111*Multipliers!N226</f>
        <v>0.92936706214564646</v>
      </c>
      <c r="W111" s="36">
        <f t="shared" si="25"/>
        <v>2.2092175201270781</v>
      </c>
      <c r="X111" s="36">
        <f>$H111*Multipliers!P226</f>
        <v>1.1540569974581991</v>
      </c>
      <c r="Y111" s="36">
        <f>$H111*Multipliers!Q226</f>
        <v>3.7504839705921521E-2</v>
      </c>
      <c r="Z111" s="36">
        <f>$H111*Multipliers!R226</f>
        <v>0.5408857426105913</v>
      </c>
      <c r="AA111" s="36">
        <f t="shared" si="26"/>
        <v>1.7324475797747119</v>
      </c>
    </row>
    <row r="112" spans="3:31" ht="17" x14ac:dyDescent="0.15">
      <c r="C112" s="6" t="s">
        <v>16</v>
      </c>
      <c r="D112" s="8">
        <f>SUM(D98:D111)</f>
        <v>2276736.0562313213</v>
      </c>
      <c r="E112" s="8">
        <f>SUM(E98:E111)</f>
        <v>1563899.9999999998</v>
      </c>
      <c r="F112" s="8">
        <f>SUM(F98:F111)</f>
        <v>0</v>
      </c>
      <c r="G112" s="8">
        <f t="shared" si="22"/>
        <v>3840636.0562313208</v>
      </c>
      <c r="H112" s="20">
        <f>SUM(H98:H111)</f>
        <v>3.5898425217594152</v>
      </c>
      <c r="I112" s="8"/>
      <c r="J112" s="18"/>
      <c r="K112" s="25" t="s">
        <v>16</v>
      </c>
      <c r="L112" s="52">
        <f>SUM(L98:L111)</f>
        <v>15.311501658810993</v>
      </c>
      <c r="M112" s="52">
        <f t="shared" ref="M112:W112" si="27">SUM(M98:M111)</f>
        <v>7.2555568549478746</v>
      </c>
      <c r="N112" s="52">
        <f t="shared" si="27"/>
        <v>12.811282936410191</v>
      </c>
      <c r="O112" s="52">
        <f t="shared" si="27"/>
        <v>35.37834145016906</v>
      </c>
      <c r="P112" s="36">
        <f t="shared" si="27"/>
        <v>0.84359924694783006</v>
      </c>
      <c r="Q112" s="36">
        <f t="shared" si="27"/>
        <v>0.42847935482929755</v>
      </c>
      <c r="R112" s="36">
        <f t="shared" si="27"/>
        <v>0.71486869041858903</v>
      </c>
      <c r="S112" s="36">
        <f t="shared" si="27"/>
        <v>1.9869472921957168</v>
      </c>
      <c r="T112" s="36">
        <f t="shared" si="27"/>
        <v>3.5898425217594152</v>
      </c>
      <c r="U112" s="36">
        <f t="shared" si="27"/>
        <v>1.2144915885395302</v>
      </c>
      <c r="V112" s="36">
        <f t="shared" si="27"/>
        <v>2.1207012664119587</v>
      </c>
      <c r="W112" s="36">
        <f t="shared" si="27"/>
        <v>6.9250353767109045</v>
      </c>
      <c r="X112" s="36">
        <f t="shared" ref="X112:AA112" si="28">SUM(X98:X111)</f>
        <v>2.5150150194132488</v>
      </c>
      <c r="Y112" s="36">
        <f t="shared" si="28"/>
        <v>0.68849638675254587</v>
      </c>
      <c r="Z112" s="36">
        <f t="shared" si="28"/>
        <v>1.2343103063437808</v>
      </c>
      <c r="AA112" s="36">
        <f t="shared" si="28"/>
        <v>4.4378217125095754</v>
      </c>
    </row>
    <row r="113" spans="3:27" ht="16" x14ac:dyDescent="0.15">
      <c r="C113" s="37"/>
      <c r="E113" s="8"/>
      <c r="L113" s="52"/>
      <c r="M113" s="52"/>
      <c r="N113" s="52"/>
      <c r="O113" s="52"/>
      <c r="P113" s="36"/>
      <c r="Q113" s="36"/>
      <c r="R113" s="36"/>
      <c r="S113" s="36"/>
      <c r="T113" s="36"/>
      <c r="U113" s="36"/>
      <c r="V113" s="36"/>
      <c r="W113" s="36"/>
      <c r="X113" s="36"/>
      <c r="Y113" s="36"/>
      <c r="Z113" s="36"/>
      <c r="AA113" s="36"/>
    </row>
    <row r="114" spans="3:27" ht="17" x14ac:dyDescent="0.15">
      <c r="C114" s="6" t="s">
        <v>183</v>
      </c>
      <c r="E114" s="24" t="s">
        <v>334</v>
      </c>
      <c r="G114" s="8">
        <f>K69</f>
        <v>844041.02201890247</v>
      </c>
      <c r="H114" s="18">
        <f>G114*G32/10^6</f>
        <v>0</v>
      </c>
      <c r="L114" s="32"/>
      <c r="M114" s="32"/>
      <c r="N114" s="32"/>
      <c r="O114" s="51"/>
      <c r="P114" s="36"/>
      <c r="Q114" s="36"/>
      <c r="R114" s="36"/>
      <c r="S114" s="36"/>
      <c r="T114" s="36"/>
      <c r="U114" s="36"/>
      <c r="V114" s="36"/>
      <c r="W114" s="36"/>
      <c r="X114" s="36"/>
      <c r="Y114" s="36"/>
      <c r="Z114" s="36"/>
      <c r="AA114" s="36"/>
    </row>
    <row r="115" spans="3:27" ht="17" x14ac:dyDescent="0.15">
      <c r="C115" s="6" t="s">
        <v>183</v>
      </c>
      <c r="E115" s="24" t="s">
        <v>400</v>
      </c>
      <c r="F115" s="58">
        <f>DefaultData!M106</f>
        <v>7.1186945514116112E-2</v>
      </c>
      <c r="G115" s="69">
        <f>F115*G114</f>
        <v>60084.702246138491</v>
      </c>
      <c r="H115" s="63">
        <v>0</v>
      </c>
      <c r="O115" t="s">
        <v>194</v>
      </c>
      <c r="P115" s="1">
        <f>D39</f>
        <v>2020</v>
      </c>
      <c r="Q115" s="1" t="s">
        <v>190</v>
      </c>
      <c r="T115" s="1">
        <f>P115</f>
        <v>2020</v>
      </c>
      <c r="U115" s="1" t="s">
        <v>190</v>
      </c>
      <c r="X115" s="1">
        <f>T115</f>
        <v>2020</v>
      </c>
      <c r="Y115" s="1" t="s">
        <v>190</v>
      </c>
      <c r="Z115" s="261"/>
      <c r="AA115" s="261"/>
    </row>
    <row r="116" spans="3:27" x14ac:dyDescent="0.15">
      <c r="C116" s="33" t="s">
        <v>185</v>
      </c>
      <c r="D116" s="34">
        <f>IF('STEP 3 - Edit Project Data'!$B$24="y",DefaultData!H115,DefaultData!I115)</f>
        <v>9.2212949010786591</v>
      </c>
      <c r="E116" s="31" t="s">
        <v>401</v>
      </c>
      <c r="F116" s="58">
        <f>DefaultData!M107</f>
        <v>0.30487415696870424</v>
      </c>
      <c r="G116" s="8">
        <f>F116*G114</f>
        <v>257326.29503501643</v>
      </c>
      <c r="H116" s="63">
        <f>IF('STEP 3 - Edit Project Data'!B1="MyCounty",0,IF('STEP 3 - Edit Project Data'!B1="MyRegion",0,1))</f>
        <v>1</v>
      </c>
      <c r="J116" s="31" t="s">
        <v>216</v>
      </c>
      <c r="L116" s="14">
        <f>L112</f>
        <v>15.311501658810993</v>
      </c>
      <c r="M116" s="14">
        <f>M112</f>
        <v>7.2555568549478746</v>
      </c>
      <c r="N116" s="14">
        <f>N112</f>
        <v>12.811282936410191</v>
      </c>
      <c r="O116" s="14">
        <f>O112</f>
        <v>35.37834145016906</v>
      </c>
      <c r="P116" s="18">
        <f>P112*$G60</f>
        <v>0.90248247438478868</v>
      </c>
      <c r="Q116" s="18">
        <f>Q112*$G60</f>
        <v>0.45838721379638259</v>
      </c>
      <c r="R116" s="18">
        <f>R112*$G60</f>
        <v>0.76476652500980657</v>
      </c>
      <c r="S116" s="36">
        <f>+R116+Q116+P116</f>
        <v>2.1256362131909778</v>
      </c>
      <c r="T116" s="18">
        <f>T112*$G60</f>
        <v>3.8404135297782225</v>
      </c>
      <c r="U116" s="18">
        <f>U112*$G60</f>
        <v>1.2992631014195895</v>
      </c>
      <c r="V116" s="18">
        <f>V112*$G60</f>
        <v>2.2687262148075136</v>
      </c>
      <c r="W116" s="36">
        <f>+V116+U116+T116</f>
        <v>7.4084028460053251</v>
      </c>
      <c r="X116" s="18">
        <f>X112*$G60</f>
        <v>2.6905630677682937</v>
      </c>
      <c r="Y116" s="18">
        <f>Y112*$G60</f>
        <v>0.73655343454787359</v>
      </c>
      <c r="Z116" s="18">
        <f>Z112*$G60</f>
        <v>1.3204651657265769</v>
      </c>
      <c r="AA116" s="36">
        <f>+Z116+Y116+X116</f>
        <v>4.7475816680427441</v>
      </c>
    </row>
    <row r="117" spans="3:27" x14ac:dyDescent="0.15">
      <c r="C117" s="35" t="s">
        <v>414</v>
      </c>
      <c r="D117" s="34">
        <f>IF('STEP 3 - Edit Project Data'!$B$24="y",DefaultData!H116,DefaultData!I116)</f>
        <v>1.8060654843408583</v>
      </c>
      <c r="E117" s="24" t="s">
        <v>402</v>
      </c>
      <c r="G117" s="8">
        <f>G114-G115-G116</f>
        <v>526630.02473774762</v>
      </c>
      <c r="J117" s="31" t="s">
        <v>206</v>
      </c>
      <c r="L117" s="14">
        <f>L116+L137</f>
        <v>27.280369987934279</v>
      </c>
      <c r="M117" s="14">
        <f>M116+M137</f>
        <v>9.5318737402375895</v>
      </c>
      <c r="N117" s="14">
        <f>N116+N137</f>
        <v>15.035590973517955</v>
      </c>
      <c r="O117" s="14">
        <f>O116+O137</f>
        <v>51.847834701689827</v>
      </c>
      <c r="P117" s="18">
        <f>(P112+P137)*$G60</f>
        <v>1.686393371728385</v>
      </c>
      <c r="Q117" s="18">
        <f>(Q112+Q137)*$G60</f>
        <v>0.59368231575257635</v>
      </c>
      <c r="R117" s="18">
        <f>(R112+R137)*$G60</f>
        <v>0.88909494008588175</v>
      </c>
      <c r="S117" s="36">
        <f>+R117+Q117+P117</f>
        <v>3.1691706275668432</v>
      </c>
      <c r="T117" s="18">
        <f>(T112+T137)*$G60</f>
        <v>4.6243244271218185</v>
      </c>
      <c r="U117" s="18">
        <f>(U112+U137)*$G60</f>
        <v>1.701791212255287</v>
      </c>
      <c r="V117" s="18">
        <f>(V112+V137)*$G60</f>
        <v>2.6375608758347471</v>
      </c>
      <c r="W117" s="36">
        <f>+V117+U117+T117</f>
        <v>8.9636765152118514</v>
      </c>
      <c r="X117" s="18">
        <f>(X112+X137)*$G60</f>
        <v>3.4744739651118901</v>
      </c>
      <c r="Y117" s="18">
        <f>(Y112+Y137)*$G60</f>
        <v>0.96398215616918259</v>
      </c>
      <c r="Z117" s="18">
        <f>(Z112+Z137)*$G60</f>
        <v>1.5351427923167911</v>
      </c>
      <c r="AA117" s="36">
        <f>+Z117+Y117+X117</f>
        <v>5.9735989135978631</v>
      </c>
    </row>
    <row r="118" spans="3:27" x14ac:dyDescent="0.15">
      <c r="C118" s="35" t="s">
        <v>415</v>
      </c>
      <c r="D118" s="34">
        <f>IF('STEP 3 - Edit Project Data'!$B$24="y",DefaultData!H117,DefaultData!I117)</f>
        <v>0.941507943703769</v>
      </c>
      <c r="X118" s="261"/>
      <c r="Y118" s="261"/>
      <c r="Z118" s="261"/>
      <c r="AA118" s="261"/>
    </row>
    <row r="119" spans="3:27" x14ac:dyDescent="0.15">
      <c r="C119" s="35" t="s">
        <v>186</v>
      </c>
      <c r="D119" s="22">
        <f>+D118+D117+D116</f>
        <v>11.968868329123286</v>
      </c>
      <c r="X119" s="261"/>
      <c r="Y119" s="261"/>
      <c r="Z119" s="261"/>
      <c r="AA119" s="261"/>
    </row>
    <row r="120" spans="3:27" x14ac:dyDescent="0.15">
      <c r="C120" s="35"/>
      <c r="D120" s="22"/>
      <c r="L120" s="1" t="s">
        <v>217</v>
      </c>
      <c r="X120" s="261"/>
      <c r="Y120" s="261"/>
      <c r="Z120" s="261"/>
      <c r="AA120" s="261"/>
    </row>
    <row r="121" spans="3:27" x14ac:dyDescent="0.15">
      <c r="C121" s="24" t="s">
        <v>214</v>
      </c>
      <c r="F121" s="10" t="s">
        <v>212</v>
      </c>
      <c r="H121" s="31" t="s">
        <v>373</v>
      </c>
      <c r="I121" s="19"/>
      <c r="L121" s="11" t="s">
        <v>75</v>
      </c>
      <c r="M121" s="11"/>
      <c r="N121" s="11"/>
      <c r="O121" s="11"/>
      <c r="P121" s="11" t="s">
        <v>198</v>
      </c>
      <c r="Q121" s="11"/>
      <c r="R121" s="11"/>
      <c r="S121" s="11"/>
      <c r="T121" s="11" t="s">
        <v>199</v>
      </c>
      <c r="X121" s="11" t="s">
        <v>631</v>
      </c>
      <c r="Y121" s="261"/>
      <c r="Z121" s="261"/>
      <c r="AA121" s="261"/>
    </row>
    <row r="122" spans="3:27" x14ac:dyDescent="0.15">
      <c r="F122" s="10" t="s">
        <v>213</v>
      </c>
      <c r="H122" s="19">
        <f>H97</f>
        <v>2016</v>
      </c>
      <c r="I122" s="31" t="s">
        <v>190</v>
      </c>
      <c r="L122" s="11" t="s">
        <v>145</v>
      </c>
      <c r="M122" s="11" t="s">
        <v>146</v>
      </c>
      <c r="N122" s="11" t="s">
        <v>147</v>
      </c>
      <c r="O122" s="11" t="s">
        <v>16</v>
      </c>
      <c r="P122" s="11" t="s">
        <v>145</v>
      </c>
      <c r="Q122" s="11" t="s">
        <v>146</v>
      </c>
      <c r="R122" s="11" t="s">
        <v>147</v>
      </c>
      <c r="S122" s="11" t="s">
        <v>16</v>
      </c>
      <c r="T122" s="11" t="s">
        <v>145</v>
      </c>
      <c r="U122" s="11" t="s">
        <v>146</v>
      </c>
      <c r="V122" s="11" t="s">
        <v>147</v>
      </c>
      <c r="W122" s="11" t="s">
        <v>16</v>
      </c>
      <c r="X122" s="11" t="s">
        <v>145</v>
      </c>
      <c r="Y122" s="11" t="s">
        <v>146</v>
      </c>
      <c r="Z122" s="11" t="s">
        <v>147</v>
      </c>
      <c r="AA122" s="11" t="s">
        <v>16</v>
      </c>
    </row>
    <row r="123" spans="3:27" ht="17" x14ac:dyDescent="0.15">
      <c r="C123" s="6" t="s">
        <v>76</v>
      </c>
      <c r="F123" s="8">
        <f>G$117*Multipliers!U213</f>
        <v>3302.262600322963</v>
      </c>
      <c r="H123" s="18">
        <f>F123*G$39/10^6</f>
        <v>3.0866248525218735E-3</v>
      </c>
      <c r="L123" s="11"/>
      <c r="M123" s="52">
        <f>$H123*Multipliers!E213</f>
        <v>1.0563077618649075E-2</v>
      </c>
      <c r="N123" s="52">
        <f>$H123*Multipliers!F213</f>
        <v>7.6362404128328737E-3</v>
      </c>
      <c r="O123" s="52">
        <f>N123+M123</f>
        <v>1.8199318031481948E-2</v>
      </c>
      <c r="P123" s="11"/>
      <c r="Q123" s="36">
        <f>$H123*Multipliers!I213</f>
        <v>5.9785948852073532E-4</v>
      </c>
      <c r="R123" s="36">
        <f>$H123*Multipliers!J213</f>
        <v>4.4174520059610001E-4</v>
      </c>
      <c r="S123" s="36">
        <f>R123+Q123</f>
        <v>1.0396046891168354E-3</v>
      </c>
      <c r="T123" s="36">
        <f>$H123*Multipliers!L213</f>
        <v>3.0866248525218735E-3</v>
      </c>
      <c r="U123" s="36">
        <f>$H123*Multipliers!M213</f>
        <v>1.9841296489898652E-3</v>
      </c>
      <c r="V123" s="36">
        <f>$H123*Multipliers!N213</f>
        <v>1.3107466020158365E-3</v>
      </c>
      <c r="W123" s="36">
        <f>V123+U123</f>
        <v>3.2948762510057019E-3</v>
      </c>
      <c r="X123" s="36"/>
      <c r="Y123" s="36">
        <f>$H123*Multipliers!Q213</f>
        <v>9.1758257558703909E-4</v>
      </c>
      <c r="Z123" s="36">
        <f>$H123*Multipliers!R213</f>
        <v>7.6309471650256601E-4</v>
      </c>
      <c r="AA123" s="36">
        <f>Z123+Y123</f>
        <v>1.6806772920896051E-3</v>
      </c>
    </row>
    <row r="124" spans="3:27" ht="17" x14ac:dyDescent="0.15">
      <c r="C124" s="6" t="s">
        <v>148</v>
      </c>
      <c r="D124" s="8"/>
      <c r="F124" s="8">
        <f>G$117*Multipliers!U214</f>
        <v>7.2271535462919605</v>
      </c>
      <c r="H124" s="18">
        <f t="shared" ref="H124:H136" si="29">F124*G$39/10^6</f>
        <v>6.7552204197190952E-6</v>
      </c>
      <c r="J124" s="43"/>
      <c r="K124" s="43"/>
      <c r="L124" s="43"/>
      <c r="M124" s="52">
        <f>$H124*Multipliers!E214</f>
        <v>8.6184978994543754E-6</v>
      </c>
      <c r="N124" s="52">
        <f>$H124*Multipliers!F214</f>
        <v>3.0344811761274722E-5</v>
      </c>
      <c r="O124" s="52">
        <f t="shared" ref="O124:O136" si="30">N124+M124</f>
        <v>3.8963309660729099E-5</v>
      </c>
      <c r="P124" s="36"/>
      <c r="Q124" s="36">
        <f>$H124*Multipliers!I214</f>
        <v>7.1567316385285634E-7</v>
      </c>
      <c r="R124" s="36">
        <f>$H124*Multipliers!J214</f>
        <v>1.5279901892786056E-6</v>
      </c>
      <c r="S124" s="36">
        <f t="shared" ref="S124:S136" si="31">R124+Q124</f>
        <v>2.2436633531314618E-6</v>
      </c>
      <c r="T124" s="36">
        <f>$H124*Multipliers!L214</f>
        <v>6.7552204197190952E-6</v>
      </c>
      <c r="U124" s="36">
        <f>$H124*Multipliers!M214</f>
        <v>1.6675924084949848E-6</v>
      </c>
      <c r="V124" s="36">
        <f>$H124*Multipliers!N214</f>
        <v>4.5344499067399685E-6</v>
      </c>
      <c r="W124" s="36">
        <f t="shared" ref="W124:W136" si="32">V124+U124</f>
        <v>6.2020423152349538E-6</v>
      </c>
      <c r="X124" s="36"/>
      <c r="Y124" s="36">
        <f>$H124*Multipliers!Q214</f>
        <v>9.7124766908356926E-7</v>
      </c>
      <c r="Z124" s="36">
        <f>$H124*Multipliers!R214</f>
        <v>2.6403036593304667E-6</v>
      </c>
      <c r="AA124" s="36">
        <f t="shared" ref="AA124:AA136" si="33">Z124+Y124</f>
        <v>3.611551328414036E-6</v>
      </c>
    </row>
    <row r="125" spans="3:27" ht="17" x14ac:dyDescent="0.15">
      <c r="C125" s="6" t="s">
        <v>77</v>
      </c>
      <c r="D125" s="8"/>
      <c r="F125" s="8">
        <f>G$117*Multipliers!U215</f>
        <v>0</v>
      </c>
      <c r="H125" s="18">
        <f t="shared" si="29"/>
        <v>0</v>
      </c>
      <c r="J125" s="43"/>
      <c r="K125" s="43"/>
      <c r="L125" s="43"/>
      <c r="M125" s="52">
        <f>$H125*Multipliers!E215</f>
        <v>0</v>
      </c>
      <c r="N125" s="52">
        <f>$H125*Multipliers!F215</f>
        <v>0</v>
      </c>
      <c r="O125" s="52">
        <f t="shared" si="30"/>
        <v>0</v>
      </c>
      <c r="P125" s="36"/>
      <c r="Q125" s="36">
        <f>$H125*Multipliers!I215</f>
        <v>0</v>
      </c>
      <c r="R125" s="36">
        <f>$H125*Multipliers!J215</f>
        <v>0</v>
      </c>
      <c r="S125" s="36">
        <f t="shared" si="31"/>
        <v>0</v>
      </c>
      <c r="T125" s="36">
        <f>$H125*Multipliers!L215</f>
        <v>0</v>
      </c>
      <c r="U125" s="36">
        <f>$H125*Multipliers!M215</f>
        <v>0</v>
      </c>
      <c r="V125" s="36">
        <f>$H125*Multipliers!N215</f>
        <v>0</v>
      </c>
      <c r="W125" s="36">
        <f t="shared" si="32"/>
        <v>0</v>
      </c>
      <c r="X125" s="36"/>
      <c r="Y125" s="36">
        <f>$H125*Multipliers!Q215</f>
        <v>0</v>
      </c>
      <c r="Z125" s="36">
        <f>$H125*Multipliers!R215</f>
        <v>0</v>
      </c>
      <c r="AA125" s="36">
        <f t="shared" si="33"/>
        <v>0</v>
      </c>
    </row>
    <row r="126" spans="3:27" ht="17" x14ac:dyDescent="0.15">
      <c r="C126" s="6" t="s">
        <v>149</v>
      </c>
      <c r="D126" s="8"/>
      <c r="F126" s="8">
        <f>G$117*Multipliers!U216</f>
        <v>22662.901704600441</v>
      </c>
      <c r="H126" s="18">
        <f t="shared" si="29"/>
        <v>2.1183014223290032E-2</v>
      </c>
      <c r="J126" s="43"/>
      <c r="K126" s="43"/>
      <c r="L126" s="43"/>
      <c r="M126" s="52">
        <f>$H126*Multipliers!E216</f>
        <v>5.0632007730132031E-2</v>
      </c>
      <c r="N126" s="52">
        <f>$H126*Multipliers!F216</f>
        <v>4.4279195721308562E-2</v>
      </c>
      <c r="O126" s="52">
        <f t="shared" si="30"/>
        <v>9.4911203451440593E-2</v>
      </c>
      <c r="P126" s="36"/>
      <c r="Q126" s="36">
        <f>$H126*Multipliers!I216</f>
        <v>3.3261905592871207E-3</v>
      </c>
      <c r="R126" s="36">
        <f>$H126*Multipliers!J216</f>
        <v>2.2834505373329414E-3</v>
      </c>
      <c r="S126" s="36">
        <f t="shared" si="31"/>
        <v>5.6096410966200621E-3</v>
      </c>
      <c r="T126" s="36">
        <f>$H126*Multipliers!L216</f>
        <v>2.1183014223290032E-2</v>
      </c>
      <c r="U126" s="36">
        <f>$H126*Multipliers!M216</f>
        <v>9.5308380664127987E-3</v>
      </c>
      <c r="V126" s="36">
        <f>$H126*Multipliers!N216</f>
        <v>6.7742062020142695E-3</v>
      </c>
      <c r="W126" s="36">
        <f t="shared" si="32"/>
        <v>1.630504426842707E-2</v>
      </c>
      <c r="X126" s="36"/>
      <c r="Y126" s="36">
        <f>$H126*Multipliers!Q216</f>
        <v>4.9598612619598838E-3</v>
      </c>
      <c r="Z126" s="36">
        <f>$H126*Multipliers!R216</f>
        <v>3.9429504275638842E-3</v>
      </c>
      <c r="AA126" s="36">
        <f t="shared" si="33"/>
        <v>8.902811689523768E-3</v>
      </c>
    </row>
    <row r="127" spans="3:27" ht="17" x14ac:dyDescent="0.15">
      <c r="C127" s="6" t="s">
        <v>150</v>
      </c>
      <c r="D127" s="8"/>
      <c r="F127" s="8">
        <f>G$117*Multipliers!U217</f>
        <v>0.97487227714897007</v>
      </c>
      <c r="H127" s="18">
        <f t="shared" si="29"/>
        <v>9.1121311745114234E-7</v>
      </c>
      <c r="J127" s="43"/>
      <c r="K127" s="43"/>
      <c r="L127" s="43"/>
      <c r="M127" s="52">
        <f>$H127*Multipliers!E217</f>
        <v>2.0050076169352603E-6</v>
      </c>
      <c r="N127" s="52">
        <f>$H127*Multipliers!F217</f>
        <v>2.2313188177610833E-6</v>
      </c>
      <c r="O127" s="52">
        <f t="shared" si="30"/>
        <v>4.2363264346963436E-6</v>
      </c>
      <c r="P127" s="36"/>
      <c r="Q127" s="36">
        <f>$H127*Multipliers!I217</f>
        <v>1.2527589440160262E-7</v>
      </c>
      <c r="R127" s="36">
        <f>$H127*Multipliers!J217</f>
        <v>1.1265338048393594E-7</v>
      </c>
      <c r="S127" s="36">
        <f t="shared" si="31"/>
        <v>2.3792927488553856E-7</v>
      </c>
      <c r="T127" s="36">
        <f>$H127*Multipliers!L217</f>
        <v>9.1121311745114234E-7</v>
      </c>
      <c r="U127" s="36">
        <f>$H127*Multipliers!M217</f>
        <v>3.6841124766892947E-7</v>
      </c>
      <c r="V127" s="36">
        <f>$H127*Multipliers!N217</f>
        <v>3.3419090878673655E-7</v>
      </c>
      <c r="W127" s="36">
        <f t="shared" si="32"/>
        <v>7.0260215645566608E-7</v>
      </c>
      <c r="X127" s="36"/>
      <c r="Y127" s="36">
        <f>$H127*Multipliers!Q217</f>
        <v>1.9320593320968667E-7</v>
      </c>
      <c r="Z127" s="36">
        <f>$H127*Multipliers!R217</f>
        <v>1.9450745536943204E-7</v>
      </c>
      <c r="AA127" s="36">
        <f t="shared" si="33"/>
        <v>3.8771338857911873E-7</v>
      </c>
    </row>
    <row r="128" spans="3:27" ht="17" x14ac:dyDescent="0.15">
      <c r="C128" s="6" t="s">
        <v>151</v>
      </c>
      <c r="D128" s="8"/>
      <c r="F128" s="8">
        <f>G$117*Multipliers!U218</f>
        <v>4.9796313196919177</v>
      </c>
      <c r="G128" s="18"/>
      <c r="H128" s="18">
        <f t="shared" si="29"/>
        <v>4.6544613945160358E-6</v>
      </c>
      <c r="I128" s="43"/>
      <c r="J128" s="43"/>
      <c r="K128" s="43"/>
      <c r="L128" s="43"/>
      <c r="M128" s="52">
        <f>$H128*Multipliers!E218</f>
        <v>1.0188818809250603E-5</v>
      </c>
      <c r="N128" s="52">
        <f>$H128*Multipliers!F218</f>
        <v>9.9876986575703935E-6</v>
      </c>
      <c r="O128" s="52">
        <f t="shared" si="30"/>
        <v>2.0176517466820998E-5</v>
      </c>
      <c r="P128" s="36"/>
      <c r="Q128" s="36">
        <f>$H128*Multipliers!I218</f>
        <v>6.5631715667093919E-7</v>
      </c>
      <c r="R128" s="36">
        <f>$H128*Multipliers!J218</f>
        <v>5.0300370235286935E-7</v>
      </c>
      <c r="S128" s="36">
        <f t="shared" si="31"/>
        <v>1.1593208590238084E-6</v>
      </c>
      <c r="T128" s="36">
        <f>$H128*Multipliers!L218</f>
        <v>4.6544613945160358E-6</v>
      </c>
      <c r="U128" s="36">
        <f>$H128*Multipliers!M218</f>
        <v>1.9413286046055535E-6</v>
      </c>
      <c r="V128" s="36">
        <f>$H128*Multipliers!N218</f>
        <v>1.492172480817326E-6</v>
      </c>
      <c r="W128" s="36">
        <f t="shared" si="32"/>
        <v>3.4335010854228793E-6</v>
      </c>
      <c r="X128" s="36"/>
      <c r="Y128" s="36">
        <f>$H128*Multipliers!Q218</f>
        <v>1.026322028040451E-6</v>
      </c>
      <c r="Z128" s="36">
        <f>$H128*Multipliers!R218</f>
        <v>8.6847635509927419E-7</v>
      </c>
      <c r="AA128" s="36">
        <f t="shared" si="33"/>
        <v>1.8947983831397251E-6</v>
      </c>
    </row>
    <row r="129" spans="3:27" ht="17" x14ac:dyDescent="0.15">
      <c r="C129" s="6" t="s">
        <v>152</v>
      </c>
      <c r="D129" s="8"/>
      <c r="F129" s="8">
        <f>G$117*Multipliers!U219</f>
        <v>3.3469689219861931</v>
      </c>
      <c r="G129" s="18"/>
      <c r="H129" s="18">
        <f t="shared" si="29"/>
        <v>3.1284118513804947E-6</v>
      </c>
      <c r="I129" s="43"/>
      <c r="J129" s="43"/>
      <c r="K129" s="43"/>
      <c r="L129" s="43"/>
      <c r="M129" s="52">
        <f>$H129*Multipliers!E219</f>
        <v>7.5071733155819969E-6</v>
      </c>
      <c r="N129" s="52">
        <f>$H129*Multipliers!F219</f>
        <v>7.0541652690632414E-6</v>
      </c>
      <c r="O129" s="52">
        <f t="shared" si="30"/>
        <v>1.4561338584645238E-5</v>
      </c>
      <c r="P129" s="36"/>
      <c r="Q129" s="36">
        <f>$H129*Multipliers!I219</f>
        <v>4.7812580976793643E-7</v>
      </c>
      <c r="R129" s="36">
        <f>$H129*Multipliers!J219</f>
        <v>3.535643712333396E-7</v>
      </c>
      <c r="S129" s="36">
        <f t="shared" si="31"/>
        <v>8.3169018100127603E-7</v>
      </c>
      <c r="T129" s="36">
        <f>$H129*Multipliers!L219</f>
        <v>3.1284118513804947E-6</v>
      </c>
      <c r="U129" s="36">
        <f>$H129*Multipliers!M219</f>
        <v>1.3409742276655463E-6</v>
      </c>
      <c r="V129" s="36">
        <f>$H129*Multipliers!N219</f>
        <v>1.0488515200657701E-6</v>
      </c>
      <c r="W129" s="36">
        <f t="shared" si="32"/>
        <v>2.3898257477313163E-6</v>
      </c>
      <c r="X129" s="36"/>
      <c r="Y129" s="36">
        <f>$H129*Multipliers!Q219</f>
        <v>7.273835800662014E-7</v>
      </c>
      <c r="Z129" s="36">
        <f>$H129*Multipliers!R219</f>
        <v>6.1045057799390464E-7</v>
      </c>
      <c r="AA129" s="36">
        <f t="shared" si="33"/>
        <v>1.337834158060106E-6</v>
      </c>
    </row>
    <row r="130" spans="3:27" ht="17" x14ac:dyDescent="0.15">
      <c r="C130" s="6" t="s">
        <v>153</v>
      </c>
      <c r="D130" s="8"/>
      <c r="F130" s="8">
        <f>G$117*Multipliers!U220</f>
        <v>22555.111515241435</v>
      </c>
      <c r="G130" s="18"/>
      <c r="H130" s="18">
        <f t="shared" si="29"/>
        <v>2.1082262733296168E-2</v>
      </c>
      <c r="I130" s="43"/>
      <c r="J130" s="43"/>
      <c r="K130" s="43"/>
      <c r="L130" s="43"/>
      <c r="M130" s="52">
        <f>$H130*Multipliers!E220</f>
        <v>5.4880033311049271E-2</v>
      </c>
      <c r="N130" s="52">
        <f>$H130*Multipliers!F220</f>
        <v>7.247722291796499E-2</v>
      </c>
      <c r="O130" s="52">
        <f t="shared" si="30"/>
        <v>0.12735725622901425</v>
      </c>
      <c r="P130" s="36"/>
      <c r="Q130" s="36">
        <f>$H130*Multipliers!I220</f>
        <v>3.9544870968057644E-3</v>
      </c>
      <c r="R130" s="36">
        <f>$H130*Multipliers!J220</f>
        <v>3.6447875729797709E-3</v>
      </c>
      <c r="S130" s="36">
        <f t="shared" si="31"/>
        <v>7.5992746697855357E-3</v>
      </c>
      <c r="T130" s="36">
        <f>$H130*Multipliers!L220</f>
        <v>2.1082262733296168E-2</v>
      </c>
      <c r="U130" s="36">
        <f>$H130*Multipliers!M220</f>
        <v>1.0329276798984162E-2</v>
      </c>
      <c r="V130" s="36">
        <f>$H130*Multipliers!N220</f>
        <v>1.0814709689168143E-2</v>
      </c>
      <c r="W130" s="36">
        <f t="shared" si="32"/>
        <v>2.1143986488152307E-2</v>
      </c>
      <c r="X130" s="36"/>
      <c r="Y130" s="36">
        <f>$H130*Multipliers!Q220</f>
        <v>5.8351486031698006E-3</v>
      </c>
      <c r="Z130" s="36">
        <f>$H130*Multipliers!R220</f>
        <v>6.2960863189083479E-3</v>
      </c>
      <c r="AA130" s="36">
        <f t="shared" si="33"/>
        <v>1.2131234922078148E-2</v>
      </c>
    </row>
    <row r="131" spans="3:27" ht="17" x14ac:dyDescent="0.15">
      <c r="C131" s="6" t="s">
        <v>78</v>
      </c>
      <c r="D131" s="8"/>
      <c r="F131" s="8">
        <f>G$117*Multipliers!U221</f>
        <v>28167.222019727866</v>
      </c>
      <c r="G131" s="18"/>
      <c r="H131" s="18">
        <f t="shared" si="29"/>
        <v>2.6327902421839636E-2</v>
      </c>
      <c r="I131" s="43"/>
      <c r="J131" s="43"/>
      <c r="K131" s="43"/>
      <c r="L131" s="43"/>
      <c r="M131" s="52">
        <f>$H131*Multipliers!E221</f>
        <v>7.3230175045545298E-2</v>
      </c>
      <c r="N131" s="52">
        <f>$H131*Multipliers!F221</f>
        <v>8.826568035593442E-2</v>
      </c>
      <c r="O131" s="52">
        <f t="shared" si="30"/>
        <v>0.1614958554014797</v>
      </c>
      <c r="P131" s="36"/>
      <c r="Q131" s="36">
        <f>$H131*Multipliers!I221</f>
        <v>4.1609071186714634E-3</v>
      </c>
      <c r="R131" s="36">
        <f>$H131*Multipliers!J221</f>
        <v>4.5402242838613474E-3</v>
      </c>
      <c r="S131" s="36">
        <f t="shared" si="31"/>
        <v>8.70113140253281E-3</v>
      </c>
      <c r="T131" s="36">
        <f>$H131*Multipliers!L221</f>
        <v>2.6327902421839636E-2</v>
      </c>
      <c r="U131" s="36">
        <f>$H131*Multipliers!M221</f>
        <v>1.1038213164450575E-2</v>
      </c>
      <c r="V131" s="36">
        <f>$H131*Multipliers!N221</f>
        <v>1.3468763482799786E-2</v>
      </c>
      <c r="W131" s="36">
        <f t="shared" si="32"/>
        <v>2.4506976647250361E-2</v>
      </c>
      <c r="X131" s="36"/>
      <c r="Y131" s="36">
        <f>$H131*Multipliers!Q221</f>
        <v>6.4280163648152274E-3</v>
      </c>
      <c r="Z131" s="36">
        <f>$H131*Multipliers!R221</f>
        <v>7.839151694964552E-3</v>
      </c>
      <c r="AA131" s="36">
        <f t="shared" si="33"/>
        <v>1.4267168059779779E-2</v>
      </c>
    </row>
    <row r="132" spans="3:27" ht="17" x14ac:dyDescent="0.15">
      <c r="C132" s="6" t="s">
        <v>79</v>
      </c>
      <c r="D132" s="8"/>
      <c r="F132" s="8">
        <f>G$117*Multipliers!U222</f>
        <v>72049.752893466895</v>
      </c>
      <c r="G132" s="18"/>
      <c r="H132" s="18">
        <f t="shared" si="29"/>
        <v>6.7344904029523506E-2</v>
      </c>
      <c r="I132" s="43"/>
      <c r="J132" s="43"/>
      <c r="K132" s="43"/>
      <c r="L132" s="43"/>
      <c r="M132" s="52">
        <f>$H132*Multipliers!E222</f>
        <v>0.17138789915264274</v>
      </c>
      <c r="N132" s="52">
        <f>$H132*Multipliers!F222</f>
        <v>0.20653982137670973</v>
      </c>
      <c r="O132" s="52">
        <f t="shared" si="30"/>
        <v>0.37792772052935247</v>
      </c>
      <c r="P132" s="36"/>
      <c r="Q132" s="36">
        <f>$H132*Multipliers!I222</f>
        <v>1.0554769433473202E-2</v>
      </c>
      <c r="R132" s="36">
        <f>$H132*Multipliers!J222</f>
        <v>1.1877545521329354E-2</v>
      </c>
      <c r="S132" s="36">
        <f t="shared" si="31"/>
        <v>2.2432314954802558E-2</v>
      </c>
      <c r="T132" s="36">
        <f>$H132*Multipliers!L222</f>
        <v>6.7344904029523506E-2</v>
      </c>
      <c r="U132" s="36">
        <f>$H132*Multipliers!M222</f>
        <v>2.9984629332389944E-2</v>
      </c>
      <c r="V132" s="36">
        <f>$H132*Multipliers!N222</f>
        <v>3.5235985505068838E-2</v>
      </c>
      <c r="W132" s="36">
        <f t="shared" si="32"/>
        <v>6.5220614837458779E-2</v>
      </c>
      <c r="X132" s="36"/>
      <c r="Y132" s="36">
        <f>$H132*Multipliers!Q222</f>
        <v>1.7147412785216518E-2</v>
      </c>
      <c r="Z132" s="36">
        <f>$H132*Multipliers!R222</f>
        <v>2.0508744122759791E-2</v>
      </c>
      <c r="AA132" s="36">
        <f t="shared" si="33"/>
        <v>3.7656156907976308E-2</v>
      </c>
    </row>
    <row r="133" spans="3:27" ht="17" x14ac:dyDescent="0.15">
      <c r="C133" s="6" t="s">
        <v>154</v>
      </c>
      <c r="D133" s="8"/>
      <c r="F133" s="8">
        <f>(G$117*Multipliers!U223)+(G116*H116)</f>
        <v>350373.54143948044</v>
      </c>
      <c r="G133" s="18"/>
      <c r="H133" s="18">
        <f t="shared" si="29"/>
        <v>0.32749414918348235</v>
      </c>
      <c r="I133" s="43"/>
      <c r="J133" s="43"/>
      <c r="K133" s="43"/>
      <c r="L133" s="43"/>
      <c r="M133" s="52">
        <f>$H133*Multipliers!E223</f>
        <v>1.1648472827627423</v>
      </c>
      <c r="N133" s="52">
        <f>$H133*Multipliers!F223</f>
        <v>0.82062280759257922</v>
      </c>
      <c r="O133" s="52">
        <f t="shared" si="30"/>
        <v>1.9854700903553215</v>
      </c>
      <c r="P133" s="36"/>
      <c r="Q133" s="36">
        <f>$H133*Multipliers!I223</f>
        <v>6.0867026297673668E-2</v>
      </c>
      <c r="R133" s="36">
        <f>$H133*Multipliers!J223</f>
        <v>4.1761489185951205E-2</v>
      </c>
      <c r="S133" s="36">
        <f t="shared" si="31"/>
        <v>0.10262851548362487</v>
      </c>
      <c r="T133" s="36">
        <f>$H133*Multipliers!L223</f>
        <v>0.32749414918348235</v>
      </c>
      <c r="U133" s="36">
        <f>$H133*Multipliers!M223</f>
        <v>0.19547963647386102</v>
      </c>
      <c r="V133" s="36">
        <f>$H133*Multipliers!N223</f>
        <v>0.12388954217900747</v>
      </c>
      <c r="W133" s="36">
        <f t="shared" si="32"/>
        <v>0.31936917865286851</v>
      </c>
      <c r="X133" s="36"/>
      <c r="Y133" s="36">
        <f>$H133*Multipliers!Q223</f>
        <v>0.10994576786296055</v>
      </c>
      <c r="Z133" s="36">
        <f>$H133*Multipliers!R223</f>
        <v>7.2108517052462587E-2</v>
      </c>
      <c r="AA133" s="36">
        <f t="shared" si="33"/>
        <v>0.18205428491542314</v>
      </c>
    </row>
    <row r="134" spans="3:27" ht="17" x14ac:dyDescent="0.15">
      <c r="C134" s="6" t="s">
        <v>155</v>
      </c>
      <c r="D134" s="8"/>
      <c r="F134" s="8">
        <f>G$117*Multipliers!U224</f>
        <v>274310.88544970279</v>
      </c>
      <c r="G134" s="18"/>
      <c r="H134" s="18">
        <f t="shared" si="29"/>
        <v>0.25639838462983722</v>
      </c>
      <c r="I134" s="43"/>
      <c r="J134" s="43"/>
      <c r="K134" s="43"/>
      <c r="L134" s="43"/>
      <c r="M134" s="52">
        <f>$H134*Multipliers!E224</f>
        <v>0.73479993429667945</v>
      </c>
      <c r="N134" s="52">
        <f>$H134*Multipliers!F224</f>
        <v>0.9419866612973814</v>
      </c>
      <c r="O134" s="52">
        <f t="shared" si="30"/>
        <v>1.6767865955940608</v>
      </c>
      <c r="P134" s="36"/>
      <c r="Q134" s="36">
        <f>$H134*Multipliers!I224</f>
        <v>4.2017248878629038E-2</v>
      </c>
      <c r="R134" s="36">
        <f>$H134*Multipliers!J224</f>
        <v>4.9262874681419266E-2</v>
      </c>
      <c r="S134" s="36">
        <f t="shared" si="31"/>
        <v>9.1280123560048304E-2</v>
      </c>
      <c r="T134" s="36">
        <f>$H134*Multipliers!L224</f>
        <v>0.25639838462983722</v>
      </c>
      <c r="U134" s="36">
        <f>$H134*Multipliers!M224</f>
        <v>0.11533443073822852</v>
      </c>
      <c r="V134" s="36">
        <f>$H134*Multipliers!N224</f>
        <v>0.14614311072548358</v>
      </c>
      <c r="W134" s="36">
        <f t="shared" si="32"/>
        <v>0.2614775414637121</v>
      </c>
      <c r="X134" s="36"/>
      <c r="Y134" s="36">
        <f>$H134*Multipliers!Q224</f>
        <v>6.5869623825068446E-2</v>
      </c>
      <c r="Z134" s="36">
        <f>$H134*Multipliers!R224</f>
        <v>8.506090390459782E-2</v>
      </c>
      <c r="AA134" s="36">
        <f t="shared" si="33"/>
        <v>0.15093052772966625</v>
      </c>
    </row>
    <row r="135" spans="3:27" ht="17" x14ac:dyDescent="0.15">
      <c r="C135" s="6" t="s">
        <v>156</v>
      </c>
      <c r="D135" s="8"/>
      <c r="F135" s="8">
        <f>G$117*Multipliers!U225</f>
        <v>5154.5508720570078</v>
      </c>
      <c r="G135" s="18"/>
      <c r="H135" s="18">
        <f t="shared" si="29"/>
        <v>4.8179587001116854E-3</v>
      </c>
      <c r="I135" s="43"/>
      <c r="J135" s="43"/>
      <c r="K135" s="43"/>
      <c r="L135" s="43"/>
      <c r="M135" s="52">
        <f>$H135*Multipliers!E225</f>
        <v>1.4539891821096907E-2</v>
      </c>
      <c r="N135" s="52">
        <f>$H135*Multipliers!F225</f>
        <v>2.1180574331141726E-2</v>
      </c>
      <c r="O135" s="52">
        <f t="shared" si="30"/>
        <v>3.5720466152238631E-2</v>
      </c>
      <c r="P135" s="36"/>
      <c r="Q135" s="36">
        <f>$H135*Multipliers!I225</f>
        <v>8.8655890375884984E-4</v>
      </c>
      <c r="R135" s="36">
        <f>$H135*Multipliers!J225</f>
        <v>1.1062051427254806E-3</v>
      </c>
      <c r="S135" s="36">
        <f t="shared" si="31"/>
        <v>1.9927640464843304E-3</v>
      </c>
      <c r="T135" s="36">
        <f>$H135*Multipliers!L225</f>
        <v>4.8179587001116854E-3</v>
      </c>
      <c r="U135" s="36">
        <f>$H135*Multipliers!M225</f>
        <v>2.2986641068418545E-3</v>
      </c>
      <c r="V135" s="36">
        <f>$H135*Multipliers!N225</f>
        <v>3.2817242699585249E-3</v>
      </c>
      <c r="W135" s="36">
        <f t="shared" si="32"/>
        <v>5.5803883768003795E-3</v>
      </c>
      <c r="X135" s="36"/>
      <c r="Y135" s="36">
        <f>$H135*Multipliers!Q225</f>
        <v>1.3285052966296245E-3</v>
      </c>
      <c r="Z135" s="36">
        <f>$H135*Multipliers!R225</f>
        <v>1.9101292686354344E-3</v>
      </c>
      <c r="AA135" s="36">
        <f t="shared" si="33"/>
        <v>3.2386345652650589E-3</v>
      </c>
    </row>
    <row r="136" spans="3:27" ht="17" x14ac:dyDescent="0.15">
      <c r="C136" s="6" t="s">
        <v>80</v>
      </c>
      <c r="D136" s="8"/>
      <c r="F136" s="8">
        <f>(G$117*Multipliers!U226)+(G115*H115)</f>
        <v>5363.5626520991118</v>
      </c>
      <c r="G136" s="18"/>
      <c r="H136" s="18">
        <f t="shared" si="29"/>
        <v>5.0133220109170396E-3</v>
      </c>
      <c r="I136" s="43"/>
      <c r="J136" s="43"/>
      <c r="K136" s="43"/>
      <c r="L136" s="43"/>
      <c r="M136" s="52">
        <f>$H136*Multipliers!E226</f>
        <v>1.4082640535369804E-3</v>
      </c>
      <c r="N136" s="52">
        <f>$H136*Multipliers!F226</f>
        <v>2.1270215107405923E-2</v>
      </c>
      <c r="O136" s="52">
        <f t="shared" si="30"/>
        <v>2.2678479160942903E-2</v>
      </c>
      <c r="P136" s="36"/>
      <c r="Q136" s="36">
        <f>$H136*Multipliers!I226</f>
        <v>1.0063616579163283E-4</v>
      </c>
      <c r="R136" s="36">
        <f>$H136*Multipliers!J226</f>
        <v>1.2956838179614479E-3</v>
      </c>
      <c r="S136" s="36">
        <f t="shared" si="31"/>
        <v>1.3963199837530808E-3</v>
      </c>
      <c r="T136" s="36">
        <f>$H136*Multipliers!L226</f>
        <v>5.0133220109170396E-3</v>
      </c>
      <c r="U136" s="36">
        <f>$H136*Multipliers!M226</f>
        <v>2.7968934549652962E-4</v>
      </c>
      <c r="V136" s="36">
        <f>$H136*Multipliers!N226</f>
        <v>3.843535300188165E-3</v>
      </c>
      <c r="W136" s="36">
        <f t="shared" si="32"/>
        <v>4.1232246456846949E-3</v>
      </c>
      <c r="X136" s="36"/>
      <c r="Y136" s="36">
        <f>$H136*Multipliers!Q226</f>
        <v>1.5510682614983543E-4</v>
      </c>
      <c r="Z136" s="36">
        <f>$H136*Multipliers!R226</f>
        <v>2.2369131958396207E-3</v>
      </c>
      <c r="AA136" s="36">
        <f t="shared" si="33"/>
        <v>2.3920200219894562E-3</v>
      </c>
    </row>
    <row r="137" spans="3:27" ht="17" x14ac:dyDescent="0.15">
      <c r="C137" s="6" t="s">
        <v>16</v>
      </c>
      <c r="D137" s="8"/>
      <c r="F137" s="8">
        <f>SUM(F123:F136)</f>
        <v>783956.31977276399</v>
      </c>
      <c r="G137" s="18"/>
      <c r="H137" s="18">
        <f>SUM(H123:H136)</f>
        <v>0.7327639720916026</v>
      </c>
      <c r="I137" s="43"/>
      <c r="J137" s="43"/>
      <c r="K137" s="43"/>
      <c r="L137" s="43">
        <f>IF(L139=0,0,D119)</f>
        <v>11.968868329123286</v>
      </c>
      <c r="M137" s="52">
        <f>SUM(M123:M136)</f>
        <v>2.2763168852897153</v>
      </c>
      <c r="N137" s="52">
        <f>SUM(N123:N136)</f>
        <v>2.2243080371077641</v>
      </c>
      <c r="O137" s="52">
        <f>N137+M137+L137</f>
        <v>16.469493251520767</v>
      </c>
      <c r="P137" s="36">
        <f>H137</f>
        <v>0.7327639720916026</v>
      </c>
      <c r="Q137" s="36">
        <f>SUM(Q123:Q136)</f>
        <v>0.12646765933463619</v>
      </c>
      <c r="R137" s="36">
        <f>SUM(R123:R136)</f>
        <v>0.11621650315580027</v>
      </c>
      <c r="S137" s="36">
        <f>R137+Q137+P137</f>
        <v>0.97544813458203905</v>
      </c>
      <c r="T137" s="36">
        <f>SUM(T123:T136)</f>
        <v>0.7327639720916026</v>
      </c>
      <c r="U137" s="36">
        <f>SUM(U123:U136)</f>
        <v>0.37626482598214372</v>
      </c>
      <c r="V137" s="36">
        <f>SUM(V123:V136)</f>
        <v>0.34476973362052105</v>
      </c>
      <c r="W137" s="36">
        <f>V137+U137+T137</f>
        <v>1.4537985316942674</v>
      </c>
      <c r="X137" s="36">
        <f>P137</f>
        <v>0.7327639720916026</v>
      </c>
      <c r="Y137" s="36">
        <f>SUM(Y123:Y136)</f>
        <v>0.2125899435607673</v>
      </c>
      <c r="Z137" s="36">
        <f>SUM(Z123:Z136)</f>
        <v>0.2006708044402824</v>
      </c>
      <c r="AA137" s="36">
        <f>Z137+Y137+X137</f>
        <v>1.1460247200926523</v>
      </c>
    </row>
    <row r="138" spans="3:27" ht="16" x14ac:dyDescent="0.15">
      <c r="C138" s="6"/>
      <c r="D138" s="8"/>
      <c r="F138" s="58"/>
      <c r="G138" s="20"/>
      <c r="I138" s="16"/>
      <c r="J138" s="16"/>
      <c r="K138" s="16"/>
      <c r="L138" s="16"/>
      <c r="M138" s="44"/>
      <c r="N138" s="44"/>
      <c r="O138" t="s">
        <v>194</v>
      </c>
      <c r="P138" s="1">
        <f>P115</f>
        <v>2020</v>
      </c>
      <c r="Q138" s="1" t="s">
        <v>190</v>
      </c>
      <c r="R138" s="44"/>
      <c r="S138" s="44"/>
      <c r="T138" s="44"/>
      <c r="W138" s="23"/>
      <c r="X138" s="44"/>
      <c r="Y138" s="261"/>
      <c r="Z138" s="261"/>
      <c r="AA138" s="23"/>
    </row>
    <row r="139" spans="3:27" x14ac:dyDescent="0.15">
      <c r="C139" s="17" t="s">
        <v>318</v>
      </c>
      <c r="E139" s="17" t="s">
        <v>311</v>
      </c>
      <c r="F139" s="10"/>
      <c r="L139" s="88">
        <f>SUM(M144:M157)</f>
        <v>9.5318737402375895</v>
      </c>
      <c r="P139" s="18">
        <f t="shared" ref="P139:W139" si="34">P137*$G60</f>
        <v>0.78391089734359654</v>
      </c>
      <c r="Q139" s="18">
        <f t="shared" si="34"/>
        <v>0.13529510195619382</v>
      </c>
      <c r="R139" s="18">
        <f t="shared" si="34"/>
        <v>0.12432841507607514</v>
      </c>
      <c r="S139" s="18">
        <f t="shared" si="34"/>
        <v>1.0435344143758654</v>
      </c>
      <c r="T139" s="18">
        <f t="shared" si="34"/>
        <v>0.78391089734359654</v>
      </c>
      <c r="U139" s="18">
        <f t="shared" si="34"/>
        <v>0.40252811083569739</v>
      </c>
      <c r="V139" s="18">
        <f t="shared" si="34"/>
        <v>0.36883466102723345</v>
      </c>
      <c r="W139" s="53">
        <f t="shared" si="34"/>
        <v>1.5552736692065274</v>
      </c>
      <c r="X139" s="18">
        <f t="shared" ref="X139:AA139" si="35">X137*$G60</f>
        <v>0.78391089734359654</v>
      </c>
      <c r="Y139" s="18">
        <f t="shared" si="35"/>
        <v>0.22742872162130887</v>
      </c>
      <c r="Z139" s="18">
        <f t="shared" si="35"/>
        <v>0.21467762659021414</v>
      </c>
      <c r="AA139" s="53">
        <f t="shared" si="35"/>
        <v>1.2260172455551195</v>
      </c>
    </row>
    <row r="140" spans="3:27" x14ac:dyDescent="0.15">
      <c r="D140" s="10" t="s">
        <v>138</v>
      </c>
      <c r="E140" s="10" t="s">
        <v>138</v>
      </c>
      <c r="F140" s="10"/>
      <c r="X140" s="261"/>
      <c r="Y140" s="261"/>
      <c r="Z140" s="261"/>
      <c r="AA140" s="261"/>
    </row>
    <row r="141" spans="3:27" ht="17" x14ac:dyDescent="0.15">
      <c r="C141" s="6" t="s">
        <v>76</v>
      </c>
      <c r="D141" s="8">
        <v>0</v>
      </c>
      <c r="E141" s="8">
        <v>0</v>
      </c>
      <c r="F141" s="8">
        <v>0</v>
      </c>
      <c r="L141" s="1" t="s">
        <v>206</v>
      </c>
      <c r="X141" s="261"/>
      <c r="Y141" s="261"/>
      <c r="Z141" s="261"/>
      <c r="AA141" s="261"/>
    </row>
    <row r="142" spans="3:27" ht="17" x14ac:dyDescent="0.15">
      <c r="C142" s="6" t="s">
        <v>148</v>
      </c>
      <c r="D142" s="8">
        <v>0</v>
      </c>
      <c r="E142" s="8">
        <v>0</v>
      </c>
      <c r="F142" s="8">
        <v>0</v>
      </c>
      <c r="L142" s="11" t="s">
        <v>75</v>
      </c>
      <c r="M142" s="11"/>
      <c r="N142" s="11"/>
      <c r="O142" s="11"/>
      <c r="P142" s="11" t="s">
        <v>198</v>
      </c>
      <c r="Q142" s="11"/>
      <c r="R142" s="11"/>
      <c r="S142" s="11"/>
      <c r="T142" s="11" t="s">
        <v>199</v>
      </c>
      <c r="X142" s="11" t="s">
        <v>631</v>
      </c>
      <c r="Y142" s="261"/>
      <c r="Z142" s="261"/>
      <c r="AA142" s="261"/>
    </row>
    <row r="143" spans="3:27" ht="17" x14ac:dyDescent="0.15">
      <c r="C143" s="6" t="s">
        <v>77</v>
      </c>
      <c r="D143" s="8">
        <v>0</v>
      </c>
      <c r="E143" s="8">
        <f>+G7+G13+G14+G15+G16+G10+H29</f>
        <v>29089660.899726231</v>
      </c>
      <c r="F143" s="8">
        <v>50396934.086119331</v>
      </c>
      <c r="L143" s="11" t="s">
        <v>145</v>
      </c>
      <c r="M143" s="11" t="s">
        <v>146</v>
      </c>
      <c r="N143" s="11" t="s">
        <v>147</v>
      </c>
      <c r="O143" s="11" t="s">
        <v>16</v>
      </c>
      <c r="P143" s="11" t="s">
        <v>145</v>
      </c>
      <c r="Q143" s="11" t="s">
        <v>146</v>
      </c>
      <c r="R143" s="11" t="s">
        <v>147</v>
      </c>
      <c r="S143" s="11" t="s">
        <v>16</v>
      </c>
      <c r="T143" s="11" t="s">
        <v>145</v>
      </c>
      <c r="U143" s="11" t="s">
        <v>146</v>
      </c>
      <c r="V143" s="11" t="s">
        <v>147</v>
      </c>
      <c r="W143" s="11" t="s">
        <v>16</v>
      </c>
      <c r="X143" s="11" t="s">
        <v>145</v>
      </c>
      <c r="Y143" s="11" t="s">
        <v>146</v>
      </c>
      <c r="Z143" s="11" t="s">
        <v>147</v>
      </c>
      <c r="AA143" s="11" t="s">
        <v>16</v>
      </c>
    </row>
    <row r="144" spans="3:27" ht="17" x14ac:dyDescent="0.15">
      <c r="C144" s="6" t="s">
        <v>149</v>
      </c>
      <c r="D144" s="8">
        <f>0.75*G81</f>
        <v>0</v>
      </c>
      <c r="E144" s="8">
        <f>G9+G22+(I28)</f>
        <v>9857659.9066692833</v>
      </c>
      <c r="F144" s="8">
        <v>7638697.609362781</v>
      </c>
      <c r="J144" s="6" t="s">
        <v>76</v>
      </c>
      <c r="L144" s="14">
        <f>L98+L123</f>
        <v>6.69076771143471E-2</v>
      </c>
      <c r="M144" s="14">
        <f t="shared" ref="M144:V144" si="36">M98+M123</f>
        <v>4.1931583613026728E-2</v>
      </c>
      <c r="N144" s="14">
        <f t="shared" si="36"/>
        <v>3.0313102385479407E-2</v>
      </c>
      <c r="O144" s="14">
        <f>N144+M144+L144</f>
        <v>0.13915236311285323</v>
      </c>
      <c r="P144" s="18">
        <f t="shared" si="36"/>
        <v>2.3621113271070941E-3</v>
      </c>
      <c r="Q144" s="18">
        <f t="shared" si="36"/>
        <v>2.3732851387448894E-3</v>
      </c>
      <c r="R144" s="18">
        <f t="shared" si="36"/>
        <v>1.7535680871781354E-3</v>
      </c>
      <c r="S144" s="18">
        <f>R144+Q144+P144</f>
        <v>6.4889645530301189E-3</v>
      </c>
      <c r="T144" s="18">
        <f t="shared" si="36"/>
        <v>1.225278017999832E-2</v>
      </c>
      <c r="U144" s="18">
        <f t="shared" si="36"/>
        <v>7.876274441912523E-3</v>
      </c>
      <c r="V144" s="18">
        <f t="shared" si="36"/>
        <v>5.2031881921309631E-3</v>
      </c>
      <c r="W144" s="18">
        <f>V144+U144+T144</f>
        <v>2.5332242814041804E-2</v>
      </c>
      <c r="X144" s="18">
        <f t="shared" ref="X144:Z144" si="37">X98+X123</f>
        <v>2.7942311417256394E-3</v>
      </c>
      <c r="Y144" s="18">
        <f t="shared" si="37"/>
        <v>3.642469730806073E-3</v>
      </c>
      <c r="Z144" s="18">
        <f t="shared" si="37"/>
        <v>3.0292090113201789E-3</v>
      </c>
      <c r="AA144" s="18">
        <f>Z144+Y144+X144</f>
        <v>9.4659098838518908E-3</v>
      </c>
    </row>
    <row r="145" spans="3:27" ht="17" x14ac:dyDescent="0.15">
      <c r="C145" s="6" t="s">
        <v>150</v>
      </c>
      <c r="D145" s="8">
        <v>0</v>
      </c>
      <c r="E145" s="60">
        <f>G23</f>
        <v>0</v>
      </c>
      <c r="F145" s="60">
        <v>0</v>
      </c>
      <c r="J145" s="6" t="s">
        <v>148</v>
      </c>
      <c r="L145" s="14">
        <f t="shared" ref="L145:V145" si="38">L99+L124</f>
        <v>7.1944351209262262E-5</v>
      </c>
      <c r="M145" s="14">
        <f t="shared" si="38"/>
        <v>3.421230803526791E-5</v>
      </c>
      <c r="N145" s="14">
        <f t="shared" si="38"/>
        <v>1.2045788713537612E-4</v>
      </c>
      <c r="O145" s="14">
        <f t="shared" ref="O145:O159" si="39">N145+M145+L145</f>
        <v>2.2661454637990631E-4</v>
      </c>
      <c r="P145" s="18">
        <f t="shared" si="38"/>
        <v>1.2351631341421646E-5</v>
      </c>
      <c r="Q145" s="18">
        <f t="shared" si="38"/>
        <v>2.8409626619342544E-6</v>
      </c>
      <c r="R145" s="18">
        <f t="shared" si="38"/>
        <v>6.0655663713483636E-6</v>
      </c>
      <c r="S145" s="18">
        <f t="shared" ref="S145:S158" si="40">R145+Q145+P145</f>
        <v>2.1258160374704265E-5</v>
      </c>
      <c r="T145" s="18">
        <f t="shared" si="38"/>
        <v>2.6815772834404565E-5</v>
      </c>
      <c r="U145" s="18">
        <f t="shared" si="38"/>
        <v>6.6197365042366167E-6</v>
      </c>
      <c r="V145" s="18">
        <f t="shared" si="38"/>
        <v>1.8000120066131357E-5</v>
      </c>
      <c r="W145" s="18">
        <f t="shared" ref="W145:W158" si="41">V145+U145+T145</f>
        <v>5.1435629404772541E-5</v>
      </c>
      <c r="X145" s="18">
        <f t="shared" ref="X145:Z145" si="42">X99+X124</f>
        <v>1.383933043419185E-5</v>
      </c>
      <c r="Y145" s="18">
        <f t="shared" si="42"/>
        <v>3.8555006708682586E-6</v>
      </c>
      <c r="Z145" s="18">
        <f t="shared" si="42"/>
        <v>1.0481047063360972E-5</v>
      </c>
      <c r="AA145" s="18">
        <f t="shared" ref="AA145:AA158" si="43">Z145+Y145+X145</f>
        <v>2.8175878168421079E-5</v>
      </c>
    </row>
    <row r="146" spans="3:27" ht="12.75" customHeight="1" x14ac:dyDescent="0.15">
      <c r="C146" s="6" t="s">
        <v>151</v>
      </c>
      <c r="D146" s="8">
        <v>0</v>
      </c>
      <c r="E146" s="8">
        <f>+G21</f>
        <v>0</v>
      </c>
      <c r="F146" s="8">
        <v>0</v>
      </c>
      <c r="J146" s="6" t="s">
        <v>77</v>
      </c>
      <c r="L146" s="14">
        <f t="shared" ref="L146:V146" si="44">L100+L125</f>
        <v>0</v>
      </c>
      <c r="M146" s="14">
        <f t="shared" si="44"/>
        <v>0</v>
      </c>
      <c r="N146" s="14">
        <f t="shared" si="44"/>
        <v>0</v>
      </c>
      <c r="O146" s="14">
        <f t="shared" si="39"/>
        <v>0</v>
      </c>
      <c r="P146" s="18">
        <f t="shared" si="44"/>
        <v>0</v>
      </c>
      <c r="Q146" s="18">
        <f t="shared" si="44"/>
        <v>0</v>
      </c>
      <c r="R146" s="18">
        <f t="shared" si="44"/>
        <v>0</v>
      </c>
      <c r="S146" s="18">
        <f t="shared" si="40"/>
        <v>0</v>
      </c>
      <c r="T146" s="18">
        <f t="shared" si="44"/>
        <v>0</v>
      </c>
      <c r="U146" s="18">
        <f t="shared" si="44"/>
        <v>0</v>
      </c>
      <c r="V146" s="18">
        <f t="shared" si="44"/>
        <v>0</v>
      </c>
      <c r="W146" s="18">
        <f t="shared" si="41"/>
        <v>0</v>
      </c>
      <c r="X146" s="18">
        <f t="shared" ref="X146:Z146" si="45">X100+X125</f>
        <v>0</v>
      </c>
      <c r="Y146" s="18">
        <f t="shared" si="45"/>
        <v>0</v>
      </c>
      <c r="Z146" s="18">
        <f t="shared" si="45"/>
        <v>0</v>
      </c>
      <c r="AA146" s="18">
        <f t="shared" si="43"/>
        <v>0</v>
      </c>
    </row>
    <row r="147" spans="3:27" ht="12.75" customHeight="1" x14ac:dyDescent="0.15">
      <c r="C147" s="6" t="s">
        <v>152</v>
      </c>
      <c r="D147" s="8">
        <f>0.25*G81</f>
        <v>0</v>
      </c>
      <c r="E147" s="8">
        <f>+G8</f>
        <v>0</v>
      </c>
      <c r="F147" s="8">
        <v>0</v>
      </c>
      <c r="J147" s="6" t="s">
        <v>149</v>
      </c>
      <c r="L147" s="14">
        <f t="shared" ref="L147:V147" si="46">L101+L126</f>
        <v>0.13858452117035203</v>
      </c>
      <c r="M147" s="14">
        <f t="shared" si="46"/>
        <v>0.20099069061872238</v>
      </c>
      <c r="N147" s="14">
        <f t="shared" si="46"/>
        <v>0.17577233309614554</v>
      </c>
      <c r="O147" s="14">
        <f t="shared" si="39"/>
        <v>0.51534754488521994</v>
      </c>
      <c r="P147" s="18">
        <f t="shared" si="46"/>
        <v>1.1153706937345008E-2</v>
      </c>
      <c r="Q147" s="18">
        <f t="shared" si="46"/>
        <v>1.3203769070424129E-2</v>
      </c>
      <c r="R147" s="18">
        <f t="shared" si="46"/>
        <v>9.0644697113029873E-3</v>
      </c>
      <c r="S147" s="18">
        <f t="shared" si="40"/>
        <v>3.3421945719072123E-2</v>
      </c>
      <c r="T147" s="18">
        <f t="shared" si="46"/>
        <v>8.4088876759898123E-2</v>
      </c>
      <c r="U147" s="18">
        <f t="shared" si="46"/>
        <v>3.7833967306880115E-2</v>
      </c>
      <c r="V147" s="18">
        <f t="shared" si="46"/>
        <v>2.689113949803329E-2</v>
      </c>
      <c r="W147" s="18">
        <f t="shared" si="41"/>
        <v>0.14881398356481151</v>
      </c>
      <c r="X147" s="18">
        <f t="shared" ref="X147:Z147" si="47">X101+X126</f>
        <v>1.9781442651376935E-2</v>
      </c>
      <c r="Y147" s="18">
        <f t="shared" si="47"/>
        <v>1.9688848716561951E-2</v>
      </c>
      <c r="Z147" s="18">
        <f t="shared" si="47"/>
        <v>1.5652081855719552E-2</v>
      </c>
      <c r="AA147" s="18">
        <f t="shared" si="43"/>
        <v>5.5122373223658441E-2</v>
      </c>
    </row>
    <row r="148" spans="3:27" ht="12.75" customHeight="1" x14ac:dyDescent="0.15">
      <c r="C148" s="6" t="s">
        <v>153</v>
      </c>
      <c r="D148" s="8">
        <f>G77</f>
        <v>275322.03978932317</v>
      </c>
      <c r="E148" s="8">
        <f>G24</f>
        <v>0</v>
      </c>
      <c r="F148" s="8">
        <v>0</v>
      </c>
      <c r="J148" s="6" t="s">
        <v>150</v>
      </c>
      <c r="L148" s="14">
        <f t="shared" ref="L148:V148" si="48">L102+L127</f>
        <v>1.013174666953399E-5</v>
      </c>
      <c r="M148" s="14">
        <f t="shared" si="48"/>
        <v>7.9591523956848992E-6</v>
      </c>
      <c r="N148" s="14">
        <f t="shared" si="48"/>
        <v>8.8575257090872972E-6</v>
      </c>
      <c r="O148" s="14">
        <f t="shared" si="39"/>
        <v>2.6948424774306187E-5</v>
      </c>
      <c r="P148" s="18">
        <f t="shared" si="48"/>
        <v>6.6371002272702493E-7</v>
      </c>
      <c r="Q148" s="18">
        <f t="shared" si="48"/>
        <v>4.9729982401372541E-7</v>
      </c>
      <c r="R148" s="18">
        <f t="shared" si="48"/>
        <v>4.4719302589545844E-7</v>
      </c>
      <c r="S148" s="18">
        <f t="shared" si="40"/>
        <v>1.6082028726362087E-6</v>
      </c>
      <c r="T148" s="18">
        <f t="shared" si="48"/>
        <v>3.6171852942017731E-6</v>
      </c>
      <c r="U148" s="18">
        <f t="shared" si="48"/>
        <v>1.4624589152252092E-6</v>
      </c>
      <c r="V148" s="18">
        <f t="shared" si="48"/>
        <v>1.3266165922859699E-6</v>
      </c>
      <c r="W148" s="18">
        <f t="shared" si="41"/>
        <v>6.4062608017129523E-6</v>
      </c>
      <c r="X148" s="18">
        <f t="shared" ref="X148:Z148" si="49">X102+X127</f>
        <v>8.8994134968245382E-7</v>
      </c>
      <c r="Y148" s="18">
        <f t="shared" si="49"/>
        <v>7.6695741860419414E-7</v>
      </c>
      <c r="Z148" s="18">
        <f t="shared" si="49"/>
        <v>7.7212398910910258E-7</v>
      </c>
      <c r="AA148" s="18">
        <f t="shared" si="43"/>
        <v>2.4290227573957505E-6</v>
      </c>
    </row>
    <row r="149" spans="3:27" ht="17" x14ac:dyDescent="0.15">
      <c r="C149" s="6" t="s">
        <v>78</v>
      </c>
      <c r="D149" s="8">
        <v>0</v>
      </c>
      <c r="E149" s="8">
        <v>0</v>
      </c>
      <c r="F149" s="8">
        <v>0</v>
      </c>
      <c r="J149" s="6" t="s">
        <v>151</v>
      </c>
      <c r="L149" s="14">
        <f t="shared" ref="L149:V149" si="50">L103+L128</f>
        <v>3.3724137066388293E-5</v>
      </c>
      <c r="M149" s="14">
        <f t="shared" si="50"/>
        <v>4.0445912000475339E-5</v>
      </c>
      <c r="N149" s="14">
        <f t="shared" si="50"/>
        <v>3.9647538007506243E-5</v>
      </c>
      <c r="O149" s="14">
        <f t="shared" si="39"/>
        <v>1.1381758707436988E-4</v>
      </c>
      <c r="P149" s="18">
        <f t="shared" si="50"/>
        <v>2.6711383061705437E-6</v>
      </c>
      <c r="Q149" s="18">
        <f t="shared" si="50"/>
        <v>2.605340860415932E-6</v>
      </c>
      <c r="R149" s="18">
        <f t="shared" si="50"/>
        <v>1.9967421015286265E-6</v>
      </c>
      <c r="S149" s="18">
        <f t="shared" si="40"/>
        <v>7.2732212681151022E-6</v>
      </c>
      <c r="T149" s="18">
        <f t="shared" si="50"/>
        <v>1.8476522106889011E-5</v>
      </c>
      <c r="U149" s="18">
        <f t="shared" si="50"/>
        <v>7.7063698330363121E-6</v>
      </c>
      <c r="V149" s="18">
        <f t="shared" si="50"/>
        <v>5.9233830710458482E-6</v>
      </c>
      <c r="W149" s="18">
        <f t="shared" si="41"/>
        <v>3.210627501097117E-5</v>
      </c>
      <c r="X149" s="18">
        <f t="shared" ref="X149:Z149" si="51">X103+X128</f>
        <v>3.3851058980502439E-6</v>
      </c>
      <c r="Y149" s="18">
        <f t="shared" si="51"/>
        <v>4.0741258832265572E-6</v>
      </c>
      <c r="Z149" s="18">
        <f t="shared" si="51"/>
        <v>3.4475358616591585E-6</v>
      </c>
      <c r="AA149" s="18">
        <f t="shared" si="43"/>
        <v>1.0906767642935959E-5</v>
      </c>
    </row>
    <row r="150" spans="3:27" ht="12.75" customHeight="1" x14ac:dyDescent="0.15">
      <c r="C150" s="6" t="s">
        <v>79</v>
      </c>
      <c r="D150" s="8">
        <f>G79+G80+G74</f>
        <v>352976.97408887587</v>
      </c>
      <c r="E150" s="8">
        <f>G17*0.5</f>
        <v>323944.20602381817</v>
      </c>
      <c r="F150" s="8">
        <v>3686000</v>
      </c>
      <c r="J150" s="6" t="s">
        <v>152</v>
      </c>
      <c r="L150" s="14">
        <f t="shared" ref="L150:V150" si="52">L104+L129</f>
        <v>2.0789814203753833E-5</v>
      </c>
      <c r="M150" s="14">
        <f t="shared" si="52"/>
        <v>2.9800752862409448E-5</v>
      </c>
      <c r="N150" s="14">
        <f t="shared" si="52"/>
        <v>2.8002475365476272E-5</v>
      </c>
      <c r="O150" s="14">
        <f t="shared" si="39"/>
        <v>7.8593042431639553E-5</v>
      </c>
      <c r="P150" s="18">
        <f t="shared" si="52"/>
        <v>1.8230197832465379E-6</v>
      </c>
      <c r="Q150" s="18">
        <f t="shared" si="52"/>
        <v>1.8979858989613648E-6</v>
      </c>
      <c r="R150" s="18">
        <f t="shared" si="52"/>
        <v>1.4035222053829853E-6</v>
      </c>
      <c r="S150" s="18">
        <f t="shared" si="40"/>
        <v>5.1245278875908875E-6</v>
      </c>
      <c r="T150" s="18">
        <f t="shared" si="52"/>
        <v>1.2418659396249105E-5</v>
      </c>
      <c r="U150" s="18">
        <f t="shared" si="52"/>
        <v>5.3231808929434921E-6</v>
      </c>
      <c r="V150" s="18">
        <f t="shared" si="52"/>
        <v>4.1635597880717527E-6</v>
      </c>
      <c r="W150" s="18">
        <f t="shared" si="41"/>
        <v>2.1905400077264349E-5</v>
      </c>
      <c r="X150" s="18">
        <f t="shared" ref="X150:Z150" si="53">X104+X129</f>
        <v>3.0464352150316385E-6</v>
      </c>
      <c r="Y150" s="18">
        <f t="shared" si="53"/>
        <v>2.8874487632695602E-6</v>
      </c>
      <c r="Z150" s="18">
        <f t="shared" si="53"/>
        <v>2.4232671932259796E-6</v>
      </c>
      <c r="AA150" s="18">
        <f t="shared" si="43"/>
        <v>8.3571511715271783E-6</v>
      </c>
    </row>
    <row r="151" spans="3:27" ht="12.75" customHeight="1" x14ac:dyDescent="0.15">
      <c r="C151" s="6" t="s">
        <v>154</v>
      </c>
      <c r="D151" s="8">
        <f>J90+G78+H86+H88+IF(E1="MYCOUNTY",0,(D66*E66*DefaultData!M107)+(D67*E67*DefaultData!M107)+(D68*E68*DefaultData!M107))</f>
        <v>257326.29503501643</v>
      </c>
      <c r="E151" s="8">
        <f>G32</f>
        <v>0</v>
      </c>
      <c r="F151" s="8">
        <v>0</v>
      </c>
      <c r="J151" s="6" t="s">
        <v>153</v>
      </c>
      <c r="L151" s="14">
        <f t="shared" ref="L151:V151" si="54">L105+L130</f>
        <v>0.9195366517427046</v>
      </c>
      <c r="M151" s="14">
        <f t="shared" si="54"/>
        <v>0.89912342614777152</v>
      </c>
      <c r="N151" s="14">
        <f t="shared" si="54"/>
        <v>1.1874258278658201</v>
      </c>
      <c r="O151" s="14">
        <f t="shared" si="39"/>
        <v>3.0060859057562963</v>
      </c>
      <c r="P151" s="18">
        <f t="shared" si="54"/>
        <v>0.11552823819069447</v>
      </c>
      <c r="Q151" s="18">
        <f t="shared" si="54"/>
        <v>6.4788079974093082E-2</v>
      </c>
      <c r="R151" s="18">
        <f t="shared" si="54"/>
        <v>5.9714138138808215E-2</v>
      </c>
      <c r="S151" s="18">
        <f t="shared" si="40"/>
        <v>0.24003045630359576</v>
      </c>
      <c r="T151" s="18">
        <f t="shared" si="54"/>
        <v>0.34539986869673267</v>
      </c>
      <c r="U151" s="18">
        <f t="shared" si="54"/>
        <v>0.16922902893467209</v>
      </c>
      <c r="V151" s="18">
        <f t="shared" si="54"/>
        <v>0.1771820868512598</v>
      </c>
      <c r="W151" s="18">
        <f t="shared" si="41"/>
        <v>0.69181098448266454</v>
      </c>
      <c r="X151" s="18">
        <f t="shared" ref="X151:Z151" si="55">X105+X130</f>
        <v>0.15980297243545374</v>
      </c>
      <c r="Y151" s="18">
        <f t="shared" si="55"/>
        <v>9.5599774410251803E-2</v>
      </c>
      <c r="Z151" s="18">
        <f t="shared" si="55"/>
        <v>0.10315151724296122</v>
      </c>
      <c r="AA151" s="18">
        <f t="shared" si="43"/>
        <v>0.35855426408866675</v>
      </c>
    </row>
    <row r="152" spans="3:27" ht="12.75" customHeight="1" x14ac:dyDescent="0.15">
      <c r="C152" s="6" t="s">
        <v>155</v>
      </c>
      <c r="D152" s="8">
        <f>G75</f>
        <v>110128.81591572927</v>
      </c>
      <c r="E152" s="8">
        <f>G17*0.5</f>
        <v>323944.20602381817</v>
      </c>
      <c r="F152" s="8">
        <v>3686000</v>
      </c>
      <c r="J152" s="6" t="s">
        <v>78</v>
      </c>
      <c r="L152" s="14">
        <f t="shared" ref="L152:V152" si="56">L106+L131</f>
        <v>1.3294917823239978</v>
      </c>
      <c r="M152" s="14">
        <f t="shared" si="56"/>
        <v>0.94908289095989762</v>
      </c>
      <c r="N152" s="14">
        <f t="shared" si="56"/>
        <v>1.1439471096805529</v>
      </c>
      <c r="O152" s="14">
        <f t="shared" si="39"/>
        <v>3.4225217829644485</v>
      </c>
      <c r="P152" s="18">
        <f t="shared" si="56"/>
        <v>0.11842810132425484</v>
      </c>
      <c r="Q152" s="18">
        <f t="shared" si="56"/>
        <v>5.3926482556517621E-2</v>
      </c>
      <c r="R152" s="18">
        <f t="shared" si="56"/>
        <v>5.8842535693154598E-2</v>
      </c>
      <c r="S152" s="18">
        <f t="shared" si="40"/>
        <v>0.23119711957392708</v>
      </c>
      <c r="T152" s="18">
        <f t="shared" si="56"/>
        <v>0.34121674197677165</v>
      </c>
      <c r="U152" s="18">
        <f t="shared" si="56"/>
        <v>0.1430582304990084</v>
      </c>
      <c r="V152" s="18">
        <f t="shared" si="56"/>
        <v>0.17455882054030852</v>
      </c>
      <c r="W152" s="18">
        <f t="shared" si="41"/>
        <v>0.65883379301608858</v>
      </c>
      <c r="X152" s="18">
        <f t="shared" ref="X152:Z152" si="57">X106+X131</f>
        <v>0.20359178372140371</v>
      </c>
      <c r="Y152" s="18">
        <f t="shared" si="57"/>
        <v>8.3308832060855278E-2</v>
      </c>
      <c r="Z152" s="18">
        <f t="shared" si="57"/>
        <v>0.10159752791390773</v>
      </c>
      <c r="AA152" s="18">
        <f t="shared" si="43"/>
        <v>0.38849814369616675</v>
      </c>
    </row>
    <row r="153" spans="3:27" ht="12.75" customHeight="1" x14ac:dyDescent="0.15">
      <c r="C153" s="6" t="s">
        <v>156</v>
      </c>
      <c r="D153" s="8">
        <v>0</v>
      </c>
      <c r="E153" s="8">
        <f>G30+G31+J29</f>
        <v>737451.12764601177</v>
      </c>
      <c r="F153" s="8">
        <v>2159281.7324014488</v>
      </c>
      <c r="J153" s="6" t="s">
        <v>79</v>
      </c>
      <c r="L153" s="14">
        <f t="shared" ref="L153:V153" si="58">L107+L132</f>
        <v>3.589180213766662</v>
      </c>
      <c r="M153" s="14">
        <f t="shared" si="58"/>
        <v>1.0363124143440068</v>
      </c>
      <c r="N153" s="14">
        <f t="shared" si="58"/>
        <v>1.2488616874779959</v>
      </c>
      <c r="O153" s="14">
        <f t="shared" si="39"/>
        <v>5.8743543155886648</v>
      </c>
      <c r="P153" s="18">
        <f t="shared" si="58"/>
        <v>0.13276275824311995</v>
      </c>
      <c r="Q153" s="18">
        <f t="shared" si="58"/>
        <v>6.3820366831763453E-2</v>
      </c>
      <c r="R153" s="18">
        <f t="shared" si="58"/>
        <v>7.1818651938355765E-2</v>
      </c>
      <c r="S153" s="18">
        <f t="shared" si="40"/>
        <v>0.2684017770132392</v>
      </c>
      <c r="T153" s="18">
        <f t="shared" si="58"/>
        <v>0.40720704573456346</v>
      </c>
      <c r="U153" s="18">
        <f t="shared" si="58"/>
        <v>0.18130476988334099</v>
      </c>
      <c r="V153" s="18">
        <f t="shared" si="58"/>
        <v>0.21305756935632092</v>
      </c>
      <c r="W153" s="18">
        <f t="shared" si="41"/>
        <v>0.80156938497422536</v>
      </c>
      <c r="X153" s="18">
        <f t="shared" ref="X153:Z153" si="59">X107+X132</f>
        <v>0.21514759018809806</v>
      </c>
      <c r="Y153" s="18">
        <f t="shared" si="59"/>
        <v>0.10368338039650339</v>
      </c>
      <c r="Z153" s="18">
        <f t="shared" si="59"/>
        <v>0.12400797397073957</v>
      </c>
      <c r="AA153" s="18">
        <f t="shared" si="43"/>
        <v>0.44283894455534101</v>
      </c>
    </row>
    <row r="154" spans="3:27" ht="12.75" customHeight="1" x14ac:dyDescent="0.15">
      <c r="C154" s="6" t="s">
        <v>80</v>
      </c>
      <c r="D154" s="8">
        <f>G76+G83+G84+G89+IF(E1="MYCOUNTY",0,(D66*E66*DefaultData!M106)+(D67*E67*DefaultData!M106)+(D68*E68*DefaultData!M106))</f>
        <v>1280981.9314023766</v>
      </c>
      <c r="E154" s="8">
        <f>+G33+E62+G36</f>
        <v>9972656.8197764494</v>
      </c>
      <c r="F154" s="8">
        <v>1005922.1456191896</v>
      </c>
      <c r="J154" s="6" t="s">
        <v>154</v>
      </c>
      <c r="L154" s="14">
        <f t="shared" ref="L154:V154" si="60">L108+L133</f>
        <v>2.4814313509508015</v>
      </c>
      <c r="M154" s="14">
        <f t="shared" si="60"/>
        <v>2.9389892713796919</v>
      </c>
      <c r="N154" s="14">
        <f t="shared" si="60"/>
        <v>2.0704874047041155</v>
      </c>
      <c r="O154" s="14">
        <f t="shared" si="39"/>
        <v>7.4909080270346085</v>
      </c>
      <c r="P154" s="18">
        <f t="shared" si="60"/>
        <v>0.1044882151881279</v>
      </c>
      <c r="Q154" s="18">
        <f t="shared" si="60"/>
        <v>0.15357166550225326</v>
      </c>
      <c r="R154" s="18">
        <f t="shared" si="60"/>
        <v>0.10536709016760334</v>
      </c>
      <c r="S154" s="18">
        <f t="shared" si="40"/>
        <v>0.36342697085798448</v>
      </c>
      <c r="T154" s="18">
        <f t="shared" si="60"/>
        <v>0.82629011127282559</v>
      </c>
      <c r="U154" s="18">
        <f t="shared" si="60"/>
        <v>0.49320847708660304</v>
      </c>
      <c r="V154" s="18">
        <f t="shared" si="60"/>
        <v>0.31258177847714241</v>
      </c>
      <c r="W154" s="18">
        <f t="shared" si="41"/>
        <v>1.6320803668365711</v>
      </c>
      <c r="X154" s="18">
        <f t="shared" ref="X154:Z154" si="61">X108+X133</f>
        <v>0.27322910326660838</v>
      </c>
      <c r="Y154" s="18">
        <f t="shared" si="61"/>
        <v>0.27740068330370016</v>
      </c>
      <c r="Z154" s="18">
        <f t="shared" si="61"/>
        <v>0.18193471464314909</v>
      </c>
      <c r="AA154" s="18">
        <f t="shared" si="43"/>
        <v>0.73256450121345762</v>
      </c>
    </row>
    <row r="155" spans="3:27" ht="12.75" customHeight="1" x14ac:dyDescent="0.15">
      <c r="C155" s="6" t="s">
        <v>16</v>
      </c>
      <c r="D155" s="8">
        <f>SUM(D141:D154)</f>
        <v>2276736.0562313213</v>
      </c>
      <c r="E155" s="8">
        <f>SUM(E141:E154)</f>
        <v>50305317.165865615</v>
      </c>
      <c r="F155" s="8">
        <v>68572835.573502749</v>
      </c>
      <c r="J155" s="6" t="s">
        <v>155</v>
      </c>
      <c r="L155" s="14">
        <f t="shared" ref="L155:V155" si="62">L109+L134</f>
        <v>6.6990298668148247</v>
      </c>
      <c r="M155" s="14">
        <f t="shared" si="62"/>
        <v>3.0656863574771411</v>
      </c>
      <c r="N155" s="14">
        <f t="shared" si="62"/>
        <v>3.9300978697404774</v>
      </c>
      <c r="O155" s="14">
        <f t="shared" si="39"/>
        <v>13.694814094032443</v>
      </c>
      <c r="P155" s="18">
        <f t="shared" si="62"/>
        <v>0.35128077236150529</v>
      </c>
      <c r="Q155" s="18">
        <f t="shared" si="62"/>
        <v>0.17530173949896724</v>
      </c>
      <c r="R155" s="18">
        <f t="shared" si="62"/>
        <v>0.20553148658823386</v>
      </c>
      <c r="S155" s="18">
        <f t="shared" si="40"/>
        <v>0.73211399844870639</v>
      </c>
      <c r="T155" s="18">
        <f t="shared" si="62"/>
        <v>1.0697293142673336</v>
      </c>
      <c r="U155" s="18">
        <f t="shared" si="62"/>
        <v>0.48119110299051809</v>
      </c>
      <c r="V155" s="18">
        <f t="shared" si="62"/>
        <v>0.60972915194830724</v>
      </c>
      <c r="W155" s="18">
        <f t="shared" si="41"/>
        <v>2.1606495692061589</v>
      </c>
      <c r="X155" s="18">
        <f t="shared" ref="X155:Z155" si="63">X109+X134</f>
        <v>0.47790680555175458</v>
      </c>
      <c r="Y155" s="18">
        <f t="shared" si="63"/>
        <v>0.27481712736671393</v>
      </c>
      <c r="Z155" s="18">
        <f t="shared" si="63"/>
        <v>0.35488578657073244</v>
      </c>
      <c r="AA155" s="18">
        <f t="shared" si="43"/>
        <v>1.107609719489201</v>
      </c>
    </row>
    <row r="156" spans="3:27" ht="34" x14ac:dyDescent="0.15">
      <c r="J156" s="6" t="s">
        <v>156</v>
      </c>
      <c r="L156" s="14">
        <f t="shared" ref="L156:V156" si="64">L110+L135</f>
        <v>8.7203004878154619E-2</v>
      </c>
      <c r="M156" s="14">
        <f t="shared" si="64"/>
        <v>5.7718092362049805E-2</v>
      </c>
      <c r="N156" s="14">
        <f t="shared" si="64"/>
        <v>8.4079191273781606E-2</v>
      </c>
      <c r="O156" s="14">
        <f t="shared" si="39"/>
        <v>0.22900028851398602</v>
      </c>
      <c r="P156" s="18">
        <f t="shared" si="64"/>
        <v>7.5778338762218641E-3</v>
      </c>
      <c r="Q156" s="18">
        <f t="shared" si="64"/>
        <v>3.5193170156399803E-3</v>
      </c>
      <c r="R156" s="18">
        <f t="shared" si="64"/>
        <v>4.3912328499282468E-3</v>
      </c>
      <c r="S156" s="18">
        <f t="shared" si="40"/>
        <v>1.5488383741790093E-2</v>
      </c>
      <c r="T156" s="18">
        <f t="shared" si="64"/>
        <v>1.9125547058479336E-2</v>
      </c>
      <c r="U156" s="18">
        <f t="shared" si="64"/>
        <v>9.1248620595320053E-3</v>
      </c>
      <c r="V156" s="18">
        <f t="shared" si="64"/>
        <v>1.3027254043624439E-2</v>
      </c>
      <c r="W156" s="18">
        <f t="shared" si="41"/>
        <v>4.127766316163578E-2</v>
      </c>
      <c r="X156" s="18">
        <f t="shared" ref="X156:Z156" si="65">X110+X135</f>
        <v>8.6829321857315317E-3</v>
      </c>
      <c r="Y156" s="18">
        <f t="shared" si="65"/>
        <v>5.2736837631131911E-3</v>
      </c>
      <c r="Z156" s="18">
        <f t="shared" si="65"/>
        <v>7.5825197949951004E-3</v>
      </c>
      <c r="AA156" s="18">
        <f t="shared" si="43"/>
        <v>2.1539135743839824E-2</v>
      </c>
    </row>
    <row r="157" spans="3:27" ht="17" x14ac:dyDescent="0.15">
      <c r="J157" s="6" t="s">
        <v>80</v>
      </c>
      <c r="L157" s="14">
        <f t="shared" ref="L157:V157" si="66">L111+L136</f>
        <v>0</v>
      </c>
      <c r="M157" s="14">
        <f t="shared" si="66"/>
        <v>0.34192659520998803</v>
      </c>
      <c r="N157" s="14">
        <f t="shared" si="66"/>
        <v>5.1644094818673683</v>
      </c>
      <c r="O157" s="14">
        <f t="shared" si="39"/>
        <v>5.5063360770773562</v>
      </c>
      <c r="P157" s="18">
        <f t="shared" si="66"/>
        <v>0</v>
      </c>
      <c r="Q157" s="18">
        <f t="shared" si="66"/>
        <v>2.443446698628474E-2</v>
      </c>
      <c r="R157" s="18">
        <f t="shared" si="66"/>
        <v>0.31459210737612003</v>
      </c>
      <c r="S157" s="18">
        <f t="shared" si="40"/>
        <v>0.3390265743624048</v>
      </c>
      <c r="T157" s="18">
        <f t="shared" si="66"/>
        <v>1.2172348797647838</v>
      </c>
      <c r="U157" s="18">
        <f t="shared" si="66"/>
        <v>6.7908589573061257E-2</v>
      </c>
      <c r="V157" s="18">
        <f t="shared" si="66"/>
        <v>0.93321059744583468</v>
      </c>
      <c r="W157" s="18">
        <f t="shared" si="41"/>
        <v>2.2183540667836796</v>
      </c>
      <c r="X157" s="18">
        <f t="shared" ref="X157:Z157" si="67">X111+X136</f>
        <v>1.1540569974581991</v>
      </c>
      <c r="Y157" s="18">
        <f t="shared" si="67"/>
        <v>3.7659946532071359E-2</v>
      </c>
      <c r="Z157" s="18">
        <f t="shared" si="67"/>
        <v>0.54312265580643093</v>
      </c>
      <c r="AA157" s="18">
        <f t="shared" si="43"/>
        <v>1.7348395997967014</v>
      </c>
    </row>
    <row r="158" spans="3:27" ht="34" x14ac:dyDescent="0.15">
      <c r="J158" s="6" t="s">
        <v>183</v>
      </c>
      <c r="L158" s="14">
        <f>L137</f>
        <v>11.968868329123286</v>
      </c>
      <c r="M158" s="14"/>
      <c r="N158" s="14"/>
      <c r="O158" s="14">
        <f t="shared" si="39"/>
        <v>11.968868329123286</v>
      </c>
      <c r="P158" s="14">
        <f>P137</f>
        <v>0.7327639720916026</v>
      </c>
      <c r="Q158" s="18"/>
      <c r="R158" s="18"/>
      <c r="S158" s="18">
        <f t="shared" si="40"/>
        <v>0.7327639720916026</v>
      </c>
      <c r="T158" s="18"/>
      <c r="U158" s="18"/>
      <c r="V158" s="18"/>
      <c r="W158" s="18">
        <f t="shared" si="41"/>
        <v>0</v>
      </c>
      <c r="X158" s="18">
        <f>X137</f>
        <v>0.7327639720916026</v>
      </c>
      <c r="Y158" s="18"/>
      <c r="Z158" s="18"/>
      <c r="AA158" s="18">
        <f t="shared" si="43"/>
        <v>0.7327639720916026</v>
      </c>
    </row>
    <row r="159" spans="3:27" ht="17" x14ac:dyDescent="0.15">
      <c r="J159" s="6" t="s">
        <v>16</v>
      </c>
      <c r="L159" s="14">
        <f>SUM(L144:L158)</f>
        <v>27.280369987934279</v>
      </c>
      <c r="M159" s="14">
        <f t="shared" ref="M159:W159" si="68">SUM(M144:M158)</f>
        <v>9.5318737402375895</v>
      </c>
      <c r="N159" s="14">
        <f t="shared" si="68"/>
        <v>15.035590973517953</v>
      </c>
      <c r="O159" s="14">
        <f t="shared" si="39"/>
        <v>51.84783470168982</v>
      </c>
      <c r="P159" s="18">
        <f t="shared" si="68"/>
        <v>1.5763632190394326</v>
      </c>
      <c r="Q159" s="18">
        <f t="shared" si="68"/>
        <v>0.55494701416393377</v>
      </c>
      <c r="R159" s="18">
        <f t="shared" si="68"/>
        <v>0.83108519357438926</v>
      </c>
      <c r="S159" s="18">
        <f t="shared" si="68"/>
        <v>2.9623954267777557</v>
      </c>
      <c r="T159" s="18">
        <f t="shared" si="68"/>
        <v>4.3226064938510183</v>
      </c>
      <c r="U159" s="18">
        <f t="shared" si="68"/>
        <v>1.5907564145216742</v>
      </c>
      <c r="V159" s="18">
        <f t="shared" si="68"/>
        <v>2.4654710000324798</v>
      </c>
      <c r="W159" s="18">
        <f t="shared" si="68"/>
        <v>8.3788339084051717</v>
      </c>
      <c r="X159" s="18">
        <f t="shared" ref="X159:AA159" si="69">SUM(X144:X158)</f>
        <v>3.2477789915048514</v>
      </c>
      <c r="Y159" s="18">
        <f t="shared" si="69"/>
        <v>0.9010863303133132</v>
      </c>
      <c r="Z159" s="18">
        <f t="shared" si="69"/>
        <v>1.4349811107840633</v>
      </c>
      <c r="AA159" s="18">
        <f t="shared" si="69"/>
        <v>5.5838464326022272</v>
      </c>
    </row>
    <row r="160" spans="3:27" x14ac:dyDescent="0.15">
      <c r="J160" s="89" t="s">
        <v>194</v>
      </c>
      <c r="K160" s="1">
        <f>P138</f>
        <v>2020</v>
      </c>
      <c r="L160" s="1" t="s">
        <v>190</v>
      </c>
      <c r="P160" s="18">
        <f t="shared" ref="P160:W160" si="70">P159*$G60</f>
        <v>1.686393371728385</v>
      </c>
      <c r="Q160" s="18">
        <f t="shared" si="70"/>
        <v>0.59368231575257635</v>
      </c>
      <c r="R160" s="18">
        <f t="shared" si="70"/>
        <v>0.88909494008588175</v>
      </c>
      <c r="S160" s="18">
        <f t="shared" si="70"/>
        <v>3.1691706275668432</v>
      </c>
      <c r="T160" s="18">
        <f t="shared" si="70"/>
        <v>4.6243244271218193</v>
      </c>
      <c r="U160" s="18">
        <f t="shared" si="70"/>
        <v>1.7017912122552872</v>
      </c>
      <c r="V160" s="18">
        <f t="shared" si="70"/>
        <v>2.6375608758347471</v>
      </c>
      <c r="W160" s="18">
        <f t="shared" si="70"/>
        <v>8.9636765152118532</v>
      </c>
      <c r="X160" s="18">
        <f t="shared" ref="X160:AA160" si="71">X159*$G60</f>
        <v>3.4744739651118901</v>
      </c>
      <c r="Y160" s="18">
        <f t="shared" si="71"/>
        <v>0.96398215616918259</v>
      </c>
      <c r="Z160" s="18">
        <f t="shared" si="71"/>
        <v>1.5351427923167911</v>
      </c>
      <c r="AA160" s="18">
        <f t="shared" si="71"/>
        <v>5.9735989135978631</v>
      </c>
    </row>
    <row r="161" spans="3:42" x14ac:dyDescent="0.15">
      <c r="L161" s="14"/>
      <c r="M161" s="14"/>
      <c r="N161" s="14"/>
      <c r="O161" s="14"/>
      <c r="P161" s="38"/>
      <c r="Q161" s="38"/>
      <c r="R161" s="38"/>
      <c r="S161" s="38"/>
      <c r="T161" s="38"/>
      <c r="U161" s="38"/>
      <c r="V161" s="38"/>
      <c r="W161" s="38"/>
      <c r="X161" s="38"/>
      <c r="Y161" s="38"/>
      <c r="Z161" s="38"/>
      <c r="AA161" s="38"/>
      <c r="AC161" s="14"/>
      <c r="AD161" s="14"/>
      <c r="AE161" s="14"/>
      <c r="AF161" s="14"/>
      <c r="AG161" s="14"/>
      <c r="AH161" s="14"/>
      <c r="AI161" s="14"/>
      <c r="AJ161" s="14"/>
      <c r="AK161" s="14"/>
      <c r="AL161" s="14"/>
      <c r="AM161" s="14"/>
      <c r="AN161" s="14"/>
      <c r="AO161" s="14"/>
      <c r="AP161" s="14"/>
    </row>
    <row r="162" spans="3:42" x14ac:dyDescent="0.15">
      <c r="C162" t="s">
        <v>184</v>
      </c>
      <c r="H162" t="s">
        <v>184</v>
      </c>
      <c r="M162" t="s">
        <v>184</v>
      </c>
      <c r="X162" s="261"/>
      <c r="Y162" s="261"/>
      <c r="Z162" s="261"/>
      <c r="AA162" s="261"/>
    </row>
    <row r="163" spans="3:42" x14ac:dyDescent="0.15">
      <c r="C163" t="s">
        <v>257</v>
      </c>
      <c r="H163" t="s">
        <v>257</v>
      </c>
      <c r="M163" t="s">
        <v>257</v>
      </c>
      <c r="AB163" s="14"/>
    </row>
    <row r="164" spans="3:42" x14ac:dyDescent="0.15">
      <c r="C164" s="24" t="s">
        <v>226</v>
      </c>
      <c r="H164" s="24" t="s">
        <v>271</v>
      </c>
      <c r="M164" s="24" t="s">
        <v>272</v>
      </c>
    </row>
    <row r="165" spans="3:42" x14ac:dyDescent="0.15">
      <c r="C165" t="s">
        <v>140</v>
      </c>
      <c r="D165" t="s">
        <v>219</v>
      </c>
      <c r="E165" t="s">
        <v>220</v>
      </c>
      <c r="F165" t="s">
        <v>221</v>
      </c>
      <c r="H165" t="s">
        <v>140</v>
      </c>
      <c r="I165" t="s">
        <v>219</v>
      </c>
      <c r="J165" t="s">
        <v>220</v>
      </c>
      <c r="K165" t="s">
        <v>221</v>
      </c>
      <c r="M165" t="s">
        <v>140</v>
      </c>
      <c r="N165" t="s">
        <v>219</v>
      </c>
      <c r="O165" t="s">
        <v>220</v>
      </c>
      <c r="P165" t="s">
        <v>221</v>
      </c>
    </row>
    <row r="166" spans="3:42" x14ac:dyDescent="0.15">
      <c r="C166">
        <v>1</v>
      </c>
      <c r="D166" s="57">
        <f>IF(C166&lt;=DefaultData!D$85,-IPMT(DefaultData!D$86,C166,DefaultData!D$85,DefaultData!D$48*DefaultData!D$84),0)</f>
        <v>19994659.019294985</v>
      </c>
      <c r="E166" s="57">
        <f>IF(C166&lt;=DefaultData!D$85,-PPMT(DefaultData!D$86,C166,DefaultData!D$85,DefaultData!D$84*DefaultData!D$48),0)</f>
        <v>23741480.899122193</v>
      </c>
      <c r="F166" s="57">
        <f t="shared" ref="F166:F197" si="72">E166+D166</f>
        <v>43736139.918417178</v>
      </c>
      <c r="H166">
        <v>1</v>
      </c>
      <c r="I166" s="57">
        <f>IF(H166&lt;=DefaultData!$D$93,-IPMT(DefaultData!$D$92,H166,DefaultData!$D$93,DefaultData!$D$48*DefaultData!$D$89*DefaultData!$D$90),0)</f>
        <v>0</v>
      </c>
      <c r="J166" s="57">
        <f>IF(H166&lt;=DefaultData!$D$93,-PPMT(DefaultData!$D$92,H166,DefaultData!$D$93,DefaultData!$D$89*DefaultData!$D$48*DefaultData!$D$90),0)</f>
        <v>0</v>
      </c>
      <c r="K166" s="57">
        <f t="shared" ref="K166:K197" si="73">J166+I166</f>
        <v>0</v>
      </c>
      <c r="M166">
        <v>1</v>
      </c>
      <c r="N166" s="57">
        <f>IF(M166&lt;=DefaultData!$D$93,-IPMT(DefaultData!$D$92,M166,DefaultData!$D$93,DefaultData!$D$48*DefaultData!$D$89*DefaultData!$D$91),0)</f>
        <v>9521266.1996642761</v>
      </c>
      <c r="O166" s="57">
        <f>IF(M166&lt;=DefaultData!$D$93,-PPMT(DefaultData!$D$92,M166,DefaultData!$D$93,DefaultData!$D$89*DefaultData!$D$48*DefaultData!$D$91),0)</f>
        <v>4521344.9677603692</v>
      </c>
      <c r="P166" s="57">
        <f t="shared" ref="P166:P197" si="74">O166+N166</f>
        <v>14042611.167424645</v>
      </c>
    </row>
    <row r="167" spans="3:42" x14ac:dyDescent="0.15">
      <c r="C167">
        <v>2</v>
      </c>
      <c r="D167" s="57">
        <f>IF(C167&lt;=DefaultData!D$85,-IPMT(DefaultData!D$86,C167,DefaultData!D$85,DefaultData!D$48*DefaultData!D$84),0)</f>
        <v>18498945.72265029</v>
      </c>
      <c r="E167" s="57">
        <f>IF(C167&lt;=DefaultData!D$85,-PPMT(DefaultData!D$86,C167,DefaultData!D$85,DefaultData!D$84*DefaultData!D$48),0)</f>
        <v>25237194.195766896</v>
      </c>
      <c r="F167" s="57">
        <f t="shared" si="72"/>
        <v>43736139.918417186</v>
      </c>
      <c r="H167">
        <v>2</v>
      </c>
      <c r="I167" s="57">
        <f>IF(H167&lt;=DefaultData!$D$93,-IPMT(DefaultData!$D$92,H167,DefaultData!$D$93,DefaultData!$D$48*DefaultData!$D$89*DefaultData!$D$90),0)</f>
        <v>0</v>
      </c>
      <c r="J167" s="57">
        <f>IF(H167&lt;=DefaultData!$D$93,-PPMT(DefaultData!$D$92,H167,DefaultData!$D$93,DefaultData!$D$89*DefaultData!$D$48*DefaultData!$D$90),0)</f>
        <v>0</v>
      </c>
      <c r="K167" s="57">
        <f t="shared" si="73"/>
        <v>0</v>
      </c>
      <c r="M167">
        <v>2</v>
      </c>
      <c r="N167" s="57">
        <f>IF(M167&lt;=DefaultData!$D$93,-IPMT(DefaultData!$D$92,M167,DefaultData!$D$93,DefaultData!$D$48*DefaultData!$D$89*DefaultData!$D$91),0)</f>
        <v>8978704.8035330325</v>
      </c>
      <c r="O167" s="57">
        <f>IF(M167&lt;=DefaultData!$D$93,-PPMT(DefaultData!$D$92,M167,DefaultData!$D$93,DefaultData!$D$89*DefaultData!$D$46*DefaultData!$D$91),0)</f>
        <v>4942191.8539901683</v>
      </c>
      <c r="P167" s="57">
        <f t="shared" si="74"/>
        <v>13920896.6575232</v>
      </c>
    </row>
    <row r="168" spans="3:42" x14ac:dyDescent="0.15">
      <c r="C168">
        <v>3</v>
      </c>
      <c r="D168" s="57">
        <f>IF(C168&lt;=DefaultData!D$85,-IPMT(DefaultData!D$86,C168,DefaultData!D$85,DefaultData!D$48*DefaultData!D$84),0)</f>
        <v>16909002.488316972</v>
      </c>
      <c r="E168" s="57">
        <f>IF(C168&lt;=DefaultData!D$85,-PPMT(DefaultData!D$86,C168,DefaultData!D$85,DefaultData!D$84*DefaultData!D$48),0)</f>
        <v>26827137.430100206</v>
      </c>
      <c r="F168" s="57">
        <f t="shared" si="72"/>
        <v>43736139.918417178</v>
      </c>
      <c r="H168">
        <v>3</v>
      </c>
      <c r="I168" s="57">
        <f>IF(H168&lt;=DefaultData!$D$93,-IPMT(DefaultData!$D$92,H168,DefaultData!$D$93,DefaultData!$D$48*DefaultData!$D$89*DefaultData!$D$90),0)</f>
        <v>0</v>
      </c>
      <c r="J168" s="57">
        <f>IF(H168&lt;=DefaultData!$D$93,-PPMT(DefaultData!$D$92,H168,DefaultData!$D$93,DefaultData!$D$89*DefaultData!$D$48*DefaultData!$D$90),0)</f>
        <v>0</v>
      </c>
      <c r="K168" s="57">
        <f t="shared" si="73"/>
        <v>0</v>
      </c>
      <c r="M168">
        <v>3</v>
      </c>
      <c r="N168" s="57">
        <f>IF(M168&lt;=DefaultData!$D$93,-IPMT(DefaultData!$D$92,M168,DefaultData!$D$93,DefaultData!$D$48*DefaultData!$D$89*DefaultData!$D$91),0)</f>
        <v>8371036.0398660386</v>
      </c>
      <c r="O168" s="57">
        <f>IF(M168&lt;=DefaultData!$D$93,-PPMT(DefaultData!$D$92,M168,DefaultData!$D$93,DefaultData!$D$89*DefaultData!$D$46*DefaultData!$D$91),0)</f>
        <v>5535254.8764689891</v>
      </c>
      <c r="P168" s="57">
        <f t="shared" si="74"/>
        <v>13906290.916335028</v>
      </c>
    </row>
    <row r="169" spans="3:42" x14ac:dyDescent="0.15">
      <c r="C169">
        <v>4</v>
      </c>
      <c r="D169" s="57">
        <f>IF(C169&lt;=DefaultData!D$85,-IPMT(DefaultData!D$86,C169,DefaultData!D$85,DefaultData!D$48*DefaultData!D$84),0)</f>
        <v>15218892.830220656</v>
      </c>
      <c r="E169" s="57">
        <f>IF(C169&lt;=DefaultData!D$85,-PPMT(DefaultData!D$86,C169,DefaultData!D$85,DefaultData!D$84*DefaultData!D$48),0)</f>
        <v>28517247.08819652</v>
      </c>
      <c r="F169" s="57">
        <f t="shared" si="72"/>
        <v>43736139.918417178</v>
      </c>
      <c r="H169">
        <v>4</v>
      </c>
      <c r="I169" s="57">
        <f>IF(H169&lt;=DefaultData!$D$93,-IPMT(DefaultData!$D$92,H169,DefaultData!$D$93,DefaultData!$D$48*DefaultData!$D$89*DefaultData!$D$90),0)</f>
        <v>0</v>
      </c>
      <c r="J169" s="57">
        <f>IF(H169&lt;=DefaultData!$D$93,-PPMT(DefaultData!$D$92,H169,DefaultData!$D$93,DefaultData!$D$89*DefaultData!$D$48*DefaultData!$D$90),0)</f>
        <v>0</v>
      </c>
      <c r="K169" s="57">
        <f t="shared" si="73"/>
        <v>0</v>
      </c>
      <c r="M169">
        <v>4</v>
      </c>
      <c r="N169" s="57">
        <f>IF(M169&lt;=DefaultData!$D$93,-IPMT(DefaultData!$D$92,M169,DefaultData!$D$93,DefaultData!$D$48*DefaultData!$D$89*DefaultData!$D$91),0)</f>
        <v>7690447.0245590052</v>
      </c>
      <c r="O169" s="57">
        <f>IF(M169&lt;=DefaultData!$D$93,-PPMT(DefaultData!$D$92,M169,DefaultData!$D$93,DefaultData!$D$89*DefaultData!$D$46*DefaultData!$D$91),0)</f>
        <v>6199485.4616452679</v>
      </c>
      <c r="P169" s="57">
        <f t="shared" si="74"/>
        <v>13889932.486204274</v>
      </c>
    </row>
    <row r="170" spans="3:42" x14ac:dyDescent="0.15">
      <c r="C170">
        <v>5</v>
      </c>
      <c r="D170" s="57">
        <f>IF(C170&lt;=DefaultData!D$85,-IPMT(DefaultData!D$86,C170,DefaultData!D$85,DefaultData!D$48*DefaultData!D$84),0)</f>
        <v>13422306.263664277</v>
      </c>
      <c r="E170" s="57">
        <f>IF(C170&lt;=DefaultData!D$85,-PPMT(DefaultData!D$86,C170,DefaultData!D$85,DefaultData!D$84*DefaultData!D$48),0)</f>
        <v>30313833.654752903</v>
      </c>
      <c r="F170" s="57">
        <f t="shared" si="72"/>
        <v>43736139.918417178</v>
      </c>
      <c r="H170">
        <v>5</v>
      </c>
      <c r="I170" s="57">
        <f>IF(H170&lt;=DefaultData!$D$93,-IPMT(DefaultData!$D$92,H170,DefaultData!$D$93,DefaultData!$D$48*DefaultData!$D$89*DefaultData!$D$90),0)</f>
        <v>0</v>
      </c>
      <c r="J170" s="57">
        <f>IF(H170&lt;=DefaultData!$D$93,-PPMT(DefaultData!$D$92,H170,DefaultData!$D$93,DefaultData!$D$89*DefaultData!$D$48*DefaultData!$D$90),0)</f>
        <v>0</v>
      </c>
      <c r="K170" s="57">
        <f t="shared" si="73"/>
        <v>0</v>
      </c>
      <c r="M170">
        <v>5</v>
      </c>
      <c r="N170" s="57">
        <f>IF(M170&lt;=DefaultData!$D$93,-IPMT(DefaultData!$D$92,M170,DefaultData!$D$93,DefaultData!$D$48*DefaultData!$D$89*DefaultData!$D$91),0)</f>
        <v>6928187.3274151292</v>
      </c>
      <c r="O170" s="57">
        <f>IF(M170&lt;=DefaultData!$D$93,-PPMT(DefaultData!$D$92,M170,DefaultData!$D$93,DefaultData!$D$89*DefaultData!$D$46*DefaultData!$D$91),0)</f>
        <v>6943423.7170426995</v>
      </c>
      <c r="P170" s="57">
        <f t="shared" si="74"/>
        <v>13871611.044457829</v>
      </c>
    </row>
    <row r="171" spans="3:42" x14ac:dyDescent="0.15">
      <c r="C171">
        <v>6</v>
      </c>
      <c r="D171" s="57">
        <f>IF(C171&lt;=DefaultData!D$85,-IPMT(DefaultData!D$86,C171,DefaultData!D$85,DefaultData!D$48*DefaultData!D$84),0)</f>
        <v>11512534.743414845</v>
      </c>
      <c r="E171" s="57">
        <f>IF(C171&lt;=DefaultData!D$85,-PPMT(DefaultData!D$86,C171,DefaultData!D$85,DefaultData!D$84*DefaultData!D$48),0)</f>
        <v>32223605.175002333</v>
      </c>
      <c r="F171" s="57">
        <f t="shared" si="72"/>
        <v>43736139.918417178</v>
      </c>
      <c r="H171">
        <v>6</v>
      </c>
      <c r="I171" s="57">
        <f>IF(H171&lt;=DefaultData!$D$93,-IPMT(DefaultData!$D$92,H171,DefaultData!$D$93,DefaultData!$D$48*DefaultData!$D$89*DefaultData!$D$90),0)</f>
        <v>0</v>
      </c>
      <c r="J171" s="57">
        <f>IF(H171&lt;=DefaultData!$D$93,-PPMT(DefaultData!$D$92,H171,DefaultData!$D$93,DefaultData!$D$89*DefaultData!$D$48*DefaultData!$D$90),0)</f>
        <v>0</v>
      </c>
      <c r="K171" s="57">
        <f t="shared" si="73"/>
        <v>0</v>
      </c>
      <c r="M171">
        <v>6</v>
      </c>
      <c r="N171" s="57">
        <f>IF(M171&lt;=DefaultData!$D$93,-IPMT(DefaultData!$D$92,M171,DefaultData!$D$93,DefaultData!$D$48*DefaultData!$D$89*DefaultData!$D$91),0)</f>
        <v>6074456.4666139875</v>
      </c>
      <c r="O171" s="57">
        <f>IF(M171&lt;=DefaultData!$D$93,-PPMT(DefaultData!$D$92,M171,DefaultData!$D$93,DefaultData!$D$89*DefaultData!$D$46*DefaultData!$D$91),0)</f>
        <v>7776634.5630878229</v>
      </c>
      <c r="P171" s="57">
        <f t="shared" si="74"/>
        <v>13851091.02970181</v>
      </c>
    </row>
    <row r="172" spans="3:42" x14ac:dyDescent="0.15">
      <c r="C172">
        <v>7</v>
      </c>
      <c r="D172" s="57">
        <f>IF(C172&lt;=DefaultData!D$85,-IPMT(DefaultData!D$86,C172,DefaultData!D$85,DefaultData!D$48*DefaultData!D$84),0)</f>
        <v>9482447.6173896957</v>
      </c>
      <c r="E172" s="57">
        <f>IF(C172&lt;=DefaultData!D$85,-PPMT(DefaultData!D$86,C172,DefaultData!D$85,DefaultData!D$84*DefaultData!D$48),0)</f>
        <v>34253692.301027484</v>
      </c>
      <c r="F172" s="57">
        <f t="shared" si="72"/>
        <v>43736139.918417178</v>
      </c>
      <c r="H172">
        <v>7</v>
      </c>
      <c r="I172" s="57">
        <f>IF(H172&lt;=DefaultData!$D$93,-IPMT(DefaultData!$D$92,H172,DefaultData!$D$93,DefaultData!$D$48*DefaultData!$D$89*DefaultData!$D$90),0)</f>
        <v>0</v>
      </c>
      <c r="J172" s="57">
        <f>IF(H172&lt;=DefaultData!$D$93,-PPMT(DefaultData!$D$92,H172,DefaultData!$D$93,DefaultData!$D$89*DefaultData!$D$48*DefaultData!$D$90),0)</f>
        <v>0</v>
      </c>
      <c r="K172" s="57">
        <f t="shared" si="73"/>
        <v>0</v>
      </c>
      <c r="M172">
        <v>7</v>
      </c>
      <c r="N172" s="57">
        <f>IF(M172&lt;=DefaultData!$D$93,-IPMT(DefaultData!$D$92,M172,DefaultData!$D$93,DefaultData!$D$48*DefaultData!$D$89*DefaultData!$D$91),0)</f>
        <v>5118277.9025167087</v>
      </c>
      <c r="O172" s="57">
        <f>IF(M172&lt;=DefaultData!$D$93,-PPMT(DefaultData!$D$92,M172,DefaultData!$D$93,DefaultData!$D$89*DefaultData!$D$46*DefaultData!$D$91),0)</f>
        <v>8709830.7106583621</v>
      </c>
      <c r="P172" s="57">
        <f t="shared" si="74"/>
        <v>13828108.613175072</v>
      </c>
    </row>
    <row r="173" spans="3:42" x14ac:dyDescent="0.15">
      <c r="C173">
        <v>8</v>
      </c>
      <c r="D173" s="57">
        <f>IF(C173&lt;=DefaultData!D$85,-IPMT(DefaultData!D$86,C173,DefaultData!D$85,DefaultData!D$48*DefaultData!D$84),0)</f>
        <v>7324465.0024249656</v>
      </c>
      <c r="E173" s="57">
        <f>IF(C173&lt;=DefaultData!D$85,-PPMT(DefaultData!D$86,C173,DefaultData!D$85,DefaultData!D$84*DefaultData!D$48),0)</f>
        <v>36411674.915992215</v>
      </c>
      <c r="F173" s="57">
        <f t="shared" si="72"/>
        <v>43736139.918417178</v>
      </c>
      <c r="H173">
        <v>8</v>
      </c>
      <c r="I173" s="57">
        <f>IF(H173&lt;=DefaultData!$D$93,-IPMT(DefaultData!$D$92,H173,DefaultData!$D$93,DefaultData!$D$48*DefaultData!$D$89*DefaultData!$D$90),0)</f>
        <v>0</v>
      </c>
      <c r="J173" s="57">
        <f>IF(H173&lt;=DefaultData!$D$93,-PPMT(DefaultData!$D$92,H173,DefaultData!$D$93,DefaultData!$D$89*DefaultData!$D$48*DefaultData!$D$90),0)</f>
        <v>0</v>
      </c>
      <c r="K173" s="57">
        <f t="shared" si="73"/>
        <v>0</v>
      </c>
      <c r="M173">
        <v>8</v>
      </c>
      <c r="N173" s="57">
        <f>IF(M173&lt;=DefaultData!$D$93,-IPMT(DefaultData!$D$92,M173,DefaultData!$D$93,DefaultData!$D$48*DefaultData!$D$89*DefaultData!$D$91),0)</f>
        <v>4047357.9107277566</v>
      </c>
      <c r="O173" s="57">
        <f>IF(M173&lt;=DefaultData!$D$93,-PPMT(DefaultData!$D$92,M173,DefaultData!$D$93,DefaultData!$D$89*DefaultData!$D$46*DefaultData!$D$91),0)</f>
        <v>9755010.3959373645</v>
      </c>
      <c r="P173" s="57">
        <f t="shared" si="74"/>
        <v>13802368.306665121</v>
      </c>
    </row>
    <row r="174" spans="3:42" x14ac:dyDescent="0.15">
      <c r="C174">
        <v>9</v>
      </c>
      <c r="D174" s="57">
        <f>IF(C174&lt;=DefaultData!D$85,-IPMT(DefaultData!D$86,C174,DefaultData!D$85,DefaultData!D$48*DefaultData!D$84),0)</f>
        <v>5030529.4827174563</v>
      </c>
      <c r="E174" s="57">
        <f>IF(C174&lt;=DefaultData!D$85,-PPMT(DefaultData!D$86,C174,DefaultData!D$85,DefaultData!D$84*DefaultData!D$48),0)</f>
        <v>38705610.435699724</v>
      </c>
      <c r="F174" s="57">
        <f t="shared" si="72"/>
        <v>43736139.918417178</v>
      </c>
      <c r="H174">
        <v>9</v>
      </c>
      <c r="I174" s="57">
        <f>IF(H174&lt;=DefaultData!$D$93,-IPMT(DefaultData!$D$92,H174,DefaultData!$D$93,DefaultData!$D$48*DefaultData!$D$89*DefaultData!$D$90),0)</f>
        <v>0</v>
      </c>
      <c r="J174" s="57">
        <f>IF(H174&lt;=DefaultData!$D$93,-PPMT(DefaultData!$D$92,H174,DefaultData!$D$93,DefaultData!$D$89*DefaultData!$D$48*DefaultData!$D$90),0)</f>
        <v>0</v>
      </c>
      <c r="K174" s="57">
        <f t="shared" si="73"/>
        <v>0</v>
      </c>
      <c r="M174">
        <v>9</v>
      </c>
      <c r="N174" s="57">
        <f>IF(M174&lt;=DefaultData!$D$93,-IPMT(DefaultData!$D$92,M174,DefaultData!$D$93,DefaultData!$D$48*DefaultData!$D$89*DefaultData!$D$91),0)</f>
        <v>2847927.5199241303</v>
      </c>
      <c r="O174" s="57">
        <f>IF(M174&lt;=DefaultData!$D$93,-PPMT(DefaultData!$D$92,M174,DefaultData!$D$93,DefaultData!$D$89*DefaultData!$D$46*DefaultData!$D$91),0)</f>
        <v>10925611.643449849</v>
      </c>
      <c r="P174" s="57">
        <f t="shared" si="74"/>
        <v>13773539.163373979</v>
      </c>
    </row>
    <row r="175" spans="3:42" x14ac:dyDescent="0.15">
      <c r="C175">
        <v>10</v>
      </c>
      <c r="D175" s="57">
        <f>IF(C175&lt;=DefaultData!D$85,-IPMT(DefaultData!D$86,C175,DefaultData!D$85,DefaultData!D$48*DefaultData!D$84),0)</f>
        <v>2592076.0252683745</v>
      </c>
      <c r="E175" s="57">
        <f>IF(C175&lt;=DefaultData!D$85,-PPMT(DefaultData!D$86,C175,DefaultData!D$85,DefaultData!D$84*DefaultData!D$48),0)</f>
        <v>41144063.89314881</v>
      </c>
      <c r="F175" s="57">
        <f t="shared" si="72"/>
        <v>43736139.918417186</v>
      </c>
      <c r="H175">
        <v>10</v>
      </c>
      <c r="I175" s="57">
        <f>IF(H175&lt;=DefaultData!$D$93,-IPMT(DefaultData!$D$92,H175,DefaultData!$D$93,DefaultData!$D$48*DefaultData!$D$89*DefaultData!$D$90),0)</f>
        <v>0</v>
      </c>
      <c r="J175" s="57">
        <f>IF(H175&lt;=DefaultData!$D$93,-PPMT(DefaultData!$D$92,H175,DefaultData!$D$93,DefaultData!$D$89*DefaultData!$D$48*DefaultData!$D$90),0)</f>
        <v>0</v>
      </c>
      <c r="K175" s="57">
        <f t="shared" si="73"/>
        <v>0</v>
      </c>
      <c r="M175">
        <v>10</v>
      </c>
      <c r="N175" s="57">
        <f>IF(M175&lt;=DefaultData!$D$93,-IPMT(DefaultData!$D$92,M175,DefaultData!$D$93,DefaultData!$D$48*DefaultData!$D$89*DefaultData!$D$91),0)</f>
        <v>1504565.4822240691</v>
      </c>
      <c r="O175" s="57">
        <f>IF(M175&lt;=DefaultData!$D$93,-PPMT(DefaultData!$D$92,M175,DefaultData!$D$93,DefaultData!$D$89*DefaultData!$D$46*DefaultData!$D$91),0)</f>
        <v>12236685.040663831</v>
      </c>
      <c r="P175" s="57">
        <f t="shared" si="74"/>
        <v>13741250.5228879</v>
      </c>
    </row>
    <row r="176" spans="3:42" x14ac:dyDescent="0.15">
      <c r="C176">
        <v>11</v>
      </c>
      <c r="D176" s="57">
        <f>IF(C176&lt;=DefaultData!D$85,-IPMT(DefaultData!D$86,C176,DefaultData!D$85,DefaultData!D$48*DefaultData!D$84),0)</f>
        <v>0</v>
      </c>
      <c r="E176" s="57">
        <f>IF(C176&lt;=DefaultData!D$85,-PPMT(DefaultData!D$86,C176,DefaultData!D$85,DefaultData!D$84*DefaultData!D$48),0)</f>
        <v>0</v>
      </c>
      <c r="F176" s="57">
        <f t="shared" si="72"/>
        <v>0</v>
      </c>
      <c r="H176">
        <v>11</v>
      </c>
      <c r="I176" s="57">
        <f>IF(H176&lt;=DefaultData!$D$93,-IPMT(DefaultData!$D$92,H176,DefaultData!$D$93,DefaultData!$D$48*DefaultData!$D$89*DefaultData!$D$90),0)</f>
        <v>0</v>
      </c>
      <c r="J176" s="57">
        <f>IF(H176&lt;=DefaultData!$D$93,-PPMT(DefaultData!$D$92,H176,DefaultData!$D$93,DefaultData!$D$89*DefaultData!$D$48*DefaultData!$D$90),0)</f>
        <v>0</v>
      </c>
      <c r="K176" s="57">
        <f t="shared" si="73"/>
        <v>0</v>
      </c>
      <c r="M176">
        <v>11</v>
      </c>
      <c r="N176" s="57">
        <f>IF(M176&lt;=DefaultData!$D$93,-IPMT(DefaultData!$D$92,M176,DefaultData!$D$93,DefaultData!$D$48*DefaultData!$D$89*DefaultData!$D$91),0)</f>
        <v>0</v>
      </c>
      <c r="O176" s="57">
        <f>IF(M176&lt;=DefaultData!$D$93,-PPMT(DefaultData!$D$92,M176,DefaultData!$D$93,DefaultData!$D$89*DefaultData!$D$46*DefaultData!$D$91),0)</f>
        <v>0</v>
      </c>
      <c r="P176" s="57">
        <f t="shared" si="74"/>
        <v>0</v>
      </c>
    </row>
    <row r="177" spans="3:16" x14ac:dyDescent="0.15">
      <c r="C177">
        <v>12</v>
      </c>
      <c r="D177" s="57">
        <f>IF(C177&lt;=DefaultData!D$85,-IPMT(DefaultData!D$86,C177,DefaultData!D$85,DefaultData!D$48*DefaultData!D$84),0)</f>
        <v>0</v>
      </c>
      <c r="E177" s="57">
        <f>IF(C177&lt;=DefaultData!D$85,-PPMT(DefaultData!D$86,C177,DefaultData!D$85,DefaultData!D$84*DefaultData!D$48),0)</f>
        <v>0</v>
      </c>
      <c r="F177" s="57">
        <f t="shared" si="72"/>
        <v>0</v>
      </c>
      <c r="H177">
        <v>12</v>
      </c>
      <c r="I177" s="57">
        <f>IF(H177&lt;=DefaultData!$D$93,-IPMT(DefaultData!$D$92,H177,DefaultData!$D$93,DefaultData!$D$48*DefaultData!$D$89*DefaultData!$D$90),0)</f>
        <v>0</v>
      </c>
      <c r="J177" s="57">
        <f>IF(H177&lt;=DefaultData!$D$93,-PPMT(DefaultData!$D$92,H177,DefaultData!$D$93,DefaultData!$D$89*DefaultData!$D$48*DefaultData!$D$90),0)</f>
        <v>0</v>
      </c>
      <c r="K177" s="57">
        <f t="shared" si="73"/>
        <v>0</v>
      </c>
      <c r="M177">
        <v>12</v>
      </c>
      <c r="N177" s="57">
        <f>IF(M177&lt;=DefaultData!$D$93,-IPMT(DefaultData!$D$92,M177,DefaultData!$D$93,DefaultData!$D$48*DefaultData!$D$89*DefaultData!$D$91),0)</f>
        <v>0</v>
      </c>
      <c r="O177" s="57">
        <f>IF(M177&lt;=DefaultData!$D$93,-PPMT(DefaultData!$D$92,M177,DefaultData!$D$93,DefaultData!$D$89*DefaultData!$D$46*DefaultData!$D$91),0)</f>
        <v>0</v>
      </c>
      <c r="P177" s="57">
        <f t="shared" si="74"/>
        <v>0</v>
      </c>
    </row>
    <row r="178" spans="3:16" x14ac:dyDescent="0.15">
      <c r="C178">
        <v>13</v>
      </c>
      <c r="D178" s="57">
        <f>IF(C178&lt;=DefaultData!D$85,-IPMT(DefaultData!D$86,C178,DefaultData!D$85,DefaultData!D$48*DefaultData!D$84),0)</f>
        <v>0</v>
      </c>
      <c r="E178" s="57">
        <f>IF(C178&lt;=DefaultData!D$85,-PPMT(DefaultData!D$86,C178,DefaultData!D$85,DefaultData!D$84*DefaultData!D$48),0)</f>
        <v>0</v>
      </c>
      <c r="F178" s="57">
        <f t="shared" si="72"/>
        <v>0</v>
      </c>
      <c r="H178">
        <v>13</v>
      </c>
      <c r="I178" s="57">
        <f>IF(H178&lt;=DefaultData!$D$93,-IPMT(DefaultData!$D$92,H178,DefaultData!$D$93,DefaultData!$D$48*DefaultData!$D$89*DefaultData!$D$90),0)</f>
        <v>0</v>
      </c>
      <c r="J178" s="57">
        <f>IF(H178&lt;=DefaultData!$D$93,-PPMT(DefaultData!$D$92,H178,DefaultData!$D$93,DefaultData!$D$89*DefaultData!$D$48*DefaultData!$D$90),0)</f>
        <v>0</v>
      </c>
      <c r="K178" s="57">
        <f t="shared" si="73"/>
        <v>0</v>
      </c>
      <c r="M178">
        <v>13</v>
      </c>
      <c r="N178" s="57">
        <f>IF(M178&lt;=DefaultData!$D$93,-IPMT(DefaultData!$D$92,M178,DefaultData!$D$93,DefaultData!$D$48*DefaultData!$D$89*DefaultData!$D$91),0)</f>
        <v>0</v>
      </c>
      <c r="O178" s="57">
        <f>IF(M178&lt;=DefaultData!$D$93,-PPMT(DefaultData!$D$92,M178,DefaultData!$D$93,DefaultData!$D$89*DefaultData!$D$46*DefaultData!$D$91),0)</f>
        <v>0</v>
      </c>
      <c r="P178" s="57">
        <f t="shared" si="74"/>
        <v>0</v>
      </c>
    </row>
    <row r="179" spans="3:16" x14ac:dyDescent="0.15">
      <c r="C179">
        <v>14</v>
      </c>
      <c r="D179" s="57">
        <f>IF(C179&lt;=DefaultData!D$85,-IPMT(DefaultData!D$86,C179,DefaultData!D$85,DefaultData!D$48*DefaultData!D$84),0)</f>
        <v>0</v>
      </c>
      <c r="E179" s="57">
        <f>IF(C179&lt;=DefaultData!D$85,-PPMT(DefaultData!D$86,C179,DefaultData!D$85,DefaultData!D$84*DefaultData!D$48),0)</f>
        <v>0</v>
      </c>
      <c r="F179" s="57">
        <f t="shared" si="72"/>
        <v>0</v>
      </c>
      <c r="H179">
        <v>14</v>
      </c>
      <c r="I179" s="57">
        <f>IF(H179&lt;=DefaultData!$D$93,-IPMT(DefaultData!$D$92,H179,DefaultData!$D$93,DefaultData!$D$48*DefaultData!$D$89*DefaultData!$D$90),0)</f>
        <v>0</v>
      </c>
      <c r="J179" s="57">
        <f>IF(H179&lt;=DefaultData!$D$93,-PPMT(DefaultData!$D$92,H179,DefaultData!$D$93,DefaultData!$D$89*DefaultData!$D$48*DefaultData!$D$90),0)</f>
        <v>0</v>
      </c>
      <c r="K179" s="57">
        <f t="shared" si="73"/>
        <v>0</v>
      </c>
      <c r="M179">
        <v>14</v>
      </c>
      <c r="N179" s="57">
        <f>IF(M179&lt;=DefaultData!$D$93,-IPMT(DefaultData!$D$92,M179,DefaultData!$D$93,DefaultData!$D$48*DefaultData!$D$89*DefaultData!$D$91),0)</f>
        <v>0</v>
      </c>
      <c r="O179" s="57">
        <f>IF(M179&lt;=DefaultData!$D$93,-PPMT(DefaultData!$D$92,M179,DefaultData!$D$93,DefaultData!$D$89*DefaultData!$D$46*DefaultData!$D$91),0)</f>
        <v>0</v>
      </c>
      <c r="P179" s="57">
        <f t="shared" si="74"/>
        <v>0</v>
      </c>
    </row>
    <row r="180" spans="3:16" x14ac:dyDescent="0.15">
      <c r="C180">
        <v>15</v>
      </c>
      <c r="D180" s="57">
        <f>IF(C180&lt;=DefaultData!D$85,-IPMT(DefaultData!D$86,C180,DefaultData!D$85,DefaultData!D$48*DefaultData!D$84),0)</f>
        <v>0</v>
      </c>
      <c r="E180" s="57">
        <f>IF(C180&lt;=DefaultData!D$85,-PPMT(DefaultData!D$86,C180,DefaultData!D$85,DefaultData!D$84*DefaultData!D$48),0)</f>
        <v>0</v>
      </c>
      <c r="F180" s="57">
        <f t="shared" si="72"/>
        <v>0</v>
      </c>
      <c r="H180">
        <v>15</v>
      </c>
      <c r="I180" s="57">
        <f>IF(H180&lt;=DefaultData!$D$93,-IPMT(DefaultData!$D$92,H180,DefaultData!$D$93,DefaultData!$D$48*DefaultData!$D$89*DefaultData!$D$90),0)</f>
        <v>0</v>
      </c>
      <c r="J180" s="57">
        <f>IF(H180&lt;=DefaultData!$D$93,-PPMT(DefaultData!$D$92,H180,DefaultData!$D$93,DefaultData!$D$89*DefaultData!$D$48*DefaultData!$D$90),0)</f>
        <v>0</v>
      </c>
      <c r="K180" s="57">
        <f t="shared" si="73"/>
        <v>0</v>
      </c>
      <c r="M180">
        <v>15</v>
      </c>
      <c r="N180" s="57">
        <f>IF(M180&lt;=DefaultData!$D$93,-IPMT(DefaultData!$D$92,M180,DefaultData!$D$93,DefaultData!$D$48*DefaultData!$D$89*DefaultData!$D$91),0)</f>
        <v>0</v>
      </c>
      <c r="O180" s="57">
        <f>IF(M180&lt;=DefaultData!$D$93,-PPMT(DefaultData!$D$92,M180,DefaultData!$D$93,DefaultData!$D$89*DefaultData!$D$46*DefaultData!$D$91),0)</f>
        <v>0</v>
      </c>
      <c r="P180" s="57">
        <f t="shared" si="74"/>
        <v>0</v>
      </c>
    </row>
    <row r="181" spans="3:16" x14ac:dyDescent="0.15">
      <c r="C181">
        <v>16</v>
      </c>
      <c r="D181" s="57">
        <f>IF(C181&lt;=DefaultData!D$85,-IPMT(DefaultData!D$86,C181,DefaultData!D$85,DefaultData!D$48*DefaultData!D$84),0)</f>
        <v>0</v>
      </c>
      <c r="E181" s="57">
        <f>IF(C181&lt;=DefaultData!D$85,-PPMT(DefaultData!D$86,C181,DefaultData!D$85,DefaultData!D$84*DefaultData!D$48),0)</f>
        <v>0</v>
      </c>
      <c r="F181" s="57">
        <f t="shared" si="72"/>
        <v>0</v>
      </c>
      <c r="H181">
        <v>16</v>
      </c>
      <c r="I181" s="57">
        <f>IF(H181&lt;=DefaultData!$D$93,-IPMT(DefaultData!$D$92,H181,DefaultData!$D$93,DefaultData!$D$48*DefaultData!$D$89*DefaultData!$D$90),0)</f>
        <v>0</v>
      </c>
      <c r="J181" s="57">
        <f>IF(H181&lt;=DefaultData!$D$93,-PPMT(DefaultData!$D$92,H181,DefaultData!$D$93,DefaultData!$D$89*DefaultData!$D$48*DefaultData!$D$90),0)</f>
        <v>0</v>
      </c>
      <c r="K181" s="57">
        <f t="shared" si="73"/>
        <v>0</v>
      </c>
      <c r="M181">
        <v>16</v>
      </c>
      <c r="N181" s="57">
        <f>IF(M181&lt;=DefaultData!$D$93,-IPMT(DefaultData!$D$92,M181,DefaultData!$D$93,DefaultData!$D$48*DefaultData!$D$89*DefaultData!$D$91),0)</f>
        <v>0</v>
      </c>
      <c r="O181" s="57">
        <f>IF(M181&lt;=DefaultData!$D$93,-PPMT(DefaultData!$D$92,M181,DefaultData!$D$93,DefaultData!$D$89*DefaultData!$D$46*DefaultData!$D$91),0)</f>
        <v>0</v>
      </c>
      <c r="P181" s="57">
        <f t="shared" si="74"/>
        <v>0</v>
      </c>
    </row>
    <row r="182" spans="3:16" x14ac:dyDescent="0.15">
      <c r="C182">
        <v>17</v>
      </c>
      <c r="D182" s="57">
        <f>IF(C182&lt;=DefaultData!D$85,-IPMT(DefaultData!D$86,C182,DefaultData!D$85,DefaultData!D$48*DefaultData!D$84),0)</f>
        <v>0</v>
      </c>
      <c r="E182" s="57">
        <f>IF(C182&lt;=DefaultData!D$85,-PPMT(DefaultData!D$86,C182,DefaultData!D$85,DefaultData!D$84*DefaultData!D$48),0)</f>
        <v>0</v>
      </c>
      <c r="F182" s="57">
        <f t="shared" si="72"/>
        <v>0</v>
      </c>
      <c r="H182">
        <v>17</v>
      </c>
      <c r="I182" s="57">
        <f>IF(H182&lt;=DefaultData!$D$93,-IPMT(DefaultData!$D$92,H182,DefaultData!$D$93,DefaultData!$D$48*DefaultData!$D$89*DefaultData!$D$90),0)</f>
        <v>0</v>
      </c>
      <c r="J182" s="57">
        <f>IF(H182&lt;=DefaultData!$D$93,-PPMT(DefaultData!$D$92,H182,DefaultData!$D$93,DefaultData!$D$89*DefaultData!$D$48*DefaultData!$D$90),0)</f>
        <v>0</v>
      </c>
      <c r="K182" s="57">
        <f t="shared" si="73"/>
        <v>0</v>
      </c>
      <c r="M182">
        <v>17</v>
      </c>
      <c r="N182" s="57">
        <f>IF(M182&lt;=DefaultData!$D$93,-IPMT(DefaultData!$D$92,M182,DefaultData!$D$93,DefaultData!$D$48*DefaultData!$D$89*DefaultData!$D$91),0)</f>
        <v>0</v>
      </c>
      <c r="O182" s="57">
        <f>IF(M182&lt;=DefaultData!$D$93,-PPMT(DefaultData!$D$92,M182,DefaultData!$D$93,DefaultData!$D$89*DefaultData!$D$46*DefaultData!$D$91),0)</f>
        <v>0</v>
      </c>
      <c r="P182" s="57">
        <f t="shared" si="74"/>
        <v>0</v>
      </c>
    </row>
    <row r="183" spans="3:16" x14ac:dyDescent="0.15">
      <c r="C183">
        <v>18</v>
      </c>
      <c r="D183" s="57">
        <f>IF(C183&lt;=DefaultData!D$85,-IPMT(DefaultData!D$86,C183,DefaultData!D$85,DefaultData!D$48*DefaultData!D$84),0)</f>
        <v>0</v>
      </c>
      <c r="E183" s="57">
        <f>IF(C183&lt;=DefaultData!D$85,-PPMT(DefaultData!D$86,C183,DefaultData!D$85,DefaultData!D$84*DefaultData!D$48),0)</f>
        <v>0</v>
      </c>
      <c r="F183" s="57">
        <f t="shared" si="72"/>
        <v>0</v>
      </c>
      <c r="H183">
        <v>18</v>
      </c>
      <c r="I183" s="57">
        <f>IF(H183&lt;=DefaultData!$D$93,-IPMT(DefaultData!$D$92,H183,DefaultData!$D$93,DefaultData!$D$48*DefaultData!$D$89*DefaultData!$D$90),0)</f>
        <v>0</v>
      </c>
      <c r="J183" s="57">
        <f>IF(H183&lt;=DefaultData!$D$93,-PPMT(DefaultData!$D$92,H183,DefaultData!$D$93,DefaultData!$D$89*DefaultData!$D$48*DefaultData!$D$90),0)</f>
        <v>0</v>
      </c>
      <c r="K183" s="57">
        <f t="shared" si="73"/>
        <v>0</v>
      </c>
      <c r="M183">
        <v>18</v>
      </c>
      <c r="N183" s="57">
        <f>IF(M183&lt;=DefaultData!$D$93,-IPMT(DefaultData!$D$92,M183,DefaultData!$D$93,DefaultData!$D$48*DefaultData!$D$89*DefaultData!$D$91),0)</f>
        <v>0</v>
      </c>
      <c r="O183" s="57">
        <f>IF(M183&lt;=DefaultData!$D$93,-PPMT(DefaultData!$D$92,M183,DefaultData!$D$93,DefaultData!$D$89*DefaultData!$D$46*DefaultData!$D$91),0)</f>
        <v>0</v>
      </c>
      <c r="P183" s="57">
        <f t="shared" si="74"/>
        <v>0</v>
      </c>
    </row>
    <row r="184" spans="3:16" x14ac:dyDescent="0.15">
      <c r="C184">
        <v>19</v>
      </c>
      <c r="D184" s="57">
        <f>IF(C184&lt;=DefaultData!D$85,-IPMT(DefaultData!D$86,C184,DefaultData!D$85,DefaultData!D$48*DefaultData!D$84),0)</f>
        <v>0</v>
      </c>
      <c r="E184" s="57">
        <f>IF(C184&lt;=DefaultData!D$85,-PPMT(DefaultData!D$86,C184,DefaultData!D$85,DefaultData!D$84*DefaultData!D$48),0)</f>
        <v>0</v>
      </c>
      <c r="F184" s="57">
        <f t="shared" si="72"/>
        <v>0</v>
      </c>
      <c r="H184">
        <v>19</v>
      </c>
      <c r="I184" s="57">
        <f>IF(H184&lt;=DefaultData!$D$93,-IPMT(DefaultData!$D$92,H184,DefaultData!$D$93,DefaultData!$D$48*DefaultData!$D$89*DefaultData!$D$90),0)</f>
        <v>0</v>
      </c>
      <c r="J184" s="57">
        <f>IF(H184&lt;=DefaultData!$D$93,-PPMT(DefaultData!$D$92,H184,DefaultData!$D$93,DefaultData!$D$89*DefaultData!$D$48*DefaultData!$D$90),0)</f>
        <v>0</v>
      </c>
      <c r="K184" s="57">
        <f t="shared" si="73"/>
        <v>0</v>
      </c>
      <c r="M184">
        <v>19</v>
      </c>
      <c r="N184" s="57">
        <f>IF(M184&lt;=DefaultData!$D$93,-IPMT(DefaultData!$D$92,M184,DefaultData!$D$93,DefaultData!$D$48*DefaultData!$D$89*DefaultData!$D$91),0)</f>
        <v>0</v>
      </c>
      <c r="O184" s="57">
        <f>IF(M184&lt;=DefaultData!$D$93,-PPMT(DefaultData!$D$92,M184,DefaultData!$D$93,DefaultData!$D$89*DefaultData!$D$46*DefaultData!$D$91),0)</f>
        <v>0</v>
      </c>
      <c r="P184" s="57">
        <f t="shared" si="74"/>
        <v>0</v>
      </c>
    </row>
    <row r="185" spans="3:16" x14ac:dyDescent="0.15">
      <c r="C185">
        <v>20</v>
      </c>
      <c r="D185" s="57">
        <f>IF(C185&lt;=DefaultData!D$85,-IPMT(DefaultData!D$86,C185,DefaultData!D$85,DefaultData!D$48*DefaultData!D$84),0)</f>
        <v>0</v>
      </c>
      <c r="E185" s="57">
        <f>IF(C185&lt;=DefaultData!D$85,-PPMT(DefaultData!D$86,C185,DefaultData!D$85,DefaultData!D$84*DefaultData!D$48),0)</f>
        <v>0</v>
      </c>
      <c r="F185" s="57">
        <f t="shared" si="72"/>
        <v>0</v>
      </c>
      <c r="H185">
        <v>20</v>
      </c>
      <c r="I185" s="57">
        <f>IF(H185&lt;=DefaultData!$D$93,-IPMT(DefaultData!$D$92,H185,DefaultData!$D$93,DefaultData!$D$48*DefaultData!$D$89*DefaultData!$D$90),0)</f>
        <v>0</v>
      </c>
      <c r="J185" s="57">
        <f>IF(H185&lt;=DefaultData!$D$93,-PPMT(DefaultData!$D$92,H185,DefaultData!$D$93,DefaultData!$D$89*DefaultData!$D$48*DefaultData!$D$90),0)</f>
        <v>0</v>
      </c>
      <c r="K185" s="57">
        <f t="shared" si="73"/>
        <v>0</v>
      </c>
      <c r="M185">
        <v>20</v>
      </c>
      <c r="N185" s="57">
        <f>IF(M185&lt;=DefaultData!$D$93,-IPMT(DefaultData!$D$92,M185,DefaultData!$D$93,DefaultData!$D$48*DefaultData!$D$89*DefaultData!$D$91),0)</f>
        <v>0</v>
      </c>
      <c r="O185" s="57">
        <f>IF(M185&lt;=DefaultData!$D$93,-PPMT(DefaultData!$D$92,M185,DefaultData!$D$93,DefaultData!$D$89*DefaultData!$D$46*DefaultData!$D$91),0)</f>
        <v>0</v>
      </c>
      <c r="P185" s="57">
        <f t="shared" si="74"/>
        <v>0</v>
      </c>
    </row>
    <row r="186" spans="3:16" x14ac:dyDescent="0.15">
      <c r="C186">
        <v>21</v>
      </c>
      <c r="D186" s="57">
        <f>IF(C186&lt;=DefaultData!D$85,-IPMT(DefaultData!D$86,C186,DefaultData!D$85,DefaultData!D$48*DefaultData!D$84),0)</f>
        <v>0</v>
      </c>
      <c r="E186" s="57">
        <f>IF(C186&lt;=DefaultData!D$85,-PPMT(DefaultData!D$86,C186,DefaultData!D$85,DefaultData!D$84*DefaultData!D$48),0)</f>
        <v>0</v>
      </c>
      <c r="F186" s="57">
        <f t="shared" si="72"/>
        <v>0</v>
      </c>
      <c r="H186">
        <v>21</v>
      </c>
      <c r="I186" s="57">
        <f>IF(H186&lt;=DefaultData!$D$93,-IPMT(DefaultData!$D$92,H186,DefaultData!$D$93,DefaultData!$D$48*DefaultData!$D$89*DefaultData!$D$90),0)</f>
        <v>0</v>
      </c>
      <c r="J186" s="57">
        <f>IF(H186&lt;=DefaultData!$D$93,-PPMT(DefaultData!$D$92,H186,DefaultData!$D$93,DefaultData!$D$89*DefaultData!$D$48*DefaultData!$D$90),0)</f>
        <v>0</v>
      </c>
      <c r="K186" s="57">
        <f t="shared" si="73"/>
        <v>0</v>
      </c>
      <c r="M186">
        <v>21</v>
      </c>
      <c r="N186" s="57">
        <f>IF(M186&lt;=DefaultData!$D$93,-IPMT(DefaultData!$D$92,M186,DefaultData!$D$93,DefaultData!$D$48*DefaultData!$D$89*DefaultData!$D$91),0)</f>
        <v>0</v>
      </c>
      <c r="O186" s="57">
        <f>IF(M186&lt;=DefaultData!$D$93,-PPMT(DefaultData!$D$92,M186,DefaultData!$D$93,DefaultData!$D$89*DefaultData!$D$46*DefaultData!$D$91),0)</f>
        <v>0</v>
      </c>
      <c r="P186" s="57">
        <f t="shared" si="74"/>
        <v>0</v>
      </c>
    </row>
    <row r="187" spans="3:16" x14ac:dyDescent="0.15">
      <c r="C187">
        <v>22</v>
      </c>
      <c r="D187" s="57">
        <f>IF(C187&lt;=DefaultData!D$85,-IPMT(DefaultData!D$86,C187,DefaultData!D$85,DefaultData!D$48*DefaultData!D$84),0)</f>
        <v>0</v>
      </c>
      <c r="E187" s="57">
        <f>IF(C187&lt;=DefaultData!D$85,-PPMT(DefaultData!D$86,C187,DefaultData!D$85,DefaultData!D$84*DefaultData!D$48),0)</f>
        <v>0</v>
      </c>
      <c r="F187" s="57">
        <f t="shared" si="72"/>
        <v>0</v>
      </c>
      <c r="H187">
        <v>22</v>
      </c>
      <c r="I187" s="57">
        <f>IF(H187&lt;=DefaultData!$D$93,-IPMT(DefaultData!$D$92,H187,DefaultData!$D$93,DefaultData!$D$48*DefaultData!$D$89*DefaultData!$D$90),0)</f>
        <v>0</v>
      </c>
      <c r="J187" s="57">
        <f>IF(H187&lt;=DefaultData!$D$93,-PPMT(DefaultData!$D$92,H187,DefaultData!$D$93,DefaultData!$D$89*DefaultData!$D$48*DefaultData!$D$90),0)</f>
        <v>0</v>
      </c>
      <c r="K187" s="57">
        <f t="shared" si="73"/>
        <v>0</v>
      </c>
      <c r="M187">
        <v>22</v>
      </c>
      <c r="N187" s="57">
        <f>IF(M187&lt;=DefaultData!$D$93,-IPMT(DefaultData!$D$92,M187,DefaultData!$D$93,DefaultData!$D$48*DefaultData!$D$89*DefaultData!$D$91),0)</f>
        <v>0</v>
      </c>
      <c r="O187" s="57">
        <f>IF(M187&lt;=DefaultData!$D$93,-PPMT(DefaultData!$D$92,M187,DefaultData!$D$93,DefaultData!$D$89*DefaultData!$D$46*DefaultData!$D$91),0)</f>
        <v>0</v>
      </c>
      <c r="P187" s="57">
        <f t="shared" si="74"/>
        <v>0</v>
      </c>
    </row>
    <row r="188" spans="3:16" x14ac:dyDescent="0.15">
      <c r="C188">
        <v>23</v>
      </c>
      <c r="D188" s="57">
        <f>IF(C188&lt;=DefaultData!D$85,-IPMT(DefaultData!D$86,C188,DefaultData!D$85,DefaultData!D$48*DefaultData!D$84),0)</f>
        <v>0</v>
      </c>
      <c r="E188" s="57">
        <f>IF(C188&lt;=DefaultData!D$85,-PPMT(DefaultData!D$86,C188,DefaultData!D$85,DefaultData!D$84*DefaultData!D$48),0)</f>
        <v>0</v>
      </c>
      <c r="F188" s="57">
        <f t="shared" si="72"/>
        <v>0</v>
      </c>
      <c r="H188">
        <v>23</v>
      </c>
      <c r="I188" s="57">
        <f>IF(H188&lt;=DefaultData!$D$93,-IPMT(DefaultData!$D$92,H188,DefaultData!$D$93,DefaultData!$D$48*DefaultData!$D$89*DefaultData!$D$90),0)</f>
        <v>0</v>
      </c>
      <c r="J188" s="57">
        <f>IF(H188&lt;=DefaultData!$D$93,-PPMT(DefaultData!$D$92,H188,DefaultData!$D$93,DefaultData!$D$89*DefaultData!$D$48*DefaultData!$D$90),0)</f>
        <v>0</v>
      </c>
      <c r="K188" s="57">
        <f t="shared" si="73"/>
        <v>0</v>
      </c>
      <c r="M188">
        <v>23</v>
      </c>
      <c r="N188" s="57">
        <f>IF(M188&lt;=DefaultData!$D$93,-IPMT(DefaultData!$D$92,M188,DefaultData!$D$93,DefaultData!$D$48*DefaultData!$D$89*DefaultData!$D$91),0)</f>
        <v>0</v>
      </c>
      <c r="O188" s="57">
        <f>IF(M188&lt;=DefaultData!$D$93,-PPMT(DefaultData!$D$92,M188,DefaultData!$D$93,DefaultData!$D$89*DefaultData!$D$46*DefaultData!$D$91),0)</f>
        <v>0</v>
      </c>
      <c r="P188" s="57">
        <f t="shared" si="74"/>
        <v>0</v>
      </c>
    </row>
    <row r="189" spans="3:16" x14ac:dyDescent="0.15">
      <c r="C189">
        <v>24</v>
      </c>
      <c r="D189" s="57">
        <f>IF(C189&lt;=DefaultData!D$85,-IPMT(DefaultData!D$86,C189,DefaultData!D$85,DefaultData!D$48*DefaultData!D$84),0)</f>
        <v>0</v>
      </c>
      <c r="E189" s="57">
        <f>IF(C189&lt;=DefaultData!D$85,-PPMT(DefaultData!D$86,C189,DefaultData!D$85,DefaultData!D$84*DefaultData!D$48),0)</f>
        <v>0</v>
      </c>
      <c r="F189" s="57">
        <f t="shared" si="72"/>
        <v>0</v>
      </c>
      <c r="H189">
        <v>24</v>
      </c>
      <c r="I189" s="57">
        <f>IF(H189&lt;=DefaultData!$D$93,-IPMT(DefaultData!$D$92,H189,DefaultData!$D$93,DefaultData!$D$48*DefaultData!$D$89*DefaultData!$D$90),0)</f>
        <v>0</v>
      </c>
      <c r="J189" s="57">
        <f>IF(H189&lt;=DefaultData!$D$93,-PPMT(DefaultData!$D$92,H189,DefaultData!$D$93,DefaultData!$D$89*DefaultData!$D$48*DefaultData!$D$90),0)</f>
        <v>0</v>
      </c>
      <c r="K189" s="57">
        <f t="shared" si="73"/>
        <v>0</v>
      </c>
      <c r="M189">
        <v>24</v>
      </c>
      <c r="N189" s="57">
        <f>IF(M189&lt;=DefaultData!$D$93,-IPMT(DefaultData!$D$92,M189,DefaultData!$D$93,DefaultData!$D$48*DefaultData!$D$89*DefaultData!$D$91),0)</f>
        <v>0</v>
      </c>
      <c r="O189" s="57">
        <f>IF(M189&lt;=DefaultData!$D$93,-PPMT(DefaultData!$D$92,M189,DefaultData!$D$93,DefaultData!$D$89*DefaultData!$D$46*DefaultData!$D$91),0)</f>
        <v>0</v>
      </c>
      <c r="P189" s="57">
        <f t="shared" si="74"/>
        <v>0</v>
      </c>
    </row>
    <row r="190" spans="3:16" x14ac:dyDescent="0.15">
      <c r="C190">
        <v>25</v>
      </c>
      <c r="D190" s="57">
        <f>IF(C190&lt;=DefaultData!D$85,-IPMT(DefaultData!D$86,C190,DefaultData!D$85,DefaultData!D$48*DefaultData!D$84),0)</f>
        <v>0</v>
      </c>
      <c r="E190" s="57">
        <f>IF(C190&lt;=DefaultData!D$85,-PPMT(DefaultData!D$86,C190,DefaultData!D$85,DefaultData!D$84*DefaultData!D$48),0)</f>
        <v>0</v>
      </c>
      <c r="F190" s="57">
        <f t="shared" si="72"/>
        <v>0</v>
      </c>
      <c r="H190">
        <v>25</v>
      </c>
      <c r="I190" s="57">
        <f>IF(H190&lt;=DefaultData!$D$93,-IPMT(DefaultData!$D$92,H190,DefaultData!$D$93,DefaultData!$D$48*DefaultData!$D$89*DefaultData!$D$90),0)</f>
        <v>0</v>
      </c>
      <c r="J190" s="57">
        <f>IF(H190&lt;=DefaultData!$D$93,-PPMT(DefaultData!$D$92,H190,DefaultData!$D$93,DefaultData!$D$89*DefaultData!$D$48*DefaultData!$D$90),0)</f>
        <v>0</v>
      </c>
      <c r="K190" s="57">
        <f t="shared" si="73"/>
        <v>0</v>
      </c>
      <c r="M190">
        <v>25</v>
      </c>
      <c r="N190" s="57">
        <f>IF(M190&lt;=DefaultData!$D$93,-IPMT(DefaultData!$D$92,M190,DefaultData!$D$93,DefaultData!$D$48*DefaultData!$D$89*DefaultData!$D$91),0)</f>
        <v>0</v>
      </c>
      <c r="O190" s="57">
        <f>IF(M190&lt;=DefaultData!$D$93,-PPMT(DefaultData!$D$92,M190,DefaultData!$D$93,DefaultData!$D$89*DefaultData!$D$46*DefaultData!$D$91),0)</f>
        <v>0</v>
      </c>
      <c r="P190" s="57">
        <f t="shared" si="74"/>
        <v>0</v>
      </c>
    </row>
    <row r="191" spans="3:16" x14ac:dyDescent="0.15">
      <c r="C191">
        <v>26</v>
      </c>
      <c r="D191" s="57">
        <f>IF(C191&lt;=DefaultData!D$85,-IPMT(DefaultData!D$86,C191,DefaultData!D$85,DefaultData!D$48*DefaultData!D$84),0)</f>
        <v>0</v>
      </c>
      <c r="E191" s="57">
        <f>IF(C191&lt;=DefaultData!D$85,-PPMT(DefaultData!D$86,C191,DefaultData!D$85,DefaultData!D$84*DefaultData!D$48),0)</f>
        <v>0</v>
      </c>
      <c r="F191" s="57">
        <f t="shared" si="72"/>
        <v>0</v>
      </c>
      <c r="H191">
        <v>26</v>
      </c>
      <c r="I191" s="57">
        <f>IF(H191&lt;=DefaultData!$D$93,-IPMT(DefaultData!$D$92,H191,DefaultData!$D$93,DefaultData!$D$48*DefaultData!$D$89*DefaultData!$D$90),0)</f>
        <v>0</v>
      </c>
      <c r="J191" s="57">
        <f>IF(H191&lt;=DefaultData!$D$93,-PPMT(DefaultData!$D$92,H191,DefaultData!$D$93,DefaultData!$D$89*DefaultData!$D$48*DefaultData!$D$90),0)</f>
        <v>0</v>
      </c>
      <c r="K191" s="57">
        <f t="shared" si="73"/>
        <v>0</v>
      </c>
      <c r="M191">
        <v>26</v>
      </c>
      <c r="N191" s="57">
        <f>IF(M191&lt;=DefaultData!$D$93,-IPMT(DefaultData!$D$92,M191,DefaultData!$D$93,DefaultData!$D$48*DefaultData!$D$89*DefaultData!$D$91),0)</f>
        <v>0</v>
      </c>
      <c r="O191" s="57">
        <f>IF(M191&lt;=DefaultData!$D$93,-PPMT(DefaultData!$D$92,M191,DefaultData!$D$93,DefaultData!$D$89*DefaultData!$D$46*DefaultData!$D$91),0)</f>
        <v>0</v>
      </c>
      <c r="P191" s="57">
        <f t="shared" si="74"/>
        <v>0</v>
      </c>
    </row>
    <row r="192" spans="3:16" x14ac:dyDescent="0.15">
      <c r="C192">
        <v>27</v>
      </c>
      <c r="D192" s="57">
        <f>IF(C192&lt;=DefaultData!D$85,-IPMT(DefaultData!D$86,C192,DefaultData!D$85,DefaultData!D$48*DefaultData!D$84),0)</f>
        <v>0</v>
      </c>
      <c r="E192" s="57">
        <f>IF(C192&lt;=DefaultData!D$85,-PPMT(DefaultData!D$86,C192,DefaultData!D$85,DefaultData!D$84*DefaultData!D$48),0)</f>
        <v>0</v>
      </c>
      <c r="F192" s="57">
        <f t="shared" si="72"/>
        <v>0</v>
      </c>
      <c r="H192">
        <v>27</v>
      </c>
      <c r="I192" s="57">
        <f>IF(H192&lt;=DefaultData!$D$93,-IPMT(DefaultData!$D$92,H192,DefaultData!$D$93,DefaultData!$D$48*DefaultData!$D$89*DefaultData!$D$90),0)</f>
        <v>0</v>
      </c>
      <c r="J192" s="57">
        <f>IF(H192&lt;=DefaultData!$D$93,-PPMT(DefaultData!$D$92,H192,DefaultData!$D$93,DefaultData!$D$89*DefaultData!$D$48*DefaultData!$D$90),0)</f>
        <v>0</v>
      </c>
      <c r="K192" s="57">
        <f t="shared" si="73"/>
        <v>0</v>
      </c>
      <c r="M192">
        <v>27</v>
      </c>
      <c r="N192" s="57">
        <f>IF(M192&lt;=DefaultData!$D$93,-IPMT(DefaultData!$D$92,M192,DefaultData!$D$93,DefaultData!$D$48*DefaultData!$D$89*DefaultData!$D$91),0)</f>
        <v>0</v>
      </c>
      <c r="O192" s="57">
        <f>IF(M192&lt;=DefaultData!$D$93,-PPMT(DefaultData!$D$92,M192,DefaultData!$D$93,DefaultData!$D$89*DefaultData!$D$46*DefaultData!$D$91),0)</f>
        <v>0</v>
      </c>
      <c r="P192" s="57">
        <f t="shared" si="74"/>
        <v>0</v>
      </c>
    </row>
    <row r="193" spans="3:16" x14ac:dyDescent="0.15">
      <c r="C193">
        <v>28</v>
      </c>
      <c r="D193" s="57">
        <f>IF(C193&lt;=DefaultData!D$85,-IPMT(DefaultData!D$86,C193,DefaultData!D$85,DefaultData!D$48*DefaultData!D$84),0)</f>
        <v>0</v>
      </c>
      <c r="E193" s="57">
        <f>IF(C193&lt;=DefaultData!D$85,-PPMT(DefaultData!D$86,C193,DefaultData!D$85,DefaultData!D$84*DefaultData!D$48),0)</f>
        <v>0</v>
      </c>
      <c r="F193" s="57">
        <f t="shared" si="72"/>
        <v>0</v>
      </c>
      <c r="H193">
        <v>28</v>
      </c>
      <c r="I193" s="57">
        <f>IF(H193&lt;=DefaultData!$D$93,-IPMT(DefaultData!$D$92,H193,DefaultData!$D$93,DefaultData!$D$48*DefaultData!$D$89*DefaultData!$D$90),0)</f>
        <v>0</v>
      </c>
      <c r="J193" s="57">
        <f>IF(H193&lt;=DefaultData!$D$93,-PPMT(DefaultData!$D$92,H193,DefaultData!$D$93,DefaultData!$D$89*DefaultData!$D$48*DefaultData!$D$90),0)</f>
        <v>0</v>
      </c>
      <c r="K193" s="57">
        <f t="shared" si="73"/>
        <v>0</v>
      </c>
      <c r="M193">
        <v>28</v>
      </c>
      <c r="N193" s="57">
        <f>IF(M193&lt;=DefaultData!$D$93,-IPMT(DefaultData!$D$92,M193,DefaultData!$D$93,DefaultData!$D$48*DefaultData!$D$89*DefaultData!$D$91),0)</f>
        <v>0</v>
      </c>
      <c r="O193" s="57">
        <f>IF(M193&lt;=DefaultData!$D$93,-PPMT(DefaultData!$D$92,M193,DefaultData!$D$93,DefaultData!$D$89*DefaultData!$D$46*DefaultData!$D$91),0)</f>
        <v>0</v>
      </c>
      <c r="P193" s="57">
        <f t="shared" si="74"/>
        <v>0</v>
      </c>
    </row>
    <row r="194" spans="3:16" x14ac:dyDescent="0.15">
      <c r="C194">
        <v>29</v>
      </c>
      <c r="D194" s="57">
        <f>IF(C194&lt;=DefaultData!D$85,-IPMT(DefaultData!D$86,C194,DefaultData!D$85,DefaultData!D$48*DefaultData!D$84),0)</f>
        <v>0</v>
      </c>
      <c r="E194" s="57">
        <f>IF(C194&lt;=DefaultData!D$85,-PPMT(DefaultData!D$86,C194,DefaultData!D$85,DefaultData!D$84*DefaultData!D$48),0)</f>
        <v>0</v>
      </c>
      <c r="F194" s="57">
        <f t="shared" si="72"/>
        <v>0</v>
      </c>
      <c r="H194">
        <v>29</v>
      </c>
      <c r="I194" s="57">
        <f>IF(H194&lt;=DefaultData!$D$93,-IPMT(DefaultData!$D$92,H194,DefaultData!$D$93,DefaultData!$D$48*DefaultData!$D$89*DefaultData!$D$90),0)</f>
        <v>0</v>
      </c>
      <c r="J194" s="57">
        <f>IF(H194&lt;=DefaultData!$D$93,-PPMT(DefaultData!$D$92,H194,DefaultData!$D$93,DefaultData!$D$89*DefaultData!$D$48*DefaultData!$D$90),0)</f>
        <v>0</v>
      </c>
      <c r="K194" s="57">
        <f t="shared" si="73"/>
        <v>0</v>
      </c>
      <c r="M194">
        <v>29</v>
      </c>
      <c r="N194" s="57">
        <f>IF(M194&lt;=DefaultData!$D$93,-IPMT(DefaultData!$D$92,M194,DefaultData!$D$93,DefaultData!$D$48*DefaultData!$D$89*DefaultData!$D$91),0)</f>
        <v>0</v>
      </c>
      <c r="O194" s="57">
        <f>IF(M194&lt;=DefaultData!$D$93,-PPMT(DefaultData!$D$92,M194,DefaultData!$D$93,DefaultData!$D$89*DefaultData!$D$46*DefaultData!$D$91),0)</f>
        <v>0</v>
      </c>
      <c r="P194" s="57">
        <f t="shared" si="74"/>
        <v>0</v>
      </c>
    </row>
    <row r="195" spans="3:16" x14ac:dyDescent="0.15">
      <c r="C195">
        <v>30</v>
      </c>
      <c r="D195" s="57">
        <f>IF(C195&lt;=DefaultData!D$85,-IPMT(DefaultData!D$86,C195,DefaultData!D$85,DefaultData!D$48*DefaultData!D$84),0)</f>
        <v>0</v>
      </c>
      <c r="E195" s="57">
        <f>IF(C195&lt;=DefaultData!D$85,-PPMT(DefaultData!D$86,C195,DefaultData!D$85,DefaultData!D$84*DefaultData!D$48),0)</f>
        <v>0</v>
      </c>
      <c r="F195" s="57">
        <f t="shared" si="72"/>
        <v>0</v>
      </c>
      <c r="H195">
        <v>30</v>
      </c>
      <c r="I195" s="57">
        <f>IF(H195&lt;=DefaultData!$D$93,-IPMT(DefaultData!$D$92,H195,DefaultData!$D$93,DefaultData!$D$48*DefaultData!$D$89*DefaultData!$D$90),0)</f>
        <v>0</v>
      </c>
      <c r="J195" s="57">
        <f>IF(H195&lt;=DefaultData!$D$93,-PPMT(DefaultData!$D$92,H195,DefaultData!$D$93,DefaultData!$D$89*DefaultData!$D$48*DefaultData!$D$90),0)</f>
        <v>0</v>
      </c>
      <c r="K195" s="57">
        <f t="shared" si="73"/>
        <v>0</v>
      </c>
      <c r="M195">
        <v>30</v>
      </c>
      <c r="N195" s="57">
        <f>IF(M195&lt;=DefaultData!$D$93,-IPMT(DefaultData!$D$92,M195,DefaultData!$D$93,DefaultData!$D$48*DefaultData!$D$89*DefaultData!$D$91),0)</f>
        <v>0</v>
      </c>
      <c r="O195" s="57">
        <f>IF(M195&lt;=DefaultData!$D$93,-PPMT(DefaultData!$D$92,M195,DefaultData!$D$93,DefaultData!$D$89*DefaultData!$D$46*DefaultData!$D$91),0)</f>
        <v>0</v>
      </c>
      <c r="P195" s="57">
        <f t="shared" si="74"/>
        <v>0</v>
      </c>
    </row>
    <row r="196" spans="3:16" x14ac:dyDescent="0.15">
      <c r="C196" t="s">
        <v>16</v>
      </c>
      <c r="D196" s="57">
        <f>SUM(D166:D195)</f>
        <v>119985859.19536252</v>
      </c>
      <c r="E196" s="57">
        <f>SUM(E166:E195)</f>
        <v>317375539.98880923</v>
      </c>
      <c r="F196" s="57">
        <f t="shared" si="72"/>
        <v>437361399.18417174</v>
      </c>
      <c r="H196" t="s">
        <v>16</v>
      </c>
      <c r="I196" s="57">
        <f>SUM(I166:I195)</f>
        <v>0</v>
      </c>
      <c r="J196" s="57">
        <f>SUM(J166:J195)</f>
        <v>0</v>
      </c>
      <c r="K196" s="57">
        <f t="shared" si="73"/>
        <v>0</v>
      </c>
      <c r="M196" t="s">
        <v>16</v>
      </c>
      <c r="N196" s="57">
        <f>SUM(N166:N195)</f>
        <v>61082226.677044131</v>
      </c>
      <c r="O196" s="57">
        <f>SUM(O166:O195)</f>
        <v>77545473.230704725</v>
      </c>
      <c r="P196" s="57">
        <f t="shared" si="74"/>
        <v>138627699.90774885</v>
      </c>
    </row>
    <row r="197" spans="3:16" x14ac:dyDescent="0.15">
      <c r="C197" t="s">
        <v>250</v>
      </c>
      <c r="D197" s="57">
        <f>D196/DefaultData!$D85</f>
        <v>11998585.919536252</v>
      </c>
      <c r="E197" s="57">
        <f>E196/DefaultData!$D85</f>
        <v>31737553.998880923</v>
      </c>
      <c r="F197" s="57">
        <f t="shared" si="72"/>
        <v>43736139.918417171</v>
      </c>
      <c r="H197" t="s">
        <v>250</v>
      </c>
      <c r="I197" s="57">
        <f>I196/DefaultData!$D93</f>
        <v>0</v>
      </c>
      <c r="J197" s="57">
        <f>J196/DefaultData!$D93</f>
        <v>0</v>
      </c>
      <c r="K197" s="57">
        <f t="shared" si="73"/>
        <v>0</v>
      </c>
      <c r="M197" t="s">
        <v>250</v>
      </c>
      <c r="N197" s="57">
        <f>N196/DefaultData!$D93</f>
        <v>6108222.6677044127</v>
      </c>
      <c r="O197" s="57">
        <f>O196/DefaultData!$D93</f>
        <v>7754547.3230704721</v>
      </c>
      <c r="P197" s="57">
        <f t="shared" si="74"/>
        <v>13862769.990774885</v>
      </c>
    </row>
    <row r="199" spans="3:16" x14ac:dyDescent="0.15">
      <c r="C199" s="24" t="s">
        <v>258</v>
      </c>
      <c r="H199" s="24" t="s">
        <v>270</v>
      </c>
      <c r="M199" s="24" t="s">
        <v>270</v>
      </c>
    </row>
    <row r="200" spans="3:16" x14ac:dyDescent="0.15">
      <c r="C200" t="s">
        <v>222</v>
      </c>
      <c r="H200" s="24" t="s">
        <v>271</v>
      </c>
      <c r="M200" s="24" t="s">
        <v>272</v>
      </c>
    </row>
    <row r="201" spans="3:16" x14ac:dyDescent="0.15">
      <c r="D201" t="s">
        <v>219</v>
      </c>
      <c r="E201" t="s">
        <v>220</v>
      </c>
      <c r="F201" t="s">
        <v>221</v>
      </c>
      <c r="I201" t="s">
        <v>219</v>
      </c>
      <c r="J201" t="s">
        <v>220</v>
      </c>
      <c r="K201" t="s">
        <v>221</v>
      </c>
      <c r="N201" t="s">
        <v>219</v>
      </c>
      <c r="O201" t="s">
        <v>220</v>
      </c>
      <c r="P201" t="s">
        <v>221</v>
      </c>
    </row>
    <row r="202" spans="3:16" x14ac:dyDescent="0.15">
      <c r="C202">
        <v>1</v>
      </c>
      <c r="D202" s="57">
        <f>IF(C202&lt;='STEP 3 - Edit Project Data'!B$93,-IPMT('STEP 3 - Edit Project Data'!B$94,C202,'STEP 3 - Edit Project Data'!B$93,'STEP 3 - Edit Project Data'!B$92*'STEP 3 - Edit Project Data'!B$64),0)</f>
        <v>19994659.019294985</v>
      </c>
      <c r="E202" s="57">
        <f>IF(C202&lt;='STEP 3 - Edit Project Data'!B$93,-PPMT('STEP 3 - Edit Project Data'!B$94,C202,'STEP 3 - Edit Project Data'!B$93,'STEP 3 - Edit Project Data'!B$64*'STEP 3 - Edit Project Data'!B$92),0)</f>
        <v>23741480.899122193</v>
      </c>
      <c r="F202" s="57">
        <f t="shared" ref="F202:F233" si="75">E202+D202</f>
        <v>43736139.918417178</v>
      </c>
      <c r="H202">
        <v>1</v>
      </c>
      <c r="I202" s="57">
        <f>IF(H202&lt;='STEP 3 - Edit Project Data'!B$100,-ISPMT('STEP 3 - Edit Project Data'!B$99,H202,'STEP 3 - Edit Project Data'!B$100,'STEP 3 - Edit Project Data'!B$64*'STEP 3 - Edit Project Data'!B$96*'STEP 3 - Edit Project Data'!B$97),0)</f>
        <v>0</v>
      </c>
      <c r="J202" s="57">
        <f>IF(H202&lt;='STEP 3 - Edit Project Data'!B$100,-PPMT('STEP 3 - Edit Project Data'!B$99,H202,'STEP 3 - Edit Project Data'!B$100,'STEP 3 - Edit Project Data'!B$96*'STEP 3 - Edit Project Data'!B$64*'STEP 3 - Edit Project Data'!B$97),0)</f>
        <v>0</v>
      </c>
      <c r="K202" s="57">
        <f t="shared" ref="K202:K233" si="76">J202+I202</f>
        <v>0</v>
      </c>
      <c r="M202">
        <v>1</v>
      </c>
      <c r="N202" s="57">
        <f>IF(M202&lt;='STEP 3 - Edit Project Data'!$B$100,-IPMT('STEP 3 - Edit Project Data'!$B$99,M202,'STEP 3 - Edit Project Data'!$B$100,'STEP 3 - Edit Project Data'!$B$64*'STEP 3 - Edit Project Data'!$B$96*'STEP 3 - Edit Project Data'!$B$98),0)</f>
        <v>9521266.1996642742</v>
      </c>
      <c r="O202" s="57">
        <f>IF(M202&lt;='STEP 3 - Edit Project Data'!$B$100,-PPMT('STEP 3 - Edit Project Data'!$B$99,M202,'STEP 3 - Edit Project Data'!$B$100,'STEP 3 - Edit Project Data'!$B$96*'STEP 3 - Edit Project Data'!$B$64*'STEP 3 - Edit Project Data'!$B$98),0)</f>
        <v>4521344.9677603673</v>
      </c>
      <c r="P202" s="57">
        <f t="shared" ref="P202:P233" si="77">O202+N202</f>
        <v>14042611.167424642</v>
      </c>
    </row>
    <row r="203" spans="3:16" x14ac:dyDescent="0.15">
      <c r="C203">
        <v>2</v>
      </c>
      <c r="D203" s="57">
        <f>IF(C203&lt;='STEP 3 - Edit Project Data'!B$93,-IPMT('STEP 3 - Edit Project Data'!B$94,C203,'STEP 3 - Edit Project Data'!B$93,'STEP 3 - Edit Project Data'!B$92*'STEP 3 - Edit Project Data'!B$64),0)</f>
        <v>18498945.72265029</v>
      </c>
      <c r="E203" s="57">
        <f>IF(C203&lt;='STEP 3 - Edit Project Data'!B$93,-PPMT('STEP 3 - Edit Project Data'!B$94,C203,'STEP 3 - Edit Project Data'!B$93,'STEP 3 - Edit Project Data'!B$64*'STEP 3 - Edit Project Data'!B$92),0)</f>
        <v>25237194.195766896</v>
      </c>
      <c r="F203" s="57">
        <f t="shared" si="75"/>
        <v>43736139.918417186</v>
      </c>
      <c r="H203">
        <v>2</v>
      </c>
      <c r="I203" s="57">
        <f>IF(H203&lt;='STEP 3 - Edit Project Data'!B$100,-ISPMT('STEP 3 - Edit Project Data'!B$99,H203,'STEP 3 - Edit Project Data'!B$100,'STEP 3 - Edit Project Data'!B$64*'STEP 3 - Edit Project Data'!B$96*'STEP 3 - Edit Project Data'!B$97),0)</f>
        <v>0</v>
      </c>
      <c r="J203" s="57">
        <f>IF(H203&lt;='STEP 3 - Edit Project Data'!B$100,-PPMT('STEP 3 - Edit Project Data'!B$99,H203,'STEP 3 - Edit Project Data'!B$100,'STEP 3 - Edit Project Data'!B$96*'STEP 3 - Edit Project Data'!B$64*'STEP 3 - Edit Project Data'!B$97),0)</f>
        <v>0</v>
      </c>
      <c r="K203" s="57">
        <f t="shared" si="76"/>
        <v>0</v>
      </c>
      <c r="M203">
        <v>2</v>
      </c>
      <c r="N203" s="57">
        <f>IF(M203&lt;='STEP 3 - Edit Project Data'!$B$100,-IPMT('STEP 3 - Edit Project Data'!$B$99,M203,'STEP 3 - Edit Project Data'!$B$100,'STEP 3 - Edit Project Data'!$B$64*'STEP 3 - Edit Project Data'!$B$96*'STEP 3 - Edit Project Data'!$B$98),0)</f>
        <v>8978704.8035330307</v>
      </c>
      <c r="O203" s="57">
        <f>IF(M203&lt;='STEP 3 - Edit Project Data'!$B$100,-PPMT('STEP 3 - Edit Project Data'!$B$99,M203,'STEP 3 - Edit Project Data'!$B$100,'STEP 3 - Edit Project Data'!$B$96*'STEP 3 - Edit Project Data'!$B$64*'STEP 3 - Edit Project Data'!$B$98),0)</f>
        <v>5063906.3638916109</v>
      </c>
      <c r="P203" s="57">
        <f t="shared" si="77"/>
        <v>14042611.167424642</v>
      </c>
    </row>
    <row r="204" spans="3:16" x14ac:dyDescent="0.15">
      <c r="C204">
        <v>3</v>
      </c>
      <c r="D204" s="57">
        <f>IF(C204&lt;='STEP 3 - Edit Project Data'!B$93,-IPMT('STEP 3 - Edit Project Data'!B$94,C204,'STEP 3 - Edit Project Data'!B$93,'STEP 3 - Edit Project Data'!B$92*'STEP 3 - Edit Project Data'!B$64),0)</f>
        <v>16909002.488316972</v>
      </c>
      <c r="E204" s="57">
        <f>IF(C204&lt;='STEP 3 - Edit Project Data'!B$93,-PPMT('STEP 3 - Edit Project Data'!B$94,C204,'STEP 3 - Edit Project Data'!B$93,'STEP 3 - Edit Project Data'!B$64*'STEP 3 - Edit Project Data'!B$92),0)</f>
        <v>26827137.430100206</v>
      </c>
      <c r="F204" s="57">
        <f t="shared" si="75"/>
        <v>43736139.918417178</v>
      </c>
      <c r="H204">
        <v>3</v>
      </c>
      <c r="I204" s="57">
        <f>IF(H204&lt;='STEP 3 - Edit Project Data'!B$100,-ISPMT('STEP 3 - Edit Project Data'!B$99,H204,'STEP 3 - Edit Project Data'!B$100,'STEP 3 - Edit Project Data'!B$64*'STEP 3 - Edit Project Data'!B$96*'STEP 3 - Edit Project Data'!B$97),0)</f>
        <v>0</v>
      </c>
      <c r="J204" s="57">
        <f>IF(H204&lt;='STEP 3 - Edit Project Data'!B$100,-PPMT('STEP 3 - Edit Project Data'!B$99,H204,'STEP 3 - Edit Project Data'!B$100,'STEP 3 - Edit Project Data'!B$96*'STEP 3 - Edit Project Data'!B$64*'STEP 3 - Edit Project Data'!B$97),0)</f>
        <v>0</v>
      </c>
      <c r="K204" s="57">
        <f t="shared" si="76"/>
        <v>0</v>
      </c>
      <c r="M204">
        <v>3</v>
      </c>
      <c r="N204" s="57">
        <f>IF(M204&lt;='STEP 3 - Edit Project Data'!$B$100,-IPMT('STEP 3 - Edit Project Data'!$B$99,M204,'STEP 3 - Edit Project Data'!$B$100,'STEP 3 - Edit Project Data'!$B$64*'STEP 3 - Edit Project Data'!$B$96*'STEP 3 - Edit Project Data'!$B$98),0)</f>
        <v>8371036.0398660367</v>
      </c>
      <c r="O204" s="57">
        <f>IF(M204&lt;='STEP 3 - Edit Project Data'!$B$100,-PPMT('STEP 3 - Edit Project Data'!$B$99,M204,'STEP 3 - Edit Project Data'!$B$100,'STEP 3 - Edit Project Data'!$B$96*'STEP 3 - Edit Project Data'!$B$64*'STEP 3 - Edit Project Data'!$B$98),0)</f>
        <v>5671575.1275586039</v>
      </c>
      <c r="P204" s="57">
        <f t="shared" si="77"/>
        <v>14042611.167424642</v>
      </c>
    </row>
    <row r="205" spans="3:16" x14ac:dyDescent="0.15">
      <c r="C205">
        <v>4</v>
      </c>
      <c r="D205" s="57">
        <f>IF(C205&lt;='STEP 3 - Edit Project Data'!B$93,-IPMT('STEP 3 - Edit Project Data'!B$94,C205,'STEP 3 - Edit Project Data'!B$93,'STEP 3 - Edit Project Data'!B$92*'STEP 3 - Edit Project Data'!B$64),0)</f>
        <v>15218892.830220656</v>
      </c>
      <c r="E205" s="57">
        <f>IF(C205&lt;='STEP 3 - Edit Project Data'!B$93,-PPMT('STEP 3 - Edit Project Data'!B$94,C205,'STEP 3 - Edit Project Data'!B$93,'STEP 3 - Edit Project Data'!B$64*'STEP 3 - Edit Project Data'!B$92),0)</f>
        <v>28517247.08819652</v>
      </c>
      <c r="F205" s="57">
        <f t="shared" si="75"/>
        <v>43736139.918417178</v>
      </c>
      <c r="H205">
        <v>4</v>
      </c>
      <c r="I205" s="57">
        <f>IF(H205&lt;='STEP 3 - Edit Project Data'!B$100,-ISPMT('STEP 3 - Edit Project Data'!B$99,H205,'STEP 3 - Edit Project Data'!B$100,'STEP 3 - Edit Project Data'!B$64*'STEP 3 - Edit Project Data'!B$96*'STEP 3 - Edit Project Data'!B$97),0)</f>
        <v>0</v>
      </c>
      <c r="J205" s="57">
        <f>IF(H205&lt;='STEP 3 - Edit Project Data'!B$100,-PPMT('STEP 3 - Edit Project Data'!B$99,H205,'STEP 3 - Edit Project Data'!B$100,'STEP 3 - Edit Project Data'!B$96*'STEP 3 - Edit Project Data'!B$64*'STEP 3 - Edit Project Data'!B$97),0)</f>
        <v>0</v>
      </c>
      <c r="K205" s="57">
        <f t="shared" si="76"/>
        <v>0</v>
      </c>
      <c r="M205">
        <v>4</v>
      </c>
      <c r="N205" s="57">
        <f>IF(M205&lt;='STEP 3 - Edit Project Data'!$B$100,-IPMT('STEP 3 - Edit Project Data'!$B$99,M205,'STEP 3 - Edit Project Data'!$B$100,'STEP 3 - Edit Project Data'!$B$64*'STEP 3 - Edit Project Data'!$B$96*'STEP 3 - Edit Project Data'!$B$98),0)</f>
        <v>7690447.0245590033</v>
      </c>
      <c r="O205" s="57">
        <f>IF(M205&lt;='STEP 3 - Edit Project Data'!$B$100,-PPMT('STEP 3 - Edit Project Data'!$B$99,M205,'STEP 3 - Edit Project Data'!$B$100,'STEP 3 - Edit Project Data'!$B$96*'STEP 3 - Edit Project Data'!$B$64*'STEP 3 - Edit Project Data'!$B$98),0)</f>
        <v>6352164.1428656364</v>
      </c>
      <c r="P205" s="57">
        <f t="shared" si="77"/>
        <v>14042611.16742464</v>
      </c>
    </row>
    <row r="206" spans="3:16" x14ac:dyDescent="0.15">
      <c r="C206">
        <v>5</v>
      </c>
      <c r="D206" s="57">
        <f>IF(C206&lt;='STEP 3 - Edit Project Data'!B$93,-IPMT('STEP 3 - Edit Project Data'!B$94,C206,'STEP 3 - Edit Project Data'!B$93,'STEP 3 - Edit Project Data'!B$92*'STEP 3 - Edit Project Data'!B$64),0)</f>
        <v>13422306.263664277</v>
      </c>
      <c r="E206" s="57">
        <f>IF(C206&lt;='STEP 3 - Edit Project Data'!B$93,-PPMT('STEP 3 - Edit Project Data'!B$94,C206,'STEP 3 - Edit Project Data'!B$93,'STEP 3 - Edit Project Data'!B$64*'STEP 3 - Edit Project Data'!B$92),0)</f>
        <v>30313833.654752903</v>
      </c>
      <c r="F206" s="57">
        <f t="shared" si="75"/>
        <v>43736139.918417178</v>
      </c>
      <c r="H206">
        <v>5</v>
      </c>
      <c r="I206" s="57">
        <f>IF(H206&lt;='STEP 3 - Edit Project Data'!B$100,-ISPMT('STEP 3 - Edit Project Data'!B$99,H206,'STEP 3 - Edit Project Data'!B$100,'STEP 3 - Edit Project Data'!B$64*'STEP 3 - Edit Project Data'!B$96*'STEP 3 - Edit Project Data'!B$97),0)</f>
        <v>0</v>
      </c>
      <c r="J206" s="57">
        <f>IF(H206&lt;='STEP 3 - Edit Project Data'!B$100,-PPMT('STEP 3 - Edit Project Data'!B$99,H206,'STEP 3 - Edit Project Data'!B$100,'STEP 3 - Edit Project Data'!B$96*'STEP 3 - Edit Project Data'!B$64*'STEP 3 - Edit Project Data'!B$97),0)</f>
        <v>0</v>
      </c>
      <c r="K206" s="57">
        <f t="shared" si="76"/>
        <v>0</v>
      </c>
      <c r="M206">
        <v>5</v>
      </c>
      <c r="N206" s="57">
        <f>IF(M206&lt;='STEP 3 - Edit Project Data'!$B$100,-IPMT('STEP 3 - Edit Project Data'!$B$99,M206,'STEP 3 - Edit Project Data'!$B$100,'STEP 3 - Edit Project Data'!$B$64*'STEP 3 - Edit Project Data'!$B$96*'STEP 3 - Edit Project Data'!$B$98),0)</f>
        <v>6928187.3274151282</v>
      </c>
      <c r="O206" s="57">
        <f>IF(M206&lt;='STEP 3 - Edit Project Data'!$B$100,-PPMT('STEP 3 - Edit Project Data'!$B$99,M206,'STEP 3 - Edit Project Data'!$B$100,'STEP 3 - Edit Project Data'!$B$96*'STEP 3 - Edit Project Data'!$B$64*'STEP 3 - Edit Project Data'!$B$98),0)</f>
        <v>7114423.8400095133</v>
      </c>
      <c r="P206" s="57">
        <f t="shared" si="77"/>
        <v>14042611.167424642</v>
      </c>
    </row>
    <row r="207" spans="3:16" x14ac:dyDescent="0.15">
      <c r="C207">
        <v>6</v>
      </c>
      <c r="D207" s="57">
        <f>IF(C207&lt;='STEP 3 - Edit Project Data'!B$93,-IPMT('STEP 3 - Edit Project Data'!B$94,C207,'STEP 3 - Edit Project Data'!B$93,'STEP 3 - Edit Project Data'!B$92*'STEP 3 - Edit Project Data'!B$64),0)</f>
        <v>11512534.743414845</v>
      </c>
      <c r="E207" s="57">
        <f>IF(C207&lt;='STEP 3 - Edit Project Data'!B$93,-PPMT('STEP 3 - Edit Project Data'!B$94,C207,'STEP 3 - Edit Project Data'!B$93,'STEP 3 - Edit Project Data'!B$64*'STEP 3 - Edit Project Data'!B$92),0)</f>
        <v>32223605.175002333</v>
      </c>
      <c r="F207" s="57">
        <f t="shared" si="75"/>
        <v>43736139.918417178</v>
      </c>
      <c r="H207">
        <v>6</v>
      </c>
      <c r="I207" s="57">
        <f>IF(H207&lt;='STEP 3 - Edit Project Data'!B$100,-ISPMT('STEP 3 - Edit Project Data'!B$99,H207,'STEP 3 - Edit Project Data'!B$100,'STEP 3 - Edit Project Data'!B$64*'STEP 3 - Edit Project Data'!B$96*'STEP 3 - Edit Project Data'!B$97),0)</f>
        <v>0</v>
      </c>
      <c r="J207" s="57">
        <f>IF(H207&lt;='STEP 3 - Edit Project Data'!B$100,-PPMT('STEP 3 - Edit Project Data'!B$99,H207,'STEP 3 - Edit Project Data'!B$100,'STEP 3 - Edit Project Data'!B$96*'STEP 3 - Edit Project Data'!B$64*'STEP 3 - Edit Project Data'!B$97),0)</f>
        <v>0</v>
      </c>
      <c r="K207" s="57">
        <f t="shared" si="76"/>
        <v>0</v>
      </c>
      <c r="M207">
        <v>6</v>
      </c>
      <c r="N207" s="57">
        <f>IF(M207&lt;='STEP 3 - Edit Project Data'!$B$100,-IPMT('STEP 3 - Edit Project Data'!$B$99,M207,'STEP 3 - Edit Project Data'!$B$100,'STEP 3 - Edit Project Data'!$B$64*'STEP 3 - Edit Project Data'!$B$96*'STEP 3 - Edit Project Data'!$B$98),0)</f>
        <v>6074456.4666139856</v>
      </c>
      <c r="O207" s="57">
        <f>IF(M207&lt;='STEP 3 - Edit Project Data'!$B$100,-PPMT('STEP 3 - Edit Project Data'!$B$99,M207,'STEP 3 - Edit Project Data'!$B$100,'STEP 3 - Edit Project Data'!$B$96*'STEP 3 - Edit Project Data'!$B$64*'STEP 3 - Edit Project Data'!$B$98),0)</f>
        <v>7968154.7008106541</v>
      </c>
      <c r="P207" s="57">
        <f t="shared" si="77"/>
        <v>14042611.16742464</v>
      </c>
    </row>
    <row r="208" spans="3:16" x14ac:dyDescent="0.15">
      <c r="C208">
        <v>7</v>
      </c>
      <c r="D208" s="57">
        <f>IF(C208&lt;='STEP 3 - Edit Project Data'!B$93,-IPMT('STEP 3 - Edit Project Data'!B$94,C208,'STEP 3 - Edit Project Data'!B$93,'STEP 3 - Edit Project Data'!B$92*'STEP 3 - Edit Project Data'!B$64),0)</f>
        <v>9482447.6173896957</v>
      </c>
      <c r="E208" s="57">
        <f>IF(C208&lt;='STEP 3 - Edit Project Data'!B$93,-PPMT('STEP 3 - Edit Project Data'!B$94,C208,'STEP 3 - Edit Project Data'!B$93,'STEP 3 - Edit Project Data'!B$64*'STEP 3 - Edit Project Data'!B$92),0)</f>
        <v>34253692.301027484</v>
      </c>
      <c r="F208" s="57">
        <f t="shared" si="75"/>
        <v>43736139.918417178</v>
      </c>
      <c r="H208">
        <v>7</v>
      </c>
      <c r="I208" s="57">
        <f>IF(H208&lt;='STEP 3 - Edit Project Data'!B$100,-ISPMT('STEP 3 - Edit Project Data'!B$99,H208,'STEP 3 - Edit Project Data'!B$100,'STEP 3 - Edit Project Data'!B$64*'STEP 3 - Edit Project Data'!B$96*'STEP 3 - Edit Project Data'!B$97),0)</f>
        <v>0</v>
      </c>
      <c r="J208" s="57">
        <f>IF(H208&lt;='STEP 3 - Edit Project Data'!B$100,-PPMT('STEP 3 - Edit Project Data'!B$99,H208,'STEP 3 - Edit Project Data'!B$100,'STEP 3 - Edit Project Data'!B$96*'STEP 3 - Edit Project Data'!B$64*'STEP 3 - Edit Project Data'!B$97),0)</f>
        <v>0</v>
      </c>
      <c r="K208" s="57">
        <f t="shared" si="76"/>
        <v>0</v>
      </c>
      <c r="M208">
        <v>7</v>
      </c>
      <c r="N208" s="57">
        <f>IF(M208&lt;='STEP 3 - Edit Project Data'!$B$100,-IPMT('STEP 3 - Edit Project Data'!$B$99,M208,'STEP 3 - Edit Project Data'!$B$100,'STEP 3 - Edit Project Data'!$B$64*'STEP 3 - Edit Project Data'!$B$96*'STEP 3 - Edit Project Data'!$B$98),0)</f>
        <v>5118277.9025167068</v>
      </c>
      <c r="O208" s="57">
        <f>IF(M208&lt;='STEP 3 - Edit Project Data'!$B$100,-PPMT('STEP 3 - Edit Project Data'!$B$99,M208,'STEP 3 - Edit Project Data'!$B$100,'STEP 3 - Edit Project Data'!$B$96*'STEP 3 - Edit Project Data'!$B$64*'STEP 3 - Edit Project Data'!$B$98),0)</f>
        <v>8924333.2649079319</v>
      </c>
      <c r="P208" s="57">
        <f t="shared" si="77"/>
        <v>14042611.167424638</v>
      </c>
    </row>
    <row r="209" spans="3:16" x14ac:dyDescent="0.15">
      <c r="C209">
        <v>8</v>
      </c>
      <c r="D209" s="57">
        <f>IF(C209&lt;='STEP 3 - Edit Project Data'!B$93,-IPMT('STEP 3 - Edit Project Data'!B$94,C209,'STEP 3 - Edit Project Data'!B$93,'STEP 3 - Edit Project Data'!B$92*'STEP 3 - Edit Project Data'!B$64),0)</f>
        <v>7324465.0024249656</v>
      </c>
      <c r="E209" s="57">
        <f>IF(C209&lt;='STEP 3 - Edit Project Data'!B$93,-PPMT('STEP 3 - Edit Project Data'!B$94,C209,'STEP 3 - Edit Project Data'!B$93,'STEP 3 - Edit Project Data'!B$64*'STEP 3 - Edit Project Data'!B$92),0)</f>
        <v>36411674.915992215</v>
      </c>
      <c r="F209" s="57">
        <f t="shared" si="75"/>
        <v>43736139.918417178</v>
      </c>
      <c r="H209">
        <v>8</v>
      </c>
      <c r="I209" s="57">
        <f>IF(H209&lt;='STEP 3 - Edit Project Data'!B$100,-ISPMT('STEP 3 - Edit Project Data'!B$99,H209,'STEP 3 - Edit Project Data'!B$100,'STEP 3 - Edit Project Data'!B$64*'STEP 3 - Edit Project Data'!B$96*'STEP 3 - Edit Project Data'!B$97),0)</f>
        <v>0</v>
      </c>
      <c r="J209" s="57">
        <f>IF(H209&lt;='STEP 3 - Edit Project Data'!B$100,-PPMT('STEP 3 - Edit Project Data'!B$99,H209,'STEP 3 - Edit Project Data'!B$100,'STEP 3 - Edit Project Data'!B$96*'STEP 3 - Edit Project Data'!B$64*'STEP 3 - Edit Project Data'!B$97),0)</f>
        <v>0</v>
      </c>
      <c r="K209" s="57">
        <f t="shared" si="76"/>
        <v>0</v>
      </c>
      <c r="M209">
        <v>8</v>
      </c>
      <c r="N209" s="57">
        <f>IF(M209&lt;='STEP 3 - Edit Project Data'!$B$100,-IPMT('STEP 3 - Edit Project Data'!$B$99,M209,'STEP 3 - Edit Project Data'!$B$100,'STEP 3 - Edit Project Data'!$B$64*'STEP 3 - Edit Project Data'!$B$96*'STEP 3 - Edit Project Data'!$B$98),0)</f>
        <v>4047357.9107277561</v>
      </c>
      <c r="O209" s="57">
        <f>IF(M209&lt;='STEP 3 - Edit Project Data'!$B$100,-PPMT('STEP 3 - Edit Project Data'!$B$99,M209,'STEP 3 - Edit Project Data'!$B$100,'STEP 3 - Edit Project Data'!$B$96*'STEP 3 - Edit Project Data'!$B$64*'STEP 3 - Edit Project Data'!$B$98),0)</f>
        <v>9995253.2566968855</v>
      </c>
      <c r="P209" s="57">
        <f t="shared" si="77"/>
        <v>14042611.167424642</v>
      </c>
    </row>
    <row r="210" spans="3:16" x14ac:dyDescent="0.15">
      <c r="C210">
        <v>9</v>
      </c>
      <c r="D210" s="57">
        <f>IF(C210&lt;='STEP 3 - Edit Project Data'!B$93,-IPMT('STEP 3 - Edit Project Data'!B$94,C210,'STEP 3 - Edit Project Data'!B$93,'STEP 3 - Edit Project Data'!B$92*'STEP 3 - Edit Project Data'!B$64),0)</f>
        <v>5030529.4827174563</v>
      </c>
      <c r="E210" s="57">
        <f>IF(C210&lt;='STEP 3 - Edit Project Data'!B$93,-PPMT('STEP 3 - Edit Project Data'!B$94,C210,'STEP 3 - Edit Project Data'!B$93,'STEP 3 - Edit Project Data'!B$64*'STEP 3 - Edit Project Data'!B$92),0)</f>
        <v>38705610.435699724</v>
      </c>
      <c r="F210" s="57">
        <f t="shared" si="75"/>
        <v>43736139.918417178</v>
      </c>
      <c r="H210">
        <v>9</v>
      </c>
      <c r="I210" s="57">
        <f>IF(H210&lt;='STEP 3 - Edit Project Data'!B$100,-ISPMT('STEP 3 - Edit Project Data'!B$99,H210,'STEP 3 - Edit Project Data'!B$100,'STEP 3 - Edit Project Data'!B$64*'STEP 3 - Edit Project Data'!B$96*'STEP 3 - Edit Project Data'!B$97),0)</f>
        <v>0</v>
      </c>
      <c r="J210" s="57">
        <f>IF(H210&lt;='STEP 3 - Edit Project Data'!B$100,-PPMT('STEP 3 - Edit Project Data'!B$99,H210,'STEP 3 - Edit Project Data'!B$100,'STEP 3 - Edit Project Data'!B$96*'STEP 3 - Edit Project Data'!B$64*'STEP 3 - Edit Project Data'!B$97),0)</f>
        <v>0</v>
      </c>
      <c r="K210" s="57">
        <f t="shared" si="76"/>
        <v>0</v>
      </c>
      <c r="M210">
        <v>9</v>
      </c>
      <c r="N210" s="57">
        <f>IF(M210&lt;='STEP 3 - Edit Project Data'!$B$100,-IPMT('STEP 3 - Edit Project Data'!$B$99,M210,'STEP 3 - Edit Project Data'!$B$100,'STEP 3 - Edit Project Data'!$B$64*'STEP 3 - Edit Project Data'!$B$96*'STEP 3 - Edit Project Data'!$B$98),0)</f>
        <v>2847927.5199241294</v>
      </c>
      <c r="O210" s="57">
        <f>IF(M210&lt;='STEP 3 - Edit Project Data'!$B$100,-PPMT('STEP 3 - Edit Project Data'!$B$99,M210,'STEP 3 - Edit Project Data'!$B$100,'STEP 3 - Edit Project Data'!$B$96*'STEP 3 - Edit Project Data'!$B$64*'STEP 3 - Edit Project Data'!$B$98),0)</f>
        <v>11194683.647500511</v>
      </c>
      <c r="P210" s="57">
        <f t="shared" si="77"/>
        <v>14042611.167424642</v>
      </c>
    </row>
    <row r="211" spans="3:16" x14ac:dyDescent="0.15">
      <c r="C211">
        <v>10</v>
      </c>
      <c r="D211" s="57">
        <f>IF(C211&lt;='STEP 3 - Edit Project Data'!B$93,-IPMT('STEP 3 - Edit Project Data'!B$94,C211,'STEP 3 - Edit Project Data'!B$93,'STEP 3 - Edit Project Data'!B$92*'STEP 3 - Edit Project Data'!B$64),0)</f>
        <v>2592076.0252683745</v>
      </c>
      <c r="E211" s="57">
        <f>IF(C211&lt;='STEP 3 - Edit Project Data'!B$93,-PPMT('STEP 3 - Edit Project Data'!B$94,C211,'STEP 3 - Edit Project Data'!B$93,'STEP 3 - Edit Project Data'!B$64*'STEP 3 - Edit Project Data'!B$92),0)</f>
        <v>41144063.89314881</v>
      </c>
      <c r="F211" s="57">
        <f t="shared" si="75"/>
        <v>43736139.918417186</v>
      </c>
      <c r="H211">
        <v>10</v>
      </c>
      <c r="I211" s="57">
        <f>IF(H211&lt;='STEP 3 - Edit Project Data'!B$100,-ISPMT('STEP 3 - Edit Project Data'!B$99,H211,'STEP 3 - Edit Project Data'!B$100,'STEP 3 - Edit Project Data'!B$64*'STEP 3 - Edit Project Data'!B$96*'STEP 3 - Edit Project Data'!B$97),0)</f>
        <v>0</v>
      </c>
      <c r="J211" s="57">
        <f>IF(H211&lt;='STEP 3 - Edit Project Data'!B$100,-PPMT('STEP 3 - Edit Project Data'!B$99,H211,'STEP 3 - Edit Project Data'!B$100,'STEP 3 - Edit Project Data'!B$96*'STEP 3 - Edit Project Data'!B$64*'STEP 3 - Edit Project Data'!B$97),0)</f>
        <v>0</v>
      </c>
      <c r="K211" s="57">
        <f t="shared" si="76"/>
        <v>0</v>
      </c>
      <c r="M211">
        <v>10</v>
      </c>
      <c r="N211" s="57">
        <f>IF(M211&lt;='STEP 3 - Edit Project Data'!$B$100,-IPMT('STEP 3 - Edit Project Data'!$B$99,M211,'STEP 3 - Edit Project Data'!$B$100,'STEP 3 - Edit Project Data'!$B$64*'STEP 3 - Edit Project Data'!$B$96*'STEP 3 - Edit Project Data'!$B$98),0)</f>
        <v>1504565.4822240686</v>
      </c>
      <c r="O211" s="57">
        <f>IF(M211&lt;='STEP 3 - Edit Project Data'!$B$100,-PPMT('STEP 3 - Edit Project Data'!$B$99,M211,'STEP 3 - Edit Project Data'!$B$100,'STEP 3 - Edit Project Data'!$B$96*'STEP 3 - Edit Project Data'!$B$64*'STEP 3 - Edit Project Data'!$B$98),0)</f>
        <v>12538045.685200572</v>
      </c>
      <c r="P211" s="57">
        <f t="shared" si="77"/>
        <v>14042611.167424642</v>
      </c>
    </row>
    <row r="212" spans="3:16" x14ac:dyDescent="0.15">
      <c r="C212">
        <v>11</v>
      </c>
      <c r="D212" s="57">
        <f>IF(C212&lt;='STEP 3 - Edit Project Data'!B$93,-IPMT('STEP 3 - Edit Project Data'!B$94,C212,'STEP 3 - Edit Project Data'!B$93,'STEP 3 - Edit Project Data'!B$92*'STEP 3 - Edit Project Data'!B$64),0)</f>
        <v>0</v>
      </c>
      <c r="E212" s="57">
        <f>IF(C212&lt;='STEP 3 - Edit Project Data'!B$93,-PPMT('STEP 3 - Edit Project Data'!B$94,C212,'STEP 3 - Edit Project Data'!B$93,'STEP 3 - Edit Project Data'!B$64*'STEP 3 - Edit Project Data'!B$92),0)</f>
        <v>0</v>
      </c>
      <c r="F212" s="57">
        <f t="shared" si="75"/>
        <v>0</v>
      </c>
      <c r="H212">
        <v>11</v>
      </c>
      <c r="I212" s="57">
        <f>IF(H212&lt;='STEP 3 - Edit Project Data'!B$100,-ISPMT('STEP 3 - Edit Project Data'!B$99,H212,'STEP 3 - Edit Project Data'!B$100,'STEP 3 - Edit Project Data'!B$64*'STEP 3 - Edit Project Data'!B$96*'STEP 3 - Edit Project Data'!B$97),0)</f>
        <v>0</v>
      </c>
      <c r="J212" s="57">
        <f>IF(H212&lt;='STEP 3 - Edit Project Data'!B$100,-PPMT('STEP 3 - Edit Project Data'!B$99,H212,'STEP 3 - Edit Project Data'!B$100,'STEP 3 - Edit Project Data'!B$96*'STEP 3 - Edit Project Data'!B$64*'STEP 3 - Edit Project Data'!B$97),0)</f>
        <v>0</v>
      </c>
      <c r="K212" s="57">
        <f t="shared" si="76"/>
        <v>0</v>
      </c>
      <c r="M212">
        <v>11</v>
      </c>
      <c r="N212" s="57">
        <f>IF(M212&lt;='STEP 3 - Edit Project Data'!$B$100,-IPMT('STEP 3 - Edit Project Data'!$B$99,M212,'STEP 3 - Edit Project Data'!$B$100,'STEP 3 - Edit Project Data'!$B$64*'STEP 3 - Edit Project Data'!$B$96*'STEP 3 - Edit Project Data'!$B$98),0)</f>
        <v>0</v>
      </c>
      <c r="O212" s="57">
        <f>IF(M212&lt;='STEP 3 - Edit Project Data'!$B$100,-PPMT('STEP 3 - Edit Project Data'!$B$99,M212,'STEP 3 - Edit Project Data'!$B$100,'STEP 3 - Edit Project Data'!$B$96*'STEP 3 - Edit Project Data'!$B$64*'STEP 3 - Edit Project Data'!$B$98),0)</f>
        <v>0</v>
      </c>
      <c r="P212" s="57">
        <f t="shared" si="77"/>
        <v>0</v>
      </c>
    </row>
    <row r="213" spans="3:16" x14ac:dyDescent="0.15">
      <c r="C213">
        <v>12</v>
      </c>
      <c r="D213" s="57">
        <f>IF(C213&lt;='STEP 3 - Edit Project Data'!B$93,-IPMT('STEP 3 - Edit Project Data'!B$94,C213,'STEP 3 - Edit Project Data'!B$93,'STEP 3 - Edit Project Data'!B$92*'STEP 3 - Edit Project Data'!B$64),0)</f>
        <v>0</v>
      </c>
      <c r="E213" s="57">
        <f>IF(C213&lt;='STEP 3 - Edit Project Data'!B$93,-PPMT('STEP 3 - Edit Project Data'!B$94,C213,'STEP 3 - Edit Project Data'!B$93,'STEP 3 - Edit Project Data'!B$64*'STEP 3 - Edit Project Data'!B$92),0)</f>
        <v>0</v>
      </c>
      <c r="F213" s="57">
        <f t="shared" si="75"/>
        <v>0</v>
      </c>
      <c r="H213">
        <v>12</v>
      </c>
      <c r="I213" s="57">
        <f>IF(H213&lt;='STEP 3 - Edit Project Data'!B$100,-ISPMT('STEP 3 - Edit Project Data'!B$99,H213,'STEP 3 - Edit Project Data'!B$100,'STEP 3 - Edit Project Data'!B$64*'STEP 3 - Edit Project Data'!B$96*'STEP 3 - Edit Project Data'!B$97),0)</f>
        <v>0</v>
      </c>
      <c r="J213" s="57">
        <f>IF(H213&lt;='STEP 3 - Edit Project Data'!B$100,-PPMT('STEP 3 - Edit Project Data'!B$99,H213,'STEP 3 - Edit Project Data'!B$100,'STEP 3 - Edit Project Data'!B$96*'STEP 3 - Edit Project Data'!B$64*'STEP 3 - Edit Project Data'!B$97),0)</f>
        <v>0</v>
      </c>
      <c r="K213" s="57">
        <f t="shared" si="76"/>
        <v>0</v>
      </c>
      <c r="M213">
        <v>12</v>
      </c>
      <c r="N213" s="57">
        <f>IF(M213&lt;='STEP 3 - Edit Project Data'!$B$100,-IPMT('STEP 3 - Edit Project Data'!$B$99,M213,'STEP 3 - Edit Project Data'!$B$100,'STEP 3 - Edit Project Data'!$B$64*'STEP 3 - Edit Project Data'!$B$96*'STEP 3 - Edit Project Data'!$B$98),0)</f>
        <v>0</v>
      </c>
      <c r="O213" s="57">
        <f>IF(M213&lt;='STEP 3 - Edit Project Data'!$B$100,-PPMT('STEP 3 - Edit Project Data'!$B$99,M213,'STEP 3 - Edit Project Data'!$B$100,'STEP 3 - Edit Project Data'!$B$96*'STEP 3 - Edit Project Data'!$B$64*'STEP 3 - Edit Project Data'!$B$98),0)</f>
        <v>0</v>
      </c>
      <c r="P213" s="57">
        <f t="shared" si="77"/>
        <v>0</v>
      </c>
    </row>
    <row r="214" spans="3:16" x14ac:dyDescent="0.15">
      <c r="C214">
        <v>13</v>
      </c>
      <c r="D214" s="57">
        <f>IF(C214&lt;='STEP 3 - Edit Project Data'!B$93,-IPMT('STEP 3 - Edit Project Data'!B$94,C214,'STEP 3 - Edit Project Data'!B$93,'STEP 3 - Edit Project Data'!B$92*'STEP 3 - Edit Project Data'!B$64),0)</f>
        <v>0</v>
      </c>
      <c r="E214" s="57">
        <f>IF(C214&lt;='STEP 3 - Edit Project Data'!B$93,-PPMT('STEP 3 - Edit Project Data'!B$94,C214,'STEP 3 - Edit Project Data'!B$93,'STEP 3 - Edit Project Data'!B$64*'STEP 3 - Edit Project Data'!B$92),0)</f>
        <v>0</v>
      </c>
      <c r="F214" s="57">
        <f t="shared" si="75"/>
        <v>0</v>
      </c>
      <c r="H214">
        <v>13</v>
      </c>
      <c r="I214" s="57">
        <f>IF(H214&lt;='STEP 3 - Edit Project Data'!B$100,-ISPMT('STEP 3 - Edit Project Data'!B$99,H214,'STEP 3 - Edit Project Data'!B$100,'STEP 3 - Edit Project Data'!B$64*'STEP 3 - Edit Project Data'!B$96*'STEP 3 - Edit Project Data'!B$97),0)</f>
        <v>0</v>
      </c>
      <c r="J214" s="57">
        <f>IF(H214&lt;='STEP 3 - Edit Project Data'!B$100,-PPMT('STEP 3 - Edit Project Data'!B$99,H214,'STEP 3 - Edit Project Data'!B$100,'STEP 3 - Edit Project Data'!B$96*'STEP 3 - Edit Project Data'!B$64*'STEP 3 - Edit Project Data'!B$97),0)</f>
        <v>0</v>
      </c>
      <c r="K214" s="57">
        <f t="shared" si="76"/>
        <v>0</v>
      </c>
      <c r="M214">
        <v>13</v>
      </c>
      <c r="N214" s="57">
        <f>IF(M214&lt;='STEP 3 - Edit Project Data'!$B$100,-IPMT('STEP 3 - Edit Project Data'!$B$99,M214,'STEP 3 - Edit Project Data'!$B$100,'STEP 3 - Edit Project Data'!$B$64*'STEP 3 - Edit Project Data'!$B$96*'STEP 3 - Edit Project Data'!$B$98),0)</f>
        <v>0</v>
      </c>
      <c r="O214" s="57">
        <f>IF(M214&lt;='STEP 3 - Edit Project Data'!$B$100,-PPMT('STEP 3 - Edit Project Data'!$B$99,M214,'STEP 3 - Edit Project Data'!$B$100,'STEP 3 - Edit Project Data'!$B$96*'STEP 3 - Edit Project Data'!$B$64*'STEP 3 - Edit Project Data'!$B$98),0)</f>
        <v>0</v>
      </c>
      <c r="P214" s="57">
        <f t="shared" si="77"/>
        <v>0</v>
      </c>
    </row>
    <row r="215" spans="3:16" x14ac:dyDescent="0.15">
      <c r="C215">
        <v>14</v>
      </c>
      <c r="D215" s="57">
        <f>IF(C215&lt;='STEP 3 - Edit Project Data'!B$93,-IPMT('STEP 3 - Edit Project Data'!B$94,C215,'STEP 3 - Edit Project Data'!B$93,'STEP 3 - Edit Project Data'!B$92*'STEP 3 - Edit Project Data'!B$64),0)</f>
        <v>0</v>
      </c>
      <c r="E215" s="57">
        <f>IF(C215&lt;='STEP 3 - Edit Project Data'!B$93,-PPMT('STEP 3 - Edit Project Data'!B$94,C215,'STEP 3 - Edit Project Data'!B$93,'STEP 3 - Edit Project Data'!B$64*'STEP 3 - Edit Project Data'!B$92),0)</f>
        <v>0</v>
      </c>
      <c r="F215" s="57">
        <f t="shared" si="75"/>
        <v>0</v>
      </c>
      <c r="H215">
        <v>14</v>
      </c>
      <c r="I215" s="57">
        <f>IF(H215&lt;='STEP 3 - Edit Project Data'!B$100,-ISPMT('STEP 3 - Edit Project Data'!B$99,H215,'STEP 3 - Edit Project Data'!B$100,'STEP 3 - Edit Project Data'!B$64*'STEP 3 - Edit Project Data'!B$96*'STEP 3 - Edit Project Data'!B$97),0)</f>
        <v>0</v>
      </c>
      <c r="J215" s="57">
        <f>IF(H215&lt;='STEP 3 - Edit Project Data'!B$100,-PPMT('STEP 3 - Edit Project Data'!B$99,H215,'STEP 3 - Edit Project Data'!B$100,'STEP 3 - Edit Project Data'!B$96*'STEP 3 - Edit Project Data'!B$64*'STEP 3 - Edit Project Data'!B$97),0)</f>
        <v>0</v>
      </c>
      <c r="K215" s="57">
        <f t="shared" si="76"/>
        <v>0</v>
      </c>
      <c r="M215">
        <v>14</v>
      </c>
      <c r="N215" s="57">
        <f>IF(M215&lt;='STEP 3 - Edit Project Data'!$B$100,-IPMT('STEP 3 - Edit Project Data'!$B$99,M215,'STEP 3 - Edit Project Data'!$B$100,'STEP 3 - Edit Project Data'!$B$64*'STEP 3 - Edit Project Data'!$B$96*'STEP 3 - Edit Project Data'!$B$98),0)</f>
        <v>0</v>
      </c>
      <c r="O215" s="57">
        <f>IF(M215&lt;='STEP 3 - Edit Project Data'!$B$100,-PPMT('STEP 3 - Edit Project Data'!$B$99,M215,'STEP 3 - Edit Project Data'!$B$100,'STEP 3 - Edit Project Data'!$B$96*'STEP 3 - Edit Project Data'!$B$64*'STEP 3 - Edit Project Data'!$B$98),0)</f>
        <v>0</v>
      </c>
      <c r="P215" s="57">
        <f t="shared" si="77"/>
        <v>0</v>
      </c>
    </row>
    <row r="216" spans="3:16" x14ac:dyDescent="0.15">
      <c r="C216">
        <v>15</v>
      </c>
      <c r="D216" s="57">
        <f>IF(C216&lt;='STEP 3 - Edit Project Data'!B$93,-IPMT('STEP 3 - Edit Project Data'!B$94,C216,'STEP 3 - Edit Project Data'!B$93,'STEP 3 - Edit Project Data'!B$92*'STEP 3 - Edit Project Data'!B$64),0)</f>
        <v>0</v>
      </c>
      <c r="E216" s="57">
        <f>IF(C216&lt;='STEP 3 - Edit Project Data'!B$93,-PPMT('STEP 3 - Edit Project Data'!B$94,C216,'STEP 3 - Edit Project Data'!B$93,'STEP 3 - Edit Project Data'!B$64*'STEP 3 - Edit Project Data'!B$92),0)</f>
        <v>0</v>
      </c>
      <c r="F216" s="57">
        <f t="shared" si="75"/>
        <v>0</v>
      </c>
      <c r="H216">
        <v>15</v>
      </c>
      <c r="I216" s="57">
        <f>IF(H216&lt;='STEP 3 - Edit Project Data'!B$100,-ISPMT('STEP 3 - Edit Project Data'!B$99,H216,'STEP 3 - Edit Project Data'!B$100,'STEP 3 - Edit Project Data'!B$64*'STEP 3 - Edit Project Data'!B$96*'STEP 3 - Edit Project Data'!B$97),0)</f>
        <v>0</v>
      </c>
      <c r="J216" s="57">
        <f>IF(H216&lt;='STEP 3 - Edit Project Data'!B$100,-PPMT('STEP 3 - Edit Project Data'!B$99,H216,'STEP 3 - Edit Project Data'!B$100,'STEP 3 - Edit Project Data'!B$96*'STEP 3 - Edit Project Data'!B$64*'STEP 3 - Edit Project Data'!B$97),0)</f>
        <v>0</v>
      </c>
      <c r="K216" s="57">
        <f t="shared" si="76"/>
        <v>0</v>
      </c>
      <c r="M216">
        <v>15</v>
      </c>
      <c r="N216" s="57">
        <f>IF(M216&lt;='STEP 3 - Edit Project Data'!$B$100,-IPMT('STEP 3 - Edit Project Data'!$B$99,M216,'STEP 3 - Edit Project Data'!$B$100,'STEP 3 - Edit Project Data'!$B$64*'STEP 3 - Edit Project Data'!$B$96*'STEP 3 - Edit Project Data'!$B$98),0)</f>
        <v>0</v>
      </c>
      <c r="O216" s="57">
        <f>IF(M216&lt;='STEP 3 - Edit Project Data'!$B$100,-PPMT('STEP 3 - Edit Project Data'!$B$99,M216,'STEP 3 - Edit Project Data'!$B$100,'STEP 3 - Edit Project Data'!$B$96*'STEP 3 - Edit Project Data'!$B$64*'STEP 3 - Edit Project Data'!$B$98),0)</f>
        <v>0</v>
      </c>
      <c r="P216" s="57">
        <f t="shared" si="77"/>
        <v>0</v>
      </c>
    </row>
    <row r="217" spans="3:16" x14ac:dyDescent="0.15">
      <c r="C217">
        <v>16</v>
      </c>
      <c r="D217" s="57">
        <f>IF(C217&lt;='STEP 3 - Edit Project Data'!B$93,-IPMT('STEP 3 - Edit Project Data'!B$94,C217,'STEP 3 - Edit Project Data'!B$93,'STEP 3 - Edit Project Data'!B$92*'STEP 3 - Edit Project Data'!B$64),0)</f>
        <v>0</v>
      </c>
      <c r="E217" s="57">
        <f>IF(C217&lt;='STEP 3 - Edit Project Data'!B$93,-PPMT('STEP 3 - Edit Project Data'!B$94,C217,'STEP 3 - Edit Project Data'!B$93,'STEP 3 - Edit Project Data'!B$64*'STEP 3 - Edit Project Data'!B$92),0)</f>
        <v>0</v>
      </c>
      <c r="F217" s="57">
        <f t="shared" si="75"/>
        <v>0</v>
      </c>
      <c r="H217">
        <v>16</v>
      </c>
      <c r="I217" s="57">
        <f>IF(H217&lt;='STEP 3 - Edit Project Data'!B$100,-ISPMT('STEP 3 - Edit Project Data'!B$99,H217,'STEP 3 - Edit Project Data'!B$100,'STEP 3 - Edit Project Data'!B$64*'STEP 3 - Edit Project Data'!B$96*'STEP 3 - Edit Project Data'!B$97),0)</f>
        <v>0</v>
      </c>
      <c r="J217" s="57">
        <f>IF(H217&lt;='STEP 3 - Edit Project Data'!B$100,-PPMT('STEP 3 - Edit Project Data'!B$99,H217,'STEP 3 - Edit Project Data'!B$100,'STEP 3 - Edit Project Data'!B$96*'STEP 3 - Edit Project Data'!B$64*'STEP 3 - Edit Project Data'!B$97),0)</f>
        <v>0</v>
      </c>
      <c r="K217" s="57">
        <f t="shared" si="76"/>
        <v>0</v>
      </c>
      <c r="M217">
        <v>16</v>
      </c>
      <c r="N217" s="57">
        <f>IF(M217&lt;='STEP 3 - Edit Project Data'!$B$100,-IPMT('STEP 3 - Edit Project Data'!$B$99,M217,'STEP 3 - Edit Project Data'!$B$100,'STEP 3 - Edit Project Data'!$B$64*'STEP 3 - Edit Project Data'!$B$96*'STEP 3 - Edit Project Data'!$B$98),0)</f>
        <v>0</v>
      </c>
      <c r="O217" s="57">
        <f>IF(M217&lt;='STEP 3 - Edit Project Data'!$B$100,-PPMT('STEP 3 - Edit Project Data'!$B$99,M217,'STEP 3 - Edit Project Data'!$B$100,'STEP 3 - Edit Project Data'!$B$96*'STEP 3 - Edit Project Data'!$B$64*'STEP 3 - Edit Project Data'!$B$98),0)</f>
        <v>0</v>
      </c>
      <c r="P217" s="57">
        <f t="shared" si="77"/>
        <v>0</v>
      </c>
    </row>
    <row r="218" spans="3:16" x14ac:dyDescent="0.15">
      <c r="C218">
        <v>17</v>
      </c>
      <c r="D218" s="57">
        <f>IF(C218&lt;='STEP 3 - Edit Project Data'!B$93,-IPMT('STEP 3 - Edit Project Data'!B$94,C218,'STEP 3 - Edit Project Data'!B$93,'STEP 3 - Edit Project Data'!B$92*'STEP 3 - Edit Project Data'!B$64),0)</f>
        <v>0</v>
      </c>
      <c r="E218" s="57">
        <f>IF(C218&lt;='STEP 3 - Edit Project Data'!B$93,-PPMT('STEP 3 - Edit Project Data'!B$94,C218,'STEP 3 - Edit Project Data'!B$93,'STEP 3 - Edit Project Data'!B$64*'STEP 3 - Edit Project Data'!B$92),0)</f>
        <v>0</v>
      </c>
      <c r="F218" s="57">
        <f t="shared" si="75"/>
        <v>0</v>
      </c>
      <c r="H218">
        <v>17</v>
      </c>
      <c r="I218" s="57">
        <f>IF(H218&lt;='STEP 3 - Edit Project Data'!B$100,-ISPMT('STEP 3 - Edit Project Data'!B$99,H218,'STEP 3 - Edit Project Data'!B$100,'STEP 3 - Edit Project Data'!B$64*'STEP 3 - Edit Project Data'!B$96*'STEP 3 - Edit Project Data'!B$97),0)</f>
        <v>0</v>
      </c>
      <c r="J218" s="57">
        <f>IF(H218&lt;='STEP 3 - Edit Project Data'!B$100,-PPMT('STEP 3 - Edit Project Data'!B$99,H218,'STEP 3 - Edit Project Data'!B$100,'STEP 3 - Edit Project Data'!B$96*'STEP 3 - Edit Project Data'!B$64*'STEP 3 - Edit Project Data'!B$97),0)</f>
        <v>0</v>
      </c>
      <c r="K218" s="57">
        <f t="shared" si="76"/>
        <v>0</v>
      </c>
      <c r="M218">
        <v>17</v>
      </c>
      <c r="N218" s="57">
        <f>IF(M218&lt;='STEP 3 - Edit Project Data'!$B$100,-IPMT('STEP 3 - Edit Project Data'!$B$99,M218,'STEP 3 - Edit Project Data'!$B$100,'STEP 3 - Edit Project Data'!$B$64*'STEP 3 - Edit Project Data'!$B$96*'STEP 3 - Edit Project Data'!$B$98),0)</f>
        <v>0</v>
      </c>
      <c r="O218" s="57">
        <f>IF(M218&lt;='STEP 3 - Edit Project Data'!$B$100,-PPMT('STEP 3 - Edit Project Data'!$B$99,M218,'STEP 3 - Edit Project Data'!$B$100,'STEP 3 - Edit Project Data'!$B$96*'STEP 3 - Edit Project Data'!$B$64*'STEP 3 - Edit Project Data'!$B$98),0)</f>
        <v>0</v>
      </c>
      <c r="P218" s="57">
        <f t="shared" si="77"/>
        <v>0</v>
      </c>
    </row>
    <row r="219" spans="3:16" x14ac:dyDescent="0.15">
      <c r="C219">
        <v>18</v>
      </c>
      <c r="D219" s="57">
        <f>IF(C219&lt;='STEP 3 - Edit Project Data'!B$93,-IPMT('STEP 3 - Edit Project Data'!B$94,C219,'STEP 3 - Edit Project Data'!B$93,'STEP 3 - Edit Project Data'!B$92*'STEP 3 - Edit Project Data'!B$64),0)</f>
        <v>0</v>
      </c>
      <c r="E219" s="57">
        <f>IF(C219&lt;='STEP 3 - Edit Project Data'!B$93,-PPMT('STEP 3 - Edit Project Data'!B$94,C219,'STEP 3 - Edit Project Data'!B$93,'STEP 3 - Edit Project Data'!B$64*'STEP 3 - Edit Project Data'!B$92),0)</f>
        <v>0</v>
      </c>
      <c r="F219" s="57">
        <f t="shared" si="75"/>
        <v>0</v>
      </c>
      <c r="H219">
        <v>18</v>
      </c>
      <c r="I219" s="57">
        <f>IF(H219&lt;='STEP 3 - Edit Project Data'!B$100,-ISPMT('STEP 3 - Edit Project Data'!B$99,H219,'STEP 3 - Edit Project Data'!B$100,'STEP 3 - Edit Project Data'!B$64*'STEP 3 - Edit Project Data'!B$96*'STEP 3 - Edit Project Data'!B$97),0)</f>
        <v>0</v>
      </c>
      <c r="J219" s="57">
        <f>IF(H219&lt;='STEP 3 - Edit Project Data'!B$100,-PPMT('STEP 3 - Edit Project Data'!B$99,H219,'STEP 3 - Edit Project Data'!B$100,'STEP 3 - Edit Project Data'!B$96*'STEP 3 - Edit Project Data'!B$64*'STEP 3 - Edit Project Data'!B$97),0)</f>
        <v>0</v>
      </c>
      <c r="K219" s="57">
        <f t="shared" si="76"/>
        <v>0</v>
      </c>
      <c r="M219">
        <v>18</v>
      </c>
      <c r="N219" s="57">
        <f>IF(M219&lt;='STEP 3 - Edit Project Data'!$B$100,-IPMT('STEP 3 - Edit Project Data'!$B$99,M219,'STEP 3 - Edit Project Data'!$B$100,'STEP 3 - Edit Project Data'!$B$64*'STEP 3 - Edit Project Data'!$B$96*'STEP 3 - Edit Project Data'!$B$98),0)</f>
        <v>0</v>
      </c>
      <c r="O219" s="57">
        <f>IF(M219&lt;='STEP 3 - Edit Project Data'!$B$100,-PPMT('STEP 3 - Edit Project Data'!$B$99,M219,'STEP 3 - Edit Project Data'!$B$100,'STEP 3 - Edit Project Data'!$B$96*'STEP 3 - Edit Project Data'!$B$64*'STEP 3 - Edit Project Data'!$B$98),0)</f>
        <v>0</v>
      </c>
      <c r="P219" s="57">
        <f t="shared" si="77"/>
        <v>0</v>
      </c>
    </row>
    <row r="220" spans="3:16" x14ac:dyDescent="0.15">
      <c r="C220">
        <v>19</v>
      </c>
      <c r="D220" s="57">
        <f>IF(C220&lt;='STEP 3 - Edit Project Data'!B$93,-IPMT('STEP 3 - Edit Project Data'!B$94,C220,'STEP 3 - Edit Project Data'!B$93,'STEP 3 - Edit Project Data'!B$92*'STEP 3 - Edit Project Data'!B$64),0)</f>
        <v>0</v>
      </c>
      <c r="E220" s="57">
        <f>IF(C220&lt;='STEP 3 - Edit Project Data'!B$93,-PPMT('STEP 3 - Edit Project Data'!B$94,C220,'STEP 3 - Edit Project Data'!B$93,'STEP 3 - Edit Project Data'!B$64*'STEP 3 - Edit Project Data'!B$92),0)</f>
        <v>0</v>
      </c>
      <c r="F220" s="57">
        <f t="shared" si="75"/>
        <v>0</v>
      </c>
      <c r="H220">
        <v>19</v>
      </c>
      <c r="I220" s="57">
        <f>IF(H220&lt;='STEP 3 - Edit Project Data'!B$100,-ISPMT('STEP 3 - Edit Project Data'!B$99,H220,'STEP 3 - Edit Project Data'!B$100,'STEP 3 - Edit Project Data'!B$64*'STEP 3 - Edit Project Data'!B$96*'STEP 3 - Edit Project Data'!B$97),0)</f>
        <v>0</v>
      </c>
      <c r="J220" s="57">
        <f>IF(H220&lt;='STEP 3 - Edit Project Data'!B$100,-PPMT('STEP 3 - Edit Project Data'!B$99,H220,'STEP 3 - Edit Project Data'!B$100,'STEP 3 - Edit Project Data'!B$96*'STEP 3 - Edit Project Data'!B$64*'STEP 3 - Edit Project Data'!B$97),0)</f>
        <v>0</v>
      </c>
      <c r="K220" s="57">
        <f t="shared" si="76"/>
        <v>0</v>
      </c>
      <c r="M220">
        <v>19</v>
      </c>
      <c r="N220" s="57">
        <f>IF(M220&lt;='STEP 3 - Edit Project Data'!$B$100,-IPMT('STEP 3 - Edit Project Data'!$B$99,M220,'STEP 3 - Edit Project Data'!$B$100,'STEP 3 - Edit Project Data'!$B$64*'STEP 3 - Edit Project Data'!$B$96*'STEP 3 - Edit Project Data'!$B$98),0)</f>
        <v>0</v>
      </c>
      <c r="O220" s="57">
        <f>IF(M220&lt;='STEP 3 - Edit Project Data'!$B$100,-PPMT('STEP 3 - Edit Project Data'!$B$99,M220,'STEP 3 - Edit Project Data'!$B$100,'STEP 3 - Edit Project Data'!$B$96*'STEP 3 - Edit Project Data'!$B$64*'STEP 3 - Edit Project Data'!$B$98),0)</f>
        <v>0</v>
      </c>
      <c r="P220" s="57">
        <f t="shared" si="77"/>
        <v>0</v>
      </c>
    </row>
    <row r="221" spans="3:16" x14ac:dyDescent="0.15">
      <c r="C221">
        <v>20</v>
      </c>
      <c r="D221" s="57">
        <f>IF(C221&lt;='STEP 3 - Edit Project Data'!B$93,-IPMT('STEP 3 - Edit Project Data'!B$94,C221,'STEP 3 - Edit Project Data'!B$93,'STEP 3 - Edit Project Data'!B$92*'STEP 3 - Edit Project Data'!B$64),0)</f>
        <v>0</v>
      </c>
      <c r="E221" s="57">
        <f>IF(C221&lt;='STEP 3 - Edit Project Data'!B$93,-PPMT('STEP 3 - Edit Project Data'!B$94,C221,'STEP 3 - Edit Project Data'!B$93,'STEP 3 - Edit Project Data'!B$64*'STEP 3 - Edit Project Data'!B$92),0)</f>
        <v>0</v>
      </c>
      <c r="F221" s="57">
        <f t="shared" si="75"/>
        <v>0</v>
      </c>
      <c r="H221">
        <v>20</v>
      </c>
      <c r="I221" s="57">
        <f>IF(H221&lt;='STEP 3 - Edit Project Data'!B$100,-ISPMT('STEP 3 - Edit Project Data'!B$99,H221,'STEP 3 - Edit Project Data'!B$100,'STEP 3 - Edit Project Data'!B$64*'STEP 3 - Edit Project Data'!B$96*'STEP 3 - Edit Project Data'!B$97),0)</f>
        <v>0</v>
      </c>
      <c r="J221" s="57">
        <f>IF(H221&lt;='STEP 3 - Edit Project Data'!B$100,-PPMT('STEP 3 - Edit Project Data'!B$99,H221,'STEP 3 - Edit Project Data'!B$100,'STEP 3 - Edit Project Data'!B$96*'STEP 3 - Edit Project Data'!B$64*'STEP 3 - Edit Project Data'!B$97),0)</f>
        <v>0</v>
      </c>
      <c r="K221" s="57">
        <f t="shared" si="76"/>
        <v>0</v>
      </c>
      <c r="M221">
        <v>20</v>
      </c>
      <c r="N221" s="57">
        <f>IF(M221&lt;='STEP 3 - Edit Project Data'!$B$100,-IPMT('STEP 3 - Edit Project Data'!$B$99,M221,'STEP 3 - Edit Project Data'!$B$100,'STEP 3 - Edit Project Data'!$B$64*'STEP 3 - Edit Project Data'!$B$96*'STEP 3 - Edit Project Data'!$B$98),0)</f>
        <v>0</v>
      </c>
      <c r="O221" s="57">
        <f>IF(M221&lt;='STEP 3 - Edit Project Data'!$B$100,-PPMT('STEP 3 - Edit Project Data'!$B$99,M221,'STEP 3 - Edit Project Data'!$B$100,'STEP 3 - Edit Project Data'!$B$96*'STEP 3 - Edit Project Data'!$B$64*'STEP 3 - Edit Project Data'!$B$98),0)</f>
        <v>0</v>
      </c>
      <c r="P221" s="57">
        <f t="shared" si="77"/>
        <v>0</v>
      </c>
    </row>
    <row r="222" spans="3:16" x14ac:dyDescent="0.15">
      <c r="C222">
        <v>21</v>
      </c>
      <c r="D222" s="57">
        <f>IF(C222&lt;='STEP 3 - Edit Project Data'!B$93,-IPMT('STEP 3 - Edit Project Data'!B$94,C222,'STEP 3 - Edit Project Data'!B$93,'STEP 3 - Edit Project Data'!B$92*'STEP 3 - Edit Project Data'!B$64),0)</f>
        <v>0</v>
      </c>
      <c r="E222" s="57">
        <f>IF(C222&lt;='STEP 3 - Edit Project Data'!B$93,-PPMT('STEP 3 - Edit Project Data'!B$94,C222,'STEP 3 - Edit Project Data'!B$93,'STEP 3 - Edit Project Data'!B$64*'STEP 3 - Edit Project Data'!B$92),0)</f>
        <v>0</v>
      </c>
      <c r="F222" s="57">
        <f t="shared" si="75"/>
        <v>0</v>
      </c>
      <c r="H222">
        <v>21</v>
      </c>
      <c r="I222" s="57">
        <f>IF(H222&lt;='STEP 3 - Edit Project Data'!B$100,-ISPMT('STEP 3 - Edit Project Data'!B$99,H222,'STEP 3 - Edit Project Data'!B$100,'STEP 3 - Edit Project Data'!B$64*'STEP 3 - Edit Project Data'!B$96*'STEP 3 - Edit Project Data'!B$97),0)</f>
        <v>0</v>
      </c>
      <c r="J222" s="57">
        <f>IF(H222&lt;='STEP 3 - Edit Project Data'!B$100,-PPMT('STEP 3 - Edit Project Data'!B$99,H222,'STEP 3 - Edit Project Data'!B$100,'STEP 3 - Edit Project Data'!B$96*'STEP 3 - Edit Project Data'!B$64*'STEP 3 - Edit Project Data'!B$97),0)</f>
        <v>0</v>
      </c>
      <c r="K222" s="57">
        <f t="shared" si="76"/>
        <v>0</v>
      </c>
      <c r="M222">
        <v>21</v>
      </c>
      <c r="N222" s="57">
        <f>IF(M222&lt;='STEP 3 - Edit Project Data'!$B$100,-IPMT('STEP 3 - Edit Project Data'!$B$99,M222,'STEP 3 - Edit Project Data'!$B$100,'STEP 3 - Edit Project Data'!$B$64*'STEP 3 - Edit Project Data'!$B$96*'STEP 3 - Edit Project Data'!$B$98),0)</f>
        <v>0</v>
      </c>
      <c r="O222" s="57">
        <f>IF(M222&lt;='STEP 3 - Edit Project Data'!$B$100,-PPMT('STEP 3 - Edit Project Data'!$B$99,M222,'STEP 3 - Edit Project Data'!$B$100,'STEP 3 - Edit Project Data'!$B$96*'STEP 3 - Edit Project Data'!$B$64*'STEP 3 - Edit Project Data'!$B$98),0)</f>
        <v>0</v>
      </c>
      <c r="P222" s="57">
        <f t="shared" si="77"/>
        <v>0</v>
      </c>
    </row>
    <row r="223" spans="3:16" x14ac:dyDescent="0.15">
      <c r="C223">
        <v>22</v>
      </c>
      <c r="D223" s="57">
        <f>IF(C223&lt;='STEP 3 - Edit Project Data'!B$93,-IPMT('STEP 3 - Edit Project Data'!B$94,C223,'STEP 3 - Edit Project Data'!B$93,'STEP 3 - Edit Project Data'!B$92*'STEP 3 - Edit Project Data'!B$64),0)</f>
        <v>0</v>
      </c>
      <c r="E223" s="57">
        <f>IF(C223&lt;='STEP 3 - Edit Project Data'!B$93,-PPMT('STEP 3 - Edit Project Data'!B$94,C223,'STEP 3 - Edit Project Data'!B$93,'STEP 3 - Edit Project Data'!B$64*'STEP 3 - Edit Project Data'!B$92),0)</f>
        <v>0</v>
      </c>
      <c r="F223" s="57">
        <f t="shared" si="75"/>
        <v>0</v>
      </c>
      <c r="H223">
        <v>22</v>
      </c>
      <c r="I223" s="57">
        <f>IF(H223&lt;='STEP 3 - Edit Project Data'!B$100,-ISPMT('STEP 3 - Edit Project Data'!B$99,H223,'STEP 3 - Edit Project Data'!B$100,'STEP 3 - Edit Project Data'!B$64*'STEP 3 - Edit Project Data'!B$96*'STEP 3 - Edit Project Data'!B$97),0)</f>
        <v>0</v>
      </c>
      <c r="J223" s="57">
        <f>IF(H223&lt;='STEP 3 - Edit Project Data'!B$100,-PPMT('STEP 3 - Edit Project Data'!B$99,H223,'STEP 3 - Edit Project Data'!B$100,'STEP 3 - Edit Project Data'!B$96*'STEP 3 - Edit Project Data'!B$64*'STEP 3 - Edit Project Data'!B$97),0)</f>
        <v>0</v>
      </c>
      <c r="K223" s="57">
        <f t="shared" si="76"/>
        <v>0</v>
      </c>
      <c r="M223">
        <v>22</v>
      </c>
      <c r="N223" s="57">
        <f>IF(M223&lt;='STEP 3 - Edit Project Data'!$B$100,-IPMT('STEP 3 - Edit Project Data'!$B$99,M223,'STEP 3 - Edit Project Data'!$B$100,'STEP 3 - Edit Project Data'!$B$64*'STEP 3 - Edit Project Data'!$B$96*'STEP 3 - Edit Project Data'!$B$98),0)</f>
        <v>0</v>
      </c>
      <c r="O223" s="57">
        <f>IF(M223&lt;='STEP 3 - Edit Project Data'!$B$100,-PPMT('STEP 3 - Edit Project Data'!$B$99,M223,'STEP 3 - Edit Project Data'!$B$100,'STEP 3 - Edit Project Data'!$B$96*'STEP 3 - Edit Project Data'!$B$64*'STEP 3 - Edit Project Data'!$B$98),0)</f>
        <v>0</v>
      </c>
      <c r="P223" s="57">
        <f t="shared" si="77"/>
        <v>0</v>
      </c>
    </row>
    <row r="224" spans="3:16" x14ac:dyDescent="0.15">
      <c r="C224">
        <v>23</v>
      </c>
      <c r="D224" s="57">
        <f>IF(C224&lt;='STEP 3 - Edit Project Data'!B$93,-IPMT('STEP 3 - Edit Project Data'!B$94,C224,'STEP 3 - Edit Project Data'!B$93,'STEP 3 - Edit Project Data'!B$92*'STEP 3 - Edit Project Data'!B$64),0)</f>
        <v>0</v>
      </c>
      <c r="E224" s="57">
        <f>IF(C224&lt;='STEP 3 - Edit Project Data'!B$93,-PPMT('STEP 3 - Edit Project Data'!B$94,C224,'STEP 3 - Edit Project Data'!B$93,'STEP 3 - Edit Project Data'!B$64*'STEP 3 - Edit Project Data'!B$92),0)</f>
        <v>0</v>
      </c>
      <c r="F224" s="57">
        <f t="shared" si="75"/>
        <v>0</v>
      </c>
      <c r="H224">
        <v>23</v>
      </c>
      <c r="I224" s="57">
        <f>IF(H224&lt;='STEP 3 - Edit Project Data'!B$100,-ISPMT('STEP 3 - Edit Project Data'!B$99,H224,'STEP 3 - Edit Project Data'!B$100,'STEP 3 - Edit Project Data'!B$64*'STEP 3 - Edit Project Data'!B$96*'STEP 3 - Edit Project Data'!B$97),0)</f>
        <v>0</v>
      </c>
      <c r="J224" s="57">
        <f>IF(H224&lt;='STEP 3 - Edit Project Data'!B$100,-PPMT('STEP 3 - Edit Project Data'!B$99,H224,'STEP 3 - Edit Project Data'!B$100,'STEP 3 - Edit Project Data'!B$96*'STEP 3 - Edit Project Data'!B$64*'STEP 3 - Edit Project Data'!B$97),0)</f>
        <v>0</v>
      </c>
      <c r="K224" s="57">
        <f t="shared" si="76"/>
        <v>0</v>
      </c>
      <c r="M224">
        <v>23</v>
      </c>
      <c r="N224" s="57">
        <f>IF(M224&lt;='STEP 3 - Edit Project Data'!$B$100,-IPMT('STEP 3 - Edit Project Data'!$B$99,M224,'STEP 3 - Edit Project Data'!$B$100,'STEP 3 - Edit Project Data'!$B$64*'STEP 3 - Edit Project Data'!$B$96*'STEP 3 - Edit Project Data'!$B$98),0)</f>
        <v>0</v>
      </c>
      <c r="O224" s="57">
        <f>IF(M224&lt;='STEP 3 - Edit Project Data'!$B$100,-PPMT('STEP 3 - Edit Project Data'!$B$99,M224,'STEP 3 - Edit Project Data'!$B$100,'STEP 3 - Edit Project Data'!$B$96*'STEP 3 - Edit Project Data'!$B$64*'STEP 3 - Edit Project Data'!$B$98),0)</f>
        <v>0</v>
      </c>
      <c r="P224" s="57">
        <f t="shared" si="77"/>
        <v>0</v>
      </c>
    </row>
    <row r="225" spans="3:16" x14ac:dyDescent="0.15">
      <c r="C225">
        <v>24</v>
      </c>
      <c r="D225" s="57">
        <f>IF(C225&lt;='STEP 3 - Edit Project Data'!B$93,-IPMT('STEP 3 - Edit Project Data'!B$94,C225,'STEP 3 - Edit Project Data'!B$93,'STEP 3 - Edit Project Data'!B$92*'STEP 3 - Edit Project Data'!B$64),0)</f>
        <v>0</v>
      </c>
      <c r="E225" s="57">
        <f>IF(C225&lt;='STEP 3 - Edit Project Data'!B$93,-PPMT('STEP 3 - Edit Project Data'!B$94,C225,'STEP 3 - Edit Project Data'!B$93,'STEP 3 - Edit Project Data'!B$64*'STEP 3 - Edit Project Data'!B$92),0)</f>
        <v>0</v>
      </c>
      <c r="F225" s="57">
        <f t="shared" si="75"/>
        <v>0</v>
      </c>
      <c r="H225">
        <v>24</v>
      </c>
      <c r="I225" s="57">
        <f>IF(H225&lt;='STEP 3 - Edit Project Data'!B$100,-ISPMT('STEP 3 - Edit Project Data'!B$99,H225,'STEP 3 - Edit Project Data'!B$100,'STEP 3 - Edit Project Data'!B$64*'STEP 3 - Edit Project Data'!B$96*'STEP 3 - Edit Project Data'!B$97),0)</f>
        <v>0</v>
      </c>
      <c r="J225" s="57">
        <f>IF(H225&lt;='STEP 3 - Edit Project Data'!B$100,-PPMT('STEP 3 - Edit Project Data'!B$99,H225,'STEP 3 - Edit Project Data'!B$100,'STEP 3 - Edit Project Data'!B$96*'STEP 3 - Edit Project Data'!B$64*'STEP 3 - Edit Project Data'!B$97),0)</f>
        <v>0</v>
      </c>
      <c r="K225" s="57">
        <f t="shared" si="76"/>
        <v>0</v>
      </c>
      <c r="M225">
        <v>24</v>
      </c>
      <c r="N225" s="57">
        <f>IF(M225&lt;='STEP 3 - Edit Project Data'!$B$100,-IPMT('STEP 3 - Edit Project Data'!$B$99,M225,'STEP 3 - Edit Project Data'!$B$100,'STEP 3 - Edit Project Data'!$B$64*'STEP 3 - Edit Project Data'!$B$96*'STEP 3 - Edit Project Data'!$B$98),0)</f>
        <v>0</v>
      </c>
      <c r="O225" s="57">
        <f>IF(M225&lt;='STEP 3 - Edit Project Data'!$B$100,-PPMT('STEP 3 - Edit Project Data'!$B$99,M225,'STEP 3 - Edit Project Data'!$B$100,'STEP 3 - Edit Project Data'!$B$96*'STEP 3 - Edit Project Data'!$B$64*'STEP 3 - Edit Project Data'!$B$98),0)</f>
        <v>0</v>
      </c>
      <c r="P225" s="57">
        <f t="shared" si="77"/>
        <v>0</v>
      </c>
    </row>
    <row r="226" spans="3:16" x14ac:dyDescent="0.15">
      <c r="C226">
        <v>25</v>
      </c>
      <c r="D226" s="57">
        <f>IF(C226&lt;='STEP 3 - Edit Project Data'!B$93,-IPMT('STEP 3 - Edit Project Data'!B$94,C226,'STEP 3 - Edit Project Data'!B$93,'STEP 3 - Edit Project Data'!B$92*'STEP 3 - Edit Project Data'!B$64),0)</f>
        <v>0</v>
      </c>
      <c r="E226" s="57">
        <f>IF(C226&lt;='STEP 3 - Edit Project Data'!B$93,-PPMT('STEP 3 - Edit Project Data'!B$94,C226,'STEP 3 - Edit Project Data'!B$93,'STEP 3 - Edit Project Data'!B$64*'STEP 3 - Edit Project Data'!B$92),0)</f>
        <v>0</v>
      </c>
      <c r="F226" s="57">
        <f t="shared" si="75"/>
        <v>0</v>
      </c>
      <c r="H226">
        <v>25</v>
      </c>
      <c r="I226" s="57">
        <f>IF(H226&lt;='STEP 3 - Edit Project Data'!B$100,-ISPMT('STEP 3 - Edit Project Data'!B$99,H226,'STEP 3 - Edit Project Data'!B$100,'STEP 3 - Edit Project Data'!B$64*'STEP 3 - Edit Project Data'!B$96*'STEP 3 - Edit Project Data'!B$97),0)</f>
        <v>0</v>
      </c>
      <c r="J226" s="57">
        <f>IF(H226&lt;='STEP 3 - Edit Project Data'!B$100,-PPMT('STEP 3 - Edit Project Data'!B$99,H226,'STEP 3 - Edit Project Data'!B$100,'STEP 3 - Edit Project Data'!B$96*'STEP 3 - Edit Project Data'!B$64*'STEP 3 - Edit Project Data'!B$97),0)</f>
        <v>0</v>
      </c>
      <c r="K226" s="57">
        <f t="shared" si="76"/>
        <v>0</v>
      </c>
      <c r="M226">
        <v>25</v>
      </c>
      <c r="N226" s="57">
        <f>IF(M226&lt;='STEP 3 - Edit Project Data'!$B$100,-IPMT('STEP 3 - Edit Project Data'!$B$99,M226,'STEP 3 - Edit Project Data'!$B$100,'STEP 3 - Edit Project Data'!$B$64*'STEP 3 - Edit Project Data'!$B$96*'STEP 3 - Edit Project Data'!$B$98),0)</f>
        <v>0</v>
      </c>
      <c r="O226" s="57">
        <f>IF(M226&lt;='STEP 3 - Edit Project Data'!$B$100,-PPMT('STEP 3 - Edit Project Data'!$B$99,M226,'STEP 3 - Edit Project Data'!$B$100,'STEP 3 - Edit Project Data'!$B$96*'STEP 3 - Edit Project Data'!$B$64*'STEP 3 - Edit Project Data'!$B$98),0)</f>
        <v>0</v>
      </c>
      <c r="P226" s="57">
        <f t="shared" si="77"/>
        <v>0</v>
      </c>
    </row>
    <row r="227" spans="3:16" x14ac:dyDescent="0.15">
      <c r="C227">
        <v>26</v>
      </c>
      <c r="D227" s="57">
        <f>IF(C227&lt;='STEP 3 - Edit Project Data'!B$93,-IPMT('STEP 3 - Edit Project Data'!B$94,C227,'STEP 3 - Edit Project Data'!B$93,'STEP 3 - Edit Project Data'!B$92*'STEP 3 - Edit Project Data'!B$64),0)</f>
        <v>0</v>
      </c>
      <c r="E227" s="57">
        <f>IF(C227&lt;='STEP 3 - Edit Project Data'!B$93,-PPMT('STEP 3 - Edit Project Data'!B$94,C227,'STEP 3 - Edit Project Data'!B$93,'STEP 3 - Edit Project Data'!B$64*'STEP 3 - Edit Project Data'!B$92),0)</f>
        <v>0</v>
      </c>
      <c r="F227" s="57">
        <f t="shared" si="75"/>
        <v>0</v>
      </c>
      <c r="H227">
        <v>26</v>
      </c>
      <c r="I227" s="57">
        <f>IF(H227&lt;='STEP 3 - Edit Project Data'!B$100,-ISPMT('STEP 3 - Edit Project Data'!B$99,H227,'STEP 3 - Edit Project Data'!B$100,'STEP 3 - Edit Project Data'!B$64*'STEP 3 - Edit Project Data'!B$96*'STEP 3 - Edit Project Data'!B$97),0)</f>
        <v>0</v>
      </c>
      <c r="J227" s="57">
        <f>IF(H227&lt;='STEP 3 - Edit Project Data'!B$100,-PPMT('STEP 3 - Edit Project Data'!B$99,H227,'STEP 3 - Edit Project Data'!B$100,'STEP 3 - Edit Project Data'!B$96*'STEP 3 - Edit Project Data'!B$64*'STEP 3 - Edit Project Data'!B$97),0)</f>
        <v>0</v>
      </c>
      <c r="K227" s="57">
        <f t="shared" si="76"/>
        <v>0</v>
      </c>
      <c r="M227">
        <v>26</v>
      </c>
      <c r="N227" s="57">
        <f>IF(M227&lt;='STEP 3 - Edit Project Data'!$B$100,-IPMT('STEP 3 - Edit Project Data'!$B$99,M227,'STEP 3 - Edit Project Data'!$B$100,'STEP 3 - Edit Project Data'!$B$64*'STEP 3 - Edit Project Data'!$B$96*'STEP 3 - Edit Project Data'!$B$98),0)</f>
        <v>0</v>
      </c>
      <c r="O227" s="57">
        <f>IF(M227&lt;='STEP 3 - Edit Project Data'!$B$100,-PPMT('STEP 3 - Edit Project Data'!$B$99,M227,'STEP 3 - Edit Project Data'!$B$100,'STEP 3 - Edit Project Data'!$B$96*'STEP 3 - Edit Project Data'!$B$64*'STEP 3 - Edit Project Data'!$B$98),0)</f>
        <v>0</v>
      </c>
      <c r="P227" s="57">
        <f t="shared" si="77"/>
        <v>0</v>
      </c>
    </row>
    <row r="228" spans="3:16" x14ac:dyDescent="0.15">
      <c r="C228">
        <v>27</v>
      </c>
      <c r="D228" s="57">
        <f>IF(C228&lt;='STEP 3 - Edit Project Data'!B$93,-IPMT('STEP 3 - Edit Project Data'!B$94,C228,'STEP 3 - Edit Project Data'!B$93,'STEP 3 - Edit Project Data'!B$92*'STEP 3 - Edit Project Data'!B$64),0)</f>
        <v>0</v>
      </c>
      <c r="E228" s="57">
        <f>IF(C228&lt;='STEP 3 - Edit Project Data'!B$93,-PPMT('STEP 3 - Edit Project Data'!B$94,C228,'STEP 3 - Edit Project Data'!B$93,'STEP 3 - Edit Project Data'!B$64*'STEP 3 - Edit Project Data'!B$92),0)</f>
        <v>0</v>
      </c>
      <c r="F228" s="57">
        <f t="shared" si="75"/>
        <v>0</v>
      </c>
      <c r="H228">
        <v>27</v>
      </c>
      <c r="I228" s="57">
        <f>IF(H228&lt;='STEP 3 - Edit Project Data'!B$100,-ISPMT('STEP 3 - Edit Project Data'!B$99,H228,'STEP 3 - Edit Project Data'!B$100,'STEP 3 - Edit Project Data'!B$64*'STEP 3 - Edit Project Data'!B$96*'STEP 3 - Edit Project Data'!B$97),0)</f>
        <v>0</v>
      </c>
      <c r="J228" s="57">
        <f>IF(H228&lt;='STEP 3 - Edit Project Data'!B$100,-PPMT('STEP 3 - Edit Project Data'!B$99,H228,'STEP 3 - Edit Project Data'!B$100,'STEP 3 - Edit Project Data'!B$96*'STEP 3 - Edit Project Data'!B$64*'STEP 3 - Edit Project Data'!B$97),0)</f>
        <v>0</v>
      </c>
      <c r="K228" s="57">
        <f t="shared" si="76"/>
        <v>0</v>
      </c>
      <c r="M228">
        <v>27</v>
      </c>
      <c r="N228" s="57">
        <f>IF(M228&lt;='STEP 3 - Edit Project Data'!$B$100,-IPMT('STEP 3 - Edit Project Data'!$B$99,M228,'STEP 3 - Edit Project Data'!$B$100,'STEP 3 - Edit Project Data'!$B$64*'STEP 3 - Edit Project Data'!$B$96*'STEP 3 - Edit Project Data'!$B$98),0)</f>
        <v>0</v>
      </c>
      <c r="O228" s="57">
        <f>IF(M228&lt;='STEP 3 - Edit Project Data'!$B$100,-PPMT('STEP 3 - Edit Project Data'!$B$99,M228,'STEP 3 - Edit Project Data'!$B$100,'STEP 3 - Edit Project Data'!$B$96*'STEP 3 - Edit Project Data'!$B$64*'STEP 3 - Edit Project Data'!$B$98),0)</f>
        <v>0</v>
      </c>
      <c r="P228" s="57">
        <f t="shared" si="77"/>
        <v>0</v>
      </c>
    </row>
    <row r="229" spans="3:16" x14ac:dyDescent="0.15">
      <c r="C229">
        <v>28</v>
      </c>
      <c r="D229" s="57">
        <f>IF(C229&lt;='STEP 3 - Edit Project Data'!B$93,-IPMT('STEP 3 - Edit Project Data'!B$94,C229,'STEP 3 - Edit Project Data'!B$93,'STEP 3 - Edit Project Data'!B$92*'STEP 3 - Edit Project Data'!B$64),0)</f>
        <v>0</v>
      </c>
      <c r="E229" s="57">
        <f>IF(C229&lt;='STEP 3 - Edit Project Data'!B$93,-PPMT('STEP 3 - Edit Project Data'!B$94,C229,'STEP 3 - Edit Project Data'!B$93,'STEP 3 - Edit Project Data'!B$64*'STEP 3 - Edit Project Data'!B$92),0)</f>
        <v>0</v>
      </c>
      <c r="F229" s="57">
        <f t="shared" si="75"/>
        <v>0</v>
      </c>
      <c r="H229">
        <v>28</v>
      </c>
      <c r="I229" s="57">
        <f>IF(H229&lt;='STEP 3 - Edit Project Data'!B$100,-ISPMT('STEP 3 - Edit Project Data'!B$99,H229,'STEP 3 - Edit Project Data'!B$100,'STEP 3 - Edit Project Data'!B$64*'STEP 3 - Edit Project Data'!B$96*'STEP 3 - Edit Project Data'!B$97),0)</f>
        <v>0</v>
      </c>
      <c r="J229" s="57">
        <f>IF(H229&lt;='STEP 3 - Edit Project Data'!B$100,-PPMT('STEP 3 - Edit Project Data'!B$99,H229,'STEP 3 - Edit Project Data'!B$100,'STEP 3 - Edit Project Data'!B$96*'STEP 3 - Edit Project Data'!B$64*'STEP 3 - Edit Project Data'!B$97),0)</f>
        <v>0</v>
      </c>
      <c r="K229" s="57">
        <f t="shared" si="76"/>
        <v>0</v>
      </c>
      <c r="M229">
        <v>28</v>
      </c>
      <c r="N229" s="57">
        <f>IF(M229&lt;='STEP 3 - Edit Project Data'!$B$100,-IPMT('STEP 3 - Edit Project Data'!$B$99,M229,'STEP 3 - Edit Project Data'!$B$100,'STEP 3 - Edit Project Data'!$B$64*'STEP 3 - Edit Project Data'!$B$96*'STEP 3 - Edit Project Data'!$B$98),0)</f>
        <v>0</v>
      </c>
      <c r="O229" s="57">
        <f>IF(M229&lt;='STEP 3 - Edit Project Data'!$B$100,-PPMT('STEP 3 - Edit Project Data'!$B$99,M229,'STEP 3 - Edit Project Data'!$B$100,'STEP 3 - Edit Project Data'!$B$96*'STEP 3 - Edit Project Data'!$B$64*'STEP 3 - Edit Project Data'!$B$98),0)</f>
        <v>0</v>
      </c>
      <c r="P229" s="57">
        <f t="shared" si="77"/>
        <v>0</v>
      </c>
    </row>
    <row r="230" spans="3:16" x14ac:dyDescent="0.15">
      <c r="C230">
        <v>29</v>
      </c>
      <c r="D230" s="57">
        <f>IF(C230&lt;='STEP 3 - Edit Project Data'!B$93,-IPMT('STEP 3 - Edit Project Data'!B$94,C230,'STEP 3 - Edit Project Data'!B$93,'STEP 3 - Edit Project Data'!B$92*'STEP 3 - Edit Project Data'!B$64),0)</f>
        <v>0</v>
      </c>
      <c r="E230" s="57">
        <f>IF(C230&lt;='STEP 3 - Edit Project Data'!B$93,-PPMT('STEP 3 - Edit Project Data'!B$94,C230,'STEP 3 - Edit Project Data'!B$93,'STEP 3 - Edit Project Data'!B$64*'STEP 3 - Edit Project Data'!B$92),0)</f>
        <v>0</v>
      </c>
      <c r="F230" s="57">
        <f t="shared" si="75"/>
        <v>0</v>
      </c>
      <c r="H230">
        <v>29</v>
      </c>
      <c r="I230" s="57">
        <f>IF(H230&lt;='STEP 3 - Edit Project Data'!B$100,-ISPMT('STEP 3 - Edit Project Data'!B$99,H230,'STEP 3 - Edit Project Data'!B$100,'STEP 3 - Edit Project Data'!B$64*'STEP 3 - Edit Project Data'!B$96*'STEP 3 - Edit Project Data'!B$97),0)</f>
        <v>0</v>
      </c>
      <c r="J230" s="57">
        <f>IF(H230&lt;='STEP 3 - Edit Project Data'!B$100,-PPMT('STEP 3 - Edit Project Data'!B$99,H230,'STEP 3 - Edit Project Data'!B$100,'STEP 3 - Edit Project Data'!B$96*'STEP 3 - Edit Project Data'!B$64*'STEP 3 - Edit Project Data'!B$97),0)</f>
        <v>0</v>
      </c>
      <c r="K230" s="57">
        <f t="shared" si="76"/>
        <v>0</v>
      </c>
      <c r="M230">
        <v>29</v>
      </c>
      <c r="N230" s="57">
        <f>IF(M230&lt;='STEP 3 - Edit Project Data'!$B$100,-IPMT('STEP 3 - Edit Project Data'!$B$99,M230,'STEP 3 - Edit Project Data'!$B$100,'STEP 3 - Edit Project Data'!$B$64*'STEP 3 - Edit Project Data'!$B$96*'STEP 3 - Edit Project Data'!$B$98),0)</f>
        <v>0</v>
      </c>
      <c r="O230" s="57">
        <f>IF(M230&lt;='STEP 3 - Edit Project Data'!$B$100,-PPMT('STEP 3 - Edit Project Data'!$B$99,M230,'STEP 3 - Edit Project Data'!$B$100,'STEP 3 - Edit Project Data'!$B$96*'STEP 3 - Edit Project Data'!$B$64*'STEP 3 - Edit Project Data'!$B$98),0)</f>
        <v>0</v>
      </c>
      <c r="P230" s="57">
        <f t="shared" si="77"/>
        <v>0</v>
      </c>
    </row>
    <row r="231" spans="3:16" x14ac:dyDescent="0.15">
      <c r="C231">
        <v>30</v>
      </c>
      <c r="D231" s="57">
        <f>IF(C231&lt;='STEP 3 - Edit Project Data'!B$93,-IPMT('STEP 3 - Edit Project Data'!B$94,C231,'STEP 3 - Edit Project Data'!B$93,'STEP 3 - Edit Project Data'!B$92*'STEP 3 - Edit Project Data'!B$64),0)</f>
        <v>0</v>
      </c>
      <c r="E231" s="57">
        <f>IF(C231&lt;='STEP 3 - Edit Project Data'!B$93,-PPMT('STEP 3 - Edit Project Data'!B$94,C231,'STEP 3 - Edit Project Data'!B$93,'STEP 3 - Edit Project Data'!B$64*'STEP 3 - Edit Project Data'!B$92),0)</f>
        <v>0</v>
      </c>
      <c r="F231" s="57">
        <f t="shared" si="75"/>
        <v>0</v>
      </c>
      <c r="H231">
        <v>30</v>
      </c>
      <c r="I231" s="57">
        <f>IF(H231&lt;='STEP 3 - Edit Project Data'!B$100,-ISPMT('STEP 3 - Edit Project Data'!B$99,H231,'STEP 3 - Edit Project Data'!B$100,'STEP 3 - Edit Project Data'!B$64*'STEP 3 - Edit Project Data'!B$96*'STEP 3 - Edit Project Data'!B$97),0)</f>
        <v>0</v>
      </c>
      <c r="J231" s="57">
        <f>IF(H231&lt;='STEP 3 - Edit Project Data'!B$100,-PPMT('STEP 3 - Edit Project Data'!B$99,H231,'STEP 3 - Edit Project Data'!B$100,'STEP 3 - Edit Project Data'!B$96*'STEP 3 - Edit Project Data'!B$64*'STEP 3 - Edit Project Data'!B$97),0)</f>
        <v>0</v>
      </c>
      <c r="K231" s="57">
        <f t="shared" si="76"/>
        <v>0</v>
      </c>
      <c r="M231">
        <v>30</v>
      </c>
      <c r="N231" s="57">
        <f>IF(M231&lt;='STEP 3 - Edit Project Data'!$B$100,-IPMT('STEP 3 - Edit Project Data'!$B$99,M231,'STEP 3 - Edit Project Data'!$B$100,'STEP 3 - Edit Project Data'!$B$64*'STEP 3 - Edit Project Data'!$B$96*'STEP 3 - Edit Project Data'!$B$98),0)</f>
        <v>0</v>
      </c>
      <c r="O231" s="57">
        <f>IF(M231&lt;='STEP 3 - Edit Project Data'!$B$100,-PPMT('STEP 3 - Edit Project Data'!$B$99,M231,'STEP 3 - Edit Project Data'!$B$100,'STEP 3 - Edit Project Data'!$B$96*'STEP 3 - Edit Project Data'!$B$64*'STEP 3 - Edit Project Data'!$B$98),0)</f>
        <v>0</v>
      </c>
      <c r="P231" s="57">
        <f t="shared" si="77"/>
        <v>0</v>
      </c>
    </row>
    <row r="232" spans="3:16" x14ac:dyDescent="0.15">
      <c r="C232" t="s">
        <v>16</v>
      </c>
      <c r="D232" s="57">
        <f>SUM(D202:D231)</f>
        <v>119985859.19536252</v>
      </c>
      <c r="E232" s="57">
        <f>SUM(E202:E231)</f>
        <v>317375539.98880923</v>
      </c>
      <c r="F232" s="57">
        <f t="shared" si="75"/>
        <v>437361399.18417174</v>
      </c>
      <c r="H232" t="s">
        <v>16</v>
      </c>
      <c r="I232" s="57">
        <f>SUM(I202:I231)</f>
        <v>0</v>
      </c>
      <c r="J232" s="57">
        <f>SUM(J202:J231)</f>
        <v>0</v>
      </c>
      <c r="K232" s="57">
        <f t="shared" si="76"/>
        <v>0</v>
      </c>
      <c r="M232" t="s">
        <v>16</v>
      </c>
      <c r="N232" s="57">
        <f>SUM(N202:N231)</f>
        <v>61082226.677044123</v>
      </c>
      <c r="O232" s="57">
        <f>SUM(O202:O231)</f>
        <v>79343884.997202292</v>
      </c>
      <c r="P232" s="57">
        <f t="shared" si="77"/>
        <v>140426111.67424643</v>
      </c>
    </row>
    <row r="233" spans="3:16" x14ac:dyDescent="0.15">
      <c r="C233" t="s">
        <v>250</v>
      </c>
      <c r="D233" s="57">
        <f>D232/'STEP 3 - Edit Project Data'!B93</f>
        <v>11998585.919536252</v>
      </c>
      <c r="E233" s="57">
        <f>E232/'STEP 3 - Edit Project Data'!B93</f>
        <v>31737553.998880923</v>
      </c>
      <c r="F233" s="57">
        <f t="shared" si="75"/>
        <v>43736139.918417171</v>
      </c>
      <c r="H233" t="s">
        <v>250</v>
      </c>
      <c r="I233" s="57">
        <f>I232/'STEP 3 - Edit Project Data'!B100</f>
        <v>0</v>
      </c>
      <c r="J233" s="57">
        <f>J232/'STEP 3 - Edit Project Data'!B100</f>
        <v>0</v>
      </c>
      <c r="K233" s="57">
        <f t="shared" si="76"/>
        <v>0</v>
      </c>
      <c r="M233" t="s">
        <v>250</v>
      </c>
      <c r="N233" s="57">
        <f>N232/'STEP 3 - Edit Project Data'!B100</f>
        <v>6108222.6677044127</v>
      </c>
      <c r="O233" s="57">
        <f>O232/'STEP 3 - Edit Project Data'!B100</f>
        <v>7934388.4997202288</v>
      </c>
      <c r="P233" s="57">
        <f t="shared" si="77"/>
        <v>14042611.167424642</v>
      </c>
    </row>
    <row r="235" spans="3:16" x14ac:dyDescent="0.15">
      <c r="N235" s="71"/>
    </row>
  </sheetData>
  <sheetProtection password="DFD3" sheet="1" objects="1" scenarios="1"/>
  <customSheetViews>
    <customSheetView guid="{55B80D82-F000-11D6-8735-C8E5A357943D}" showRuler="0">
      <selection activeCell="E10" sqref="E10"/>
      <pageMargins left="0.75" right="0.75" top="1" bottom="1" header="0.5" footer="0.5"/>
      <pageSetup orientation="portrait" horizontalDpi="0" verticalDpi="0" copies="0" r:id="rId1"/>
      <headerFooter alignWithMargins="0"/>
    </customSheetView>
  </customSheetViews>
  <phoneticPr fontId="0" type="noConversion"/>
  <pageMargins left="0.75" right="0.75" top="0.25" bottom="0.25" header="0" footer="0.25"/>
  <pageSetup scale="69" orientation="portrait" horizontalDpi="360" verticalDpi="0" r:id="rId2"/>
  <headerFooter alignWithMargins="0">
    <oddFooter>&amp;L&amp;D&amp;CWind Power Plant Economic Impact Model</oddFooter>
  </headerFooter>
  <rowBreaks count="1" manualBreakCount="1">
    <brk id="79" max="16383" man="1"/>
  </rowBreaks>
  <colBreaks count="2" manualBreakCount="2">
    <brk id="24" max="1048575" man="1"/>
    <brk id="30" max="1048575" man="1"/>
  </colBreak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1F07A-2981-0143-BDCA-75F6A2A215FA}">
  <sheetPr codeName="Sheet14"/>
  <dimension ref="A1:B17"/>
  <sheetViews>
    <sheetView workbookViewId="0">
      <selection activeCell="L19" sqref="L19"/>
    </sheetView>
  </sheetViews>
  <sheetFormatPr baseColWidth="10" defaultColWidth="8.83203125" defaultRowHeight="13" x14ac:dyDescent="0.15"/>
  <cols>
    <col min="1" max="1" width="14.6640625" style="526" customWidth="1"/>
    <col min="2" max="2" width="9.1640625" style="526" customWidth="1"/>
    <col min="3" max="16384" width="8.83203125" style="526"/>
  </cols>
  <sheetData>
    <row r="1" spans="1:2" ht="19" x14ac:dyDescent="0.25">
      <c r="A1" s="526" t="s">
        <v>859</v>
      </c>
      <c r="B1" s="527" t="s">
        <v>860</v>
      </c>
    </row>
    <row r="2" spans="1:2" ht="19" x14ac:dyDescent="0.25">
      <c r="A2" s="526" t="s">
        <v>861</v>
      </c>
      <c r="B2" s="527" t="s">
        <v>862</v>
      </c>
    </row>
    <row r="3" spans="1:2" x14ac:dyDescent="0.15">
      <c r="A3" s="526" t="s">
        <v>863</v>
      </c>
    </row>
    <row r="4" spans="1:2" x14ac:dyDescent="0.15">
      <c r="A4" s="526" t="s">
        <v>864</v>
      </c>
    </row>
    <row r="5" spans="1:2" x14ac:dyDescent="0.15">
      <c r="A5" s="526" t="s">
        <v>865</v>
      </c>
    </row>
    <row r="6" spans="1:2" x14ac:dyDescent="0.15">
      <c r="A6" s="526" t="s">
        <v>866</v>
      </c>
    </row>
    <row r="7" spans="1:2" x14ac:dyDescent="0.15">
      <c r="A7" s="526" t="s">
        <v>867</v>
      </c>
      <c r="B7" s="526" t="b">
        <v>0</v>
      </c>
    </row>
    <row r="8" spans="1:2" x14ac:dyDescent="0.15">
      <c r="A8" s="526" t="s">
        <v>868</v>
      </c>
      <c r="B8" s="526" t="b">
        <v>0</v>
      </c>
    </row>
    <row r="9" spans="1:2" x14ac:dyDescent="0.15">
      <c r="A9" s="526" t="s">
        <v>869</v>
      </c>
      <c r="B9" s="526" t="b">
        <v>0</v>
      </c>
    </row>
    <row r="13" spans="1:2" ht="16" x14ac:dyDescent="0.15">
      <c r="A13" s="528" t="s">
        <v>870</v>
      </c>
    </row>
    <row r="14" spans="1:2" x14ac:dyDescent="0.15">
      <c r="A14" s="526" t="s">
        <v>871</v>
      </c>
    </row>
    <row r="15" spans="1:2" x14ac:dyDescent="0.15">
      <c r="A15" s="526" t="s">
        <v>872</v>
      </c>
    </row>
    <row r="16" spans="1:2" x14ac:dyDescent="0.15">
      <c r="A16" s="526" t="s">
        <v>873</v>
      </c>
    </row>
    <row r="17" spans="1:1" x14ac:dyDescent="0.15">
      <c r="A17" s="526" t="s">
        <v>874</v>
      </c>
    </row>
  </sheetData>
  <sheetProtection algorithmName="SHA-512" hashValue="rs/wZq5OKczZM7stYZ/rSv9/xQAANl60nvPjzw+0ywvqakc9DtWDYR/LS/GuTdzrdLWsurlqu9++sZChZ+EnEg==" saltValue="jm0pKp5ClBjqudNG3eD5rA==" spinCount="100000"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BH248"/>
  <sheetViews>
    <sheetView workbookViewId="0">
      <selection activeCell="F1" sqref="F1"/>
    </sheetView>
  </sheetViews>
  <sheetFormatPr baseColWidth="10" defaultColWidth="8.83203125" defaultRowHeight="13" x14ac:dyDescent="0.15"/>
  <cols>
    <col min="1" max="1" width="158" customWidth="1"/>
    <col min="3" max="3" width="27.33203125" customWidth="1"/>
    <col min="4" max="4" width="13.6640625" style="25" customWidth="1"/>
    <col min="5" max="5" width="12" bestFit="1" customWidth="1"/>
    <col min="6" max="6" width="10.83203125" bestFit="1" customWidth="1"/>
    <col min="7" max="7" width="12" bestFit="1" customWidth="1"/>
    <col min="8" max="8" width="10.83203125" bestFit="1" customWidth="1"/>
    <col min="9" max="9" width="12" bestFit="1" customWidth="1"/>
    <col min="10" max="10" width="11.33203125" customWidth="1"/>
    <col min="11" max="24" width="12" bestFit="1" customWidth="1"/>
    <col min="25" max="25" width="13.33203125" customWidth="1"/>
    <col min="26" max="26" width="12" bestFit="1" customWidth="1"/>
    <col min="27" max="28" width="10.33203125" customWidth="1"/>
    <col min="29" max="30" width="12" bestFit="1" customWidth="1"/>
    <col min="33" max="34" width="9.33203125" style="151"/>
    <col min="35" max="35" width="10.6640625" style="151" customWidth="1"/>
    <col min="36" max="43" width="9.33203125" style="151"/>
    <col min="44" max="44" width="11.6640625" style="151" customWidth="1"/>
    <col min="45" max="47" width="9.33203125" style="151"/>
    <col min="48" max="48" width="10.33203125" style="151" customWidth="1"/>
    <col min="49" max="53" width="9.33203125" style="151"/>
    <col min="54" max="54" width="10.6640625" style="151" customWidth="1"/>
    <col min="55" max="55" width="9.33203125" style="151"/>
    <col min="56" max="56" width="10.33203125" style="151" customWidth="1"/>
    <col min="57" max="57" width="9.33203125" style="151"/>
  </cols>
  <sheetData>
    <row r="1" spans="1:60" ht="16" x14ac:dyDescent="0.2">
      <c r="A1" s="157"/>
      <c r="B1" s="282"/>
      <c r="C1" s="55" t="s">
        <v>218</v>
      </c>
      <c r="G1" s="1"/>
    </row>
    <row r="2" spans="1:60" x14ac:dyDescent="0.15">
      <c r="A2" s="157"/>
      <c r="B2" s="282"/>
      <c r="C2" s="1" t="s">
        <v>336</v>
      </c>
      <c r="D2" s="89">
        <v>2016</v>
      </c>
    </row>
    <row r="3" spans="1:60" x14ac:dyDescent="0.15">
      <c r="A3" s="157"/>
      <c r="B3" s="282"/>
      <c r="C3" s="17" t="s">
        <v>281</v>
      </c>
    </row>
    <row r="4" spans="1:60" ht="28" x14ac:dyDescent="0.15">
      <c r="A4" s="157"/>
      <c r="B4" s="282"/>
      <c r="C4" s="79" t="s">
        <v>286</v>
      </c>
      <c r="D4" s="25" t="s">
        <v>82</v>
      </c>
      <c r="E4" s="296" t="s">
        <v>83</v>
      </c>
      <c r="F4" s="296" t="s">
        <v>84</v>
      </c>
      <c r="G4" s="296" t="s">
        <v>85</v>
      </c>
      <c r="H4" s="296" t="s">
        <v>86</v>
      </c>
      <c r="I4" s="296" t="s">
        <v>87</v>
      </c>
      <c r="J4" s="296" t="s">
        <v>88</v>
      </c>
      <c r="K4" s="296" t="s">
        <v>89</v>
      </c>
      <c r="L4" s="296" t="s">
        <v>90</v>
      </c>
      <c r="M4" s="296" t="s">
        <v>91</v>
      </c>
      <c r="N4" s="296" t="s">
        <v>92</v>
      </c>
      <c r="O4" s="296" t="s">
        <v>93</v>
      </c>
      <c r="P4" s="296" t="s">
        <v>94</v>
      </c>
      <c r="Q4" s="296" t="s">
        <v>95</v>
      </c>
      <c r="R4" s="296" t="s">
        <v>96</v>
      </c>
      <c r="S4" s="296" t="s">
        <v>97</v>
      </c>
      <c r="T4" s="296" t="s">
        <v>98</v>
      </c>
      <c r="U4" s="296" t="s">
        <v>99</v>
      </c>
      <c r="V4" s="296" t="s">
        <v>100</v>
      </c>
      <c r="W4" s="296" t="s">
        <v>101</v>
      </c>
      <c r="X4" s="296" t="s">
        <v>102</v>
      </c>
      <c r="Y4" s="296" t="s">
        <v>103</v>
      </c>
      <c r="Z4" s="296" t="s">
        <v>104</v>
      </c>
      <c r="AA4" s="296" t="s">
        <v>105</v>
      </c>
      <c r="AB4" s="296" t="s">
        <v>106</v>
      </c>
      <c r="AC4" s="296" t="s">
        <v>107</v>
      </c>
      <c r="AD4" s="296" t="s">
        <v>108</v>
      </c>
      <c r="AE4" s="38" t="s">
        <v>322</v>
      </c>
      <c r="AF4" s="38" t="s">
        <v>321</v>
      </c>
      <c r="AG4" s="151" t="s">
        <v>109</v>
      </c>
      <c r="AH4" s="151" t="s">
        <v>110</v>
      </c>
      <c r="AI4" s="151" t="s">
        <v>111</v>
      </c>
      <c r="AJ4" s="151" t="s">
        <v>112</v>
      </c>
      <c r="AK4" s="151" t="s">
        <v>113</v>
      </c>
      <c r="AL4" s="151" t="s">
        <v>114</v>
      </c>
      <c r="AM4" s="151" t="s">
        <v>115</v>
      </c>
      <c r="AN4" s="151" t="s">
        <v>116</v>
      </c>
      <c r="AO4" s="151" t="s">
        <v>117</v>
      </c>
      <c r="AP4" s="151" t="s">
        <v>118</v>
      </c>
      <c r="AQ4" s="151" t="s">
        <v>119</v>
      </c>
      <c r="AR4" s="151" t="s">
        <v>120</v>
      </c>
      <c r="AS4" s="151" t="s">
        <v>121</v>
      </c>
      <c r="AT4" s="151" t="s">
        <v>122</v>
      </c>
      <c r="AU4" s="151" t="s">
        <v>123</v>
      </c>
      <c r="AV4" s="151" t="s">
        <v>124</v>
      </c>
      <c r="AW4" s="151" t="s">
        <v>125</v>
      </c>
      <c r="AX4" s="227" t="s">
        <v>585</v>
      </c>
      <c r="AY4" s="151" t="s">
        <v>126</v>
      </c>
      <c r="AZ4" s="151" t="s">
        <v>127</v>
      </c>
      <c r="BA4" s="151" t="s">
        <v>128</v>
      </c>
      <c r="BB4" s="151" t="s">
        <v>129</v>
      </c>
      <c r="BC4" s="151" t="s">
        <v>130</v>
      </c>
      <c r="BD4" s="151" t="s">
        <v>131</v>
      </c>
      <c r="BE4" s="151" t="s">
        <v>81</v>
      </c>
    </row>
    <row r="5" spans="1:60" ht="23" x14ac:dyDescent="0.25">
      <c r="A5" s="159" t="s">
        <v>418</v>
      </c>
      <c r="B5" s="282"/>
      <c r="C5" s="6" t="s">
        <v>76</v>
      </c>
      <c r="D5" s="311">
        <v>7.9949730757133013</v>
      </c>
      <c r="E5" s="311">
        <v>7.7907795388243066</v>
      </c>
      <c r="F5" s="311">
        <v>8.3666135506743693</v>
      </c>
      <c r="G5" s="311">
        <v>5.8785261662521311</v>
      </c>
      <c r="H5" s="311">
        <v>7.8338075914296876</v>
      </c>
      <c r="I5" s="311">
        <v>7.299426501510923</v>
      </c>
      <c r="J5" s="311">
        <v>16.155394278658015</v>
      </c>
      <c r="K5" s="311">
        <v>3.2616557710062151</v>
      </c>
      <c r="L5" s="311">
        <v>29.687981303432725</v>
      </c>
      <c r="M5" s="311">
        <v>11.657748549702257</v>
      </c>
      <c r="N5" s="311">
        <v>5.9428005565391011</v>
      </c>
      <c r="O5" s="311">
        <v>19.577764283447074</v>
      </c>
      <c r="P5" s="311">
        <v>5.514553519712396</v>
      </c>
      <c r="Q5" s="311">
        <v>4.4181213700955793</v>
      </c>
      <c r="R5" s="311">
        <v>5.3947568407807625</v>
      </c>
      <c r="S5" s="311">
        <v>3.3194986868826275</v>
      </c>
      <c r="T5" s="311">
        <v>4.0730665399794326</v>
      </c>
      <c r="U5" s="311">
        <v>14.33309549686358</v>
      </c>
      <c r="V5" s="311">
        <v>10.389127874191589</v>
      </c>
      <c r="W5" s="311">
        <v>15.894848807066804</v>
      </c>
      <c r="X5" s="311">
        <v>8.3067283638214562</v>
      </c>
      <c r="Y5" s="311">
        <v>16.296684943263799</v>
      </c>
      <c r="Z5" s="311">
        <v>9.1123151082387412</v>
      </c>
      <c r="AA5" s="311">
        <v>4.4997728263752999</v>
      </c>
      <c r="AB5" s="311">
        <v>7.2509355095439343</v>
      </c>
      <c r="AC5" s="311">
        <v>9.266682290494245</v>
      </c>
      <c r="AD5" s="311">
        <v>7.8428979224180519</v>
      </c>
      <c r="AE5" s="38">
        <f>'User Add-in Location'!B9</f>
        <v>0</v>
      </c>
      <c r="AF5" s="38">
        <f>'User Add-in Location'!C9</f>
        <v>0</v>
      </c>
      <c r="AG5" s="311">
        <v>2.7181765364851898</v>
      </c>
      <c r="AH5" s="311">
        <v>8.375778007211963</v>
      </c>
      <c r="AI5" s="311">
        <v>18.730016390725602</v>
      </c>
      <c r="AJ5" s="311">
        <v>14.347672151842252</v>
      </c>
      <c r="AK5" s="311">
        <v>10.043590749909402</v>
      </c>
      <c r="AL5" s="311">
        <v>10.805883825133408</v>
      </c>
      <c r="AM5" s="311">
        <v>6.184010742284455</v>
      </c>
      <c r="AN5" s="311">
        <v>3.465485754828499</v>
      </c>
      <c r="AO5" s="311">
        <v>9.0904174692953639</v>
      </c>
      <c r="AP5" s="311">
        <v>10.759819805126432</v>
      </c>
      <c r="AQ5" s="311">
        <v>11.206333957584748</v>
      </c>
      <c r="AR5" s="311">
        <v>10.342380621002571</v>
      </c>
      <c r="AS5" s="311">
        <v>17.012565283448428</v>
      </c>
      <c r="AT5" s="311">
        <v>10.781270070750228</v>
      </c>
      <c r="AU5" s="311">
        <v>3.3175538460914997</v>
      </c>
      <c r="AV5" s="311">
        <v>17.396239695636961</v>
      </c>
      <c r="AW5" s="311">
        <v>11.635833736974579</v>
      </c>
      <c r="AX5" s="311">
        <v>7.4541603769485354</v>
      </c>
      <c r="AY5" s="311">
        <v>10.90752580185254</v>
      </c>
      <c r="AZ5" s="311">
        <v>12.142298271250649</v>
      </c>
      <c r="BA5" s="311">
        <v>13.019286342124861</v>
      </c>
      <c r="BB5" s="311">
        <v>8.9770509415904822</v>
      </c>
      <c r="BC5" s="311">
        <v>22.77024001279565</v>
      </c>
      <c r="BD5" s="311">
        <v>7.1785614608315154</v>
      </c>
      <c r="BE5" s="311">
        <v>10.269513292162348</v>
      </c>
      <c r="BF5" s="248"/>
      <c r="BG5" s="248"/>
    </row>
    <row r="6" spans="1:60" ht="17" x14ac:dyDescent="0.2">
      <c r="A6" s="157"/>
      <c r="B6" s="282"/>
      <c r="C6" s="6" t="s">
        <v>148</v>
      </c>
      <c r="D6" s="311">
        <v>2.7034654998962</v>
      </c>
      <c r="E6" s="311">
        <v>1.8182255351283965</v>
      </c>
      <c r="F6" s="311">
        <v>2.8858044900045177</v>
      </c>
      <c r="G6" s="311">
        <v>5.1721784602240062</v>
      </c>
      <c r="H6" s="311">
        <v>3.9648412207320289</v>
      </c>
      <c r="I6" s="311">
        <v>3.5863594243095163</v>
      </c>
      <c r="J6" s="311">
        <v>5.7529650683290994</v>
      </c>
      <c r="K6" s="311">
        <v>16.412898400742137</v>
      </c>
      <c r="L6" s="311">
        <v>22.898269272490563</v>
      </c>
      <c r="M6" s="311">
        <v>5.8368538223737332</v>
      </c>
      <c r="N6" s="311">
        <v>4.2960403026380352</v>
      </c>
      <c r="O6" s="311">
        <v>5.9669135339145809</v>
      </c>
      <c r="P6" s="311">
        <v>3.0740837138348289</v>
      </c>
      <c r="Q6" s="311">
        <v>5.3881862922734065</v>
      </c>
      <c r="R6" s="311">
        <v>3.4167903766094248</v>
      </c>
      <c r="S6" s="311">
        <v>5.9651444250916814</v>
      </c>
      <c r="T6" s="311">
        <v>8.114387089601717</v>
      </c>
      <c r="U6" s="311">
        <v>3.0807517142072558</v>
      </c>
      <c r="V6" s="311">
        <v>4.3677231619154506</v>
      </c>
      <c r="W6" s="311">
        <v>6.9292546512322222</v>
      </c>
      <c r="X6" s="311">
        <v>3.847960686375786</v>
      </c>
      <c r="Y6" s="311">
        <v>3.6342376895843773</v>
      </c>
      <c r="Z6" s="311">
        <v>4.844865001747662</v>
      </c>
      <c r="AA6" s="311">
        <v>2.9806416105917468</v>
      </c>
      <c r="AB6" s="311">
        <v>5.8912111095240496</v>
      </c>
      <c r="AC6" s="311">
        <v>4.5859953341884161</v>
      </c>
      <c r="AD6" s="311">
        <v>3.1042798847320836</v>
      </c>
      <c r="AE6" s="38">
        <f>'User Add-in Location'!B10</f>
        <v>0</v>
      </c>
      <c r="AF6" s="38">
        <f>'User Add-in Location'!C10</f>
        <v>0</v>
      </c>
      <c r="AG6" s="311">
        <v>6.5847815318814416</v>
      </c>
      <c r="AH6" s="311">
        <v>2.9327334559068632</v>
      </c>
      <c r="AI6" s="311">
        <v>6.4981655231156736</v>
      </c>
      <c r="AJ6" s="311">
        <v>5.1207251039420356</v>
      </c>
      <c r="AK6" s="311">
        <v>2.9933642165386223</v>
      </c>
      <c r="AL6" s="311">
        <v>6.4274926335049134</v>
      </c>
      <c r="AM6" s="311">
        <v>5.5017035996743262</v>
      </c>
      <c r="AN6" s="311">
        <v>3.2888251027265154</v>
      </c>
      <c r="AO6" s="311">
        <v>3.8736025809054926</v>
      </c>
      <c r="AP6" s="311">
        <v>4.6161494060679198</v>
      </c>
      <c r="AQ6" s="311">
        <v>6.2356146103676986</v>
      </c>
      <c r="AR6" s="311">
        <v>2.7216914615489132</v>
      </c>
      <c r="AS6" s="311">
        <v>5.4168447366879215</v>
      </c>
      <c r="AT6" s="311">
        <v>5.4558032752483241</v>
      </c>
      <c r="AU6" s="311">
        <v>6.5400694162977029</v>
      </c>
      <c r="AV6" s="311">
        <v>4.774514612291954</v>
      </c>
      <c r="AW6" s="311">
        <v>2.9251985592103491</v>
      </c>
      <c r="AX6" s="311">
        <v>3.4411151708671839</v>
      </c>
      <c r="AY6" s="311">
        <v>3.2100550031904924</v>
      </c>
      <c r="AZ6" s="311">
        <v>2.9827794450924174</v>
      </c>
      <c r="BA6" s="311">
        <v>3.530680450301094</v>
      </c>
      <c r="BB6" s="311">
        <v>4.6958671882423815</v>
      </c>
      <c r="BC6" s="311">
        <v>2.6110394883810626</v>
      </c>
      <c r="BD6" s="311">
        <v>3.5874288075386653</v>
      </c>
      <c r="BE6" s="311">
        <v>2.3955352449529541</v>
      </c>
      <c r="BF6" s="248"/>
      <c r="BG6" s="248"/>
    </row>
    <row r="7" spans="1:60" ht="17" x14ac:dyDescent="0.2">
      <c r="A7" s="160" t="s">
        <v>419</v>
      </c>
      <c r="B7" s="282"/>
      <c r="C7" s="6" t="s">
        <v>77</v>
      </c>
      <c r="D7" s="311">
        <v>6.8544079394225434</v>
      </c>
      <c r="E7" s="311">
        <v>5.8017156755688468</v>
      </c>
      <c r="F7" s="311">
        <v>6.4458482820279812</v>
      </c>
      <c r="G7" s="311">
        <v>6.8812534054193568</v>
      </c>
      <c r="H7" s="311">
        <v>5.5804522649771524</v>
      </c>
      <c r="I7" s="311">
        <v>6.0107670588372395</v>
      </c>
      <c r="J7" s="311">
        <v>5.8961550253352453</v>
      </c>
      <c r="K7" s="311">
        <v>5.8384931995596068</v>
      </c>
      <c r="L7" s="311">
        <v>5.7011684650362557</v>
      </c>
      <c r="M7" s="311">
        <v>6.4326645065275851</v>
      </c>
      <c r="N7" s="311">
        <v>6.2086800260684569</v>
      </c>
      <c r="O7" s="311">
        <v>5.2145056678326034</v>
      </c>
      <c r="P7" s="311">
        <v>6.4894238019681252</v>
      </c>
      <c r="Q7" s="311">
        <v>5.6812337986481873</v>
      </c>
      <c r="R7" s="311">
        <v>6.4681239825547614</v>
      </c>
      <c r="S7" s="311">
        <v>6.3600172062214364</v>
      </c>
      <c r="T7" s="311">
        <v>6.4762565831649894</v>
      </c>
      <c r="U7" s="311">
        <v>6.423427746221706</v>
      </c>
      <c r="V7" s="311">
        <v>6.5720580224780996</v>
      </c>
      <c r="W7" s="311">
        <v>7.2193643649654078</v>
      </c>
      <c r="X7" s="311">
        <v>6.0557974573633198</v>
      </c>
      <c r="Y7" s="311">
        <v>5.8114648514058569</v>
      </c>
      <c r="Z7" s="311">
        <v>6.0069518053495559</v>
      </c>
      <c r="AA7" s="311">
        <v>6.0098762929760339</v>
      </c>
      <c r="AB7" s="311">
        <v>6.8274457548101397</v>
      </c>
      <c r="AC7" s="311">
        <v>6.7944370562682028</v>
      </c>
      <c r="AD7" s="311">
        <v>6.5328818196569269</v>
      </c>
      <c r="AE7" s="38">
        <f>'User Add-in Location'!B11</f>
        <v>0</v>
      </c>
      <c r="AF7" s="38">
        <f>'User Add-in Location'!C11</f>
        <v>0</v>
      </c>
      <c r="AG7" s="311">
        <v>6.9698405663382932</v>
      </c>
      <c r="AH7" s="311">
        <v>6.2746400500752175</v>
      </c>
      <c r="AI7" s="311">
        <v>6.8625500685417569</v>
      </c>
      <c r="AJ7" s="311">
        <v>5.3508010528637255</v>
      </c>
      <c r="AK7" s="311">
        <v>6.8954699048788077</v>
      </c>
      <c r="AL7" s="311">
        <v>5.5608912286765859</v>
      </c>
      <c r="AM7" s="311">
        <v>6.6299724629880608</v>
      </c>
      <c r="AN7" s="311">
        <v>5.6310415231093778</v>
      </c>
      <c r="AO7" s="311">
        <v>6.2908309142616847</v>
      </c>
      <c r="AP7" s="311">
        <v>6.5297611364976822</v>
      </c>
      <c r="AQ7" s="311">
        <v>6.2641703813201328</v>
      </c>
      <c r="AR7" s="311">
        <v>5.8671773197848172</v>
      </c>
      <c r="AS7" s="311">
        <v>5.8892135315235459</v>
      </c>
      <c r="AT7" s="311">
        <v>6.1787184953424337</v>
      </c>
      <c r="AU7" s="311">
        <v>6.7197508753266044</v>
      </c>
      <c r="AV7" s="311">
        <v>6.5219877075511787</v>
      </c>
      <c r="AW7" s="311">
        <v>5.8568627774069748</v>
      </c>
      <c r="AX7" s="311">
        <v>6.0523157730888588</v>
      </c>
      <c r="AY7" s="311">
        <v>6.0508308095159204</v>
      </c>
      <c r="AZ7" s="311">
        <v>7.4261455865344681</v>
      </c>
      <c r="BA7" s="311">
        <v>6.1210665702265095</v>
      </c>
      <c r="BB7" s="311">
        <v>5.7007459424243416</v>
      </c>
      <c r="BC7" s="311">
        <v>5.729768532377336</v>
      </c>
      <c r="BD7" s="311">
        <v>6.1517854524234883</v>
      </c>
      <c r="BE7" s="311">
        <v>6.0164540151852188</v>
      </c>
      <c r="BF7" s="38"/>
      <c r="BG7" s="38"/>
      <c r="BH7" s="38"/>
    </row>
    <row r="8" spans="1:60" ht="17" x14ac:dyDescent="0.2">
      <c r="A8" s="161"/>
      <c r="B8" s="282"/>
      <c r="C8" s="6" t="s">
        <v>149</v>
      </c>
      <c r="D8" s="311">
        <v>1.8272209063252574</v>
      </c>
      <c r="E8" s="311">
        <v>2.2920589895565362</v>
      </c>
      <c r="F8" s="311">
        <v>2.4203599167135827</v>
      </c>
      <c r="G8" s="311">
        <v>2.1891788050199552</v>
      </c>
      <c r="H8" s="311">
        <v>1.8117630394354594</v>
      </c>
      <c r="I8" s="311">
        <v>2.2030461960473509</v>
      </c>
      <c r="J8" s="311">
        <v>2.1968733750812981</v>
      </c>
      <c r="K8" s="311">
        <v>1.8553934666275931</v>
      </c>
      <c r="L8" s="311">
        <v>2.7217454152380882</v>
      </c>
      <c r="M8" s="311">
        <v>2.4572430944563108</v>
      </c>
      <c r="N8" s="311">
        <v>2.0446716597081394</v>
      </c>
      <c r="O8" s="311">
        <v>2.1975485427836698</v>
      </c>
      <c r="P8" s="311">
        <v>2.1165069328039419</v>
      </c>
      <c r="Q8" s="311">
        <v>1.8395120892547407</v>
      </c>
      <c r="R8" s="311">
        <v>1.7232789658125187</v>
      </c>
      <c r="S8" s="311">
        <v>1.7656697388073734</v>
      </c>
      <c r="T8" s="311">
        <v>1.6186585961627875</v>
      </c>
      <c r="U8" s="311">
        <v>1.5595225734176441</v>
      </c>
      <c r="V8" s="311">
        <v>0.88135836115406774</v>
      </c>
      <c r="W8" s="311">
        <v>2.6071288412684979</v>
      </c>
      <c r="X8" s="311">
        <v>2.180903230802429</v>
      </c>
      <c r="Y8" s="311">
        <v>2.1209013625269599</v>
      </c>
      <c r="Z8" s="311">
        <v>1.8341334687209445</v>
      </c>
      <c r="AA8" s="311">
        <v>2.1436951771506534</v>
      </c>
      <c r="AB8" s="311">
        <v>1.9752734946423673</v>
      </c>
      <c r="AC8" s="311">
        <v>1.7268223383012642</v>
      </c>
      <c r="AD8" s="311">
        <v>1.5470652194204828</v>
      </c>
      <c r="AE8" s="38">
        <f>'User Add-in Location'!B12</f>
        <v>0</v>
      </c>
      <c r="AF8" s="38">
        <f>'User Add-in Location'!C12</f>
        <v>0</v>
      </c>
      <c r="AG8" s="311">
        <v>1.7020567287369159</v>
      </c>
      <c r="AH8" s="311">
        <v>2.7936062349585309</v>
      </c>
      <c r="AI8" s="311">
        <v>2.6961074858454062</v>
      </c>
      <c r="AJ8" s="311">
        <v>1.8464892688412049</v>
      </c>
      <c r="AK8" s="311">
        <v>2.010034269651511</v>
      </c>
      <c r="AL8" s="311">
        <v>2.2360959424554006</v>
      </c>
      <c r="AM8" s="311">
        <v>1.8695770133368792</v>
      </c>
      <c r="AN8" s="311">
        <v>1.7372030983400422</v>
      </c>
      <c r="AO8" s="311">
        <v>1.8763962524092859</v>
      </c>
      <c r="AP8" s="311">
        <v>1.9488683795289707</v>
      </c>
      <c r="AQ8" s="311">
        <v>2.5494908785113255</v>
      </c>
      <c r="AR8" s="311">
        <v>2.0722061479979765</v>
      </c>
      <c r="AS8" s="311">
        <v>2.6513503279635939</v>
      </c>
      <c r="AT8" s="311">
        <v>1.9050235142503031</v>
      </c>
      <c r="AU8" s="311">
        <v>2.1571814050141742</v>
      </c>
      <c r="AV8" s="311">
        <v>1.8442598567811401</v>
      </c>
      <c r="AW8" s="311">
        <v>1.270074679650917</v>
      </c>
      <c r="AX8" s="311">
        <v>1.8495987219202039</v>
      </c>
      <c r="AY8" s="311">
        <v>2.1173836636012573</v>
      </c>
      <c r="AZ8" s="311">
        <v>2.4878708830991574</v>
      </c>
      <c r="BA8" s="311">
        <v>2.0695042698438071</v>
      </c>
      <c r="BB8" s="311">
        <v>1.6327175836078029</v>
      </c>
      <c r="BC8" s="311">
        <v>1.5879880652437512</v>
      </c>
      <c r="BD8" s="311">
        <v>2.311751532670915</v>
      </c>
      <c r="BE8" s="311">
        <v>1.0077766396271366</v>
      </c>
      <c r="BF8" s="248"/>
      <c r="BG8" s="248"/>
    </row>
    <row r="9" spans="1:60" ht="17" x14ac:dyDescent="0.2">
      <c r="A9" s="160" t="s">
        <v>420</v>
      </c>
      <c r="B9" s="282"/>
      <c r="C9" s="6" t="s">
        <v>150</v>
      </c>
      <c r="D9" s="311">
        <v>3.7111751051021011</v>
      </c>
      <c r="E9" s="311">
        <v>4.4280756194613655</v>
      </c>
      <c r="F9" s="311">
        <v>4.3311385383944039</v>
      </c>
      <c r="G9" s="311">
        <v>3.3782175296498731</v>
      </c>
      <c r="H9" s="311">
        <v>4.0451497246449311</v>
      </c>
      <c r="I9" s="311">
        <v>3.7442168683716233</v>
      </c>
      <c r="J9" s="311">
        <v>3.7834424221271967</v>
      </c>
      <c r="K9" s="311">
        <v>4.1564069494918607</v>
      </c>
      <c r="L9" s="311">
        <v>0</v>
      </c>
      <c r="M9" s="311">
        <v>3.9865777421659772</v>
      </c>
      <c r="N9" s="311">
        <v>3.938496465758492</v>
      </c>
      <c r="O9" s="311">
        <v>4.3608082760915812</v>
      </c>
      <c r="P9" s="311">
        <v>4.4187167971522925</v>
      </c>
      <c r="Q9" s="311">
        <v>3.8992550379744739</v>
      </c>
      <c r="R9" s="311">
        <v>3.87516849710057</v>
      </c>
      <c r="S9" s="311">
        <v>3.6313208975728029</v>
      </c>
      <c r="T9" s="311">
        <v>3.8083258008614895</v>
      </c>
      <c r="U9" s="311">
        <v>4.0041717904636505</v>
      </c>
      <c r="V9" s="311">
        <v>3.6628542938597874</v>
      </c>
      <c r="W9" s="311">
        <v>3.6473694377474151</v>
      </c>
      <c r="X9" s="311">
        <v>3.7967989519631362</v>
      </c>
      <c r="Y9" s="311">
        <v>3.7164875459164395</v>
      </c>
      <c r="Z9" s="311">
        <v>3.9977464933232927</v>
      </c>
      <c r="AA9" s="311">
        <v>4.1849311150182036</v>
      </c>
      <c r="AB9" s="311">
        <v>4.0684749521111474</v>
      </c>
      <c r="AC9" s="311">
        <v>4.052508664588327</v>
      </c>
      <c r="AD9" s="311">
        <v>4.0002066346842158</v>
      </c>
      <c r="AE9" s="38">
        <f>'User Add-in Location'!B13</f>
        <v>0</v>
      </c>
      <c r="AF9" s="38">
        <f>'User Add-in Location'!C13</f>
        <v>0</v>
      </c>
      <c r="AG9" s="311">
        <v>3.5729956595282943</v>
      </c>
      <c r="AH9" s="311">
        <v>3.7401588569718029</v>
      </c>
      <c r="AI9" s="311">
        <v>3.7422524831774924</v>
      </c>
      <c r="AJ9" s="311">
        <v>3.9079534166362495</v>
      </c>
      <c r="AK9" s="311">
        <v>4.3694729953051876</v>
      </c>
      <c r="AL9" s="311">
        <v>3.7627326923113831</v>
      </c>
      <c r="AM9" s="311">
        <v>3.8780459691457074</v>
      </c>
      <c r="AN9" s="311">
        <v>3.822635644871978</v>
      </c>
      <c r="AO9" s="311">
        <v>3.8421430841424917</v>
      </c>
      <c r="AP9" s="311">
        <v>3.3955610687378828</v>
      </c>
      <c r="AQ9" s="311">
        <v>3.8172198594758302</v>
      </c>
      <c r="AR9" s="311">
        <v>3.916442833324667</v>
      </c>
      <c r="AS9" s="311">
        <v>4.3429932651218177</v>
      </c>
      <c r="AT9" s="311">
        <v>3.2072325517228921</v>
      </c>
      <c r="AU9" s="311">
        <v>3.8306365077516276</v>
      </c>
      <c r="AV9" s="311">
        <v>3.7384397767586885</v>
      </c>
      <c r="AW9" s="311">
        <v>3.7351741338423112</v>
      </c>
      <c r="AX9" s="311">
        <v>3.8168130387806833</v>
      </c>
      <c r="AY9" s="311">
        <v>3.6441044629436834</v>
      </c>
      <c r="AZ9" s="311">
        <v>4.2819970818511575</v>
      </c>
      <c r="BA9" s="311">
        <v>3.4292130541062464</v>
      </c>
      <c r="BB9" s="311">
        <v>3.8837407602062961</v>
      </c>
      <c r="BC9" s="311">
        <v>3.85821522344285</v>
      </c>
      <c r="BD9" s="311">
        <v>4.0371892557123203</v>
      </c>
      <c r="BE9" s="311">
        <v>3.4782050549477019</v>
      </c>
      <c r="BF9" s="248"/>
      <c r="BG9" s="248"/>
    </row>
    <row r="10" spans="1:60" ht="17" x14ac:dyDescent="0.2">
      <c r="A10" s="160"/>
      <c r="B10" s="282"/>
      <c r="C10" s="6" t="s">
        <v>151</v>
      </c>
      <c r="D10" s="311">
        <v>2.1456683049337686</v>
      </c>
      <c r="E10" s="311">
        <v>2.2698467748582956</v>
      </c>
      <c r="F10" s="311">
        <v>2.4462306580405246</v>
      </c>
      <c r="G10" s="311">
        <v>2.5641470006331355</v>
      </c>
      <c r="H10" s="311">
        <v>2.1906331381239039</v>
      </c>
      <c r="I10" s="311">
        <v>2.4398776541474567</v>
      </c>
      <c r="J10" s="311">
        <v>2.7705345019714622</v>
      </c>
      <c r="K10" s="311">
        <v>3.4057262212303683</v>
      </c>
      <c r="L10" s="311">
        <v>2.5682591116182891</v>
      </c>
      <c r="M10" s="311">
        <v>2.3361149707035116</v>
      </c>
      <c r="N10" s="311">
        <v>1.8948768198479833</v>
      </c>
      <c r="O10" s="311">
        <v>2.4646102627981303</v>
      </c>
      <c r="P10" s="311">
        <v>2.5260614367901622</v>
      </c>
      <c r="Q10" s="311">
        <v>1.8471722410677187</v>
      </c>
      <c r="R10" s="311">
        <v>1.2819354651753583</v>
      </c>
      <c r="S10" s="311">
        <v>1.8043477733414068</v>
      </c>
      <c r="T10" s="311">
        <v>2.3410342014668659</v>
      </c>
      <c r="U10" s="311">
        <v>2.5036891840420821</v>
      </c>
      <c r="V10" s="311">
        <v>2.1914986720649554</v>
      </c>
      <c r="W10" s="311">
        <v>2.7468218683104251</v>
      </c>
      <c r="X10" s="311">
        <v>1.4062215860809066</v>
      </c>
      <c r="Y10" s="311">
        <v>2.760490208967997</v>
      </c>
      <c r="Z10" s="311">
        <v>2.0725753928266917</v>
      </c>
      <c r="AA10" s="311">
        <v>2.3835858334513222</v>
      </c>
      <c r="AB10" s="311">
        <v>1.4435645241140496</v>
      </c>
      <c r="AC10" s="311">
        <v>1.5798341391248008</v>
      </c>
      <c r="AD10" s="311">
        <v>2.2996503532232913</v>
      </c>
      <c r="AE10" s="38">
        <f>'User Add-in Location'!B14</f>
        <v>0</v>
      </c>
      <c r="AF10" s="38">
        <f>'User Add-in Location'!C14</f>
        <v>0</v>
      </c>
      <c r="AG10" s="311">
        <v>1.9752714672481966</v>
      </c>
      <c r="AH10" s="311">
        <v>2.570036062253322</v>
      </c>
      <c r="AI10" s="311">
        <v>3.2001854990937448</v>
      </c>
      <c r="AJ10" s="311">
        <v>2.967437004531059</v>
      </c>
      <c r="AK10" s="311">
        <v>2.3737101865449031</v>
      </c>
      <c r="AL10" s="311">
        <v>1.9734887945144224</v>
      </c>
      <c r="AM10" s="311">
        <v>1.8860508738586361</v>
      </c>
      <c r="AN10" s="311">
        <v>1.6588382832894444</v>
      </c>
      <c r="AO10" s="311">
        <v>2.4317092772810431</v>
      </c>
      <c r="AP10" s="311">
        <v>2.1233370304290604</v>
      </c>
      <c r="AQ10" s="311">
        <v>2.5586145845980388</v>
      </c>
      <c r="AR10" s="311">
        <v>2.3618818932186381</v>
      </c>
      <c r="AS10" s="311">
        <v>3.2204610555890683</v>
      </c>
      <c r="AT10" s="311">
        <v>1.9685052696979575</v>
      </c>
      <c r="AU10" s="311">
        <v>2.3991903915054205</v>
      </c>
      <c r="AV10" s="311">
        <v>1.8314847412726891</v>
      </c>
      <c r="AW10" s="311">
        <v>2.0392787418548779</v>
      </c>
      <c r="AX10" s="311">
        <v>1.9993045072070652</v>
      </c>
      <c r="AY10" s="311">
        <v>1.9382498760558138</v>
      </c>
      <c r="AZ10" s="311">
        <v>3.4868843618502967</v>
      </c>
      <c r="BA10" s="311">
        <v>2.7932816862402285</v>
      </c>
      <c r="BB10" s="311">
        <v>2.7501418579296919</v>
      </c>
      <c r="BC10" s="311">
        <v>3.4508450770827395</v>
      </c>
      <c r="BD10" s="311">
        <v>1.751760467918928</v>
      </c>
      <c r="BE10" s="311">
        <v>2.7688325951982566</v>
      </c>
      <c r="BF10" s="248"/>
      <c r="BG10" s="248"/>
    </row>
    <row r="11" spans="1:60" ht="17" x14ac:dyDescent="0.2">
      <c r="A11" s="160" t="s">
        <v>421</v>
      </c>
      <c r="B11" s="282"/>
      <c r="C11" s="6" t="s">
        <v>152</v>
      </c>
      <c r="D11" s="311">
        <v>3.5959585524465179</v>
      </c>
      <c r="E11" s="311">
        <v>0</v>
      </c>
      <c r="F11" s="311">
        <v>1.6325000209020579</v>
      </c>
      <c r="G11" s="311">
        <v>3.0555739369894641</v>
      </c>
      <c r="H11" s="311">
        <v>1.6439890720655235</v>
      </c>
      <c r="I11" s="311">
        <v>2.2378105753744864</v>
      </c>
      <c r="J11" s="311">
        <v>2.9044699154784093</v>
      </c>
      <c r="K11" s="311">
        <v>3.8539004330781026</v>
      </c>
      <c r="L11" s="311">
        <v>1.8777466167561085</v>
      </c>
      <c r="M11" s="311">
        <v>2.1710097343481762</v>
      </c>
      <c r="N11" s="311">
        <v>2.9034263057245964</v>
      </c>
      <c r="O11" s="311">
        <v>2.2036830741856144</v>
      </c>
      <c r="P11" s="311">
        <v>1.8667992205709314</v>
      </c>
      <c r="Q11" s="311">
        <v>3.1549324425091387</v>
      </c>
      <c r="R11" s="311">
        <v>3.0430264289544193</v>
      </c>
      <c r="S11" s="311">
        <v>2.7997108098650085</v>
      </c>
      <c r="T11" s="311">
        <v>3.9107680859151284</v>
      </c>
      <c r="U11" s="311">
        <v>3.7725400201458088</v>
      </c>
      <c r="V11" s="311">
        <v>3.6378269697315573</v>
      </c>
      <c r="W11" s="311">
        <v>2.0311817837667783</v>
      </c>
      <c r="X11" s="311">
        <v>3.0389425692218639</v>
      </c>
      <c r="Y11" s="311">
        <v>2.0298217350651373</v>
      </c>
      <c r="Z11" s="311">
        <v>2.9535616158224625</v>
      </c>
      <c r="AA11" s="311">
        <v>2.7245835292021154</v>
      </c>
      <c r="AB11" s="311">
        <v>3.2305354362266905</v>
      </c>
      <c r="AC11" s="311">
        <v>2.3362158838500711</v>
      </c>
      <c r="AD11" s="311">
        <v>3.1499738191171902</v>
      </c>
      <c r="AE11" s="38">
        <f>'User Add-in Location'!B15</f>
        <v>0</v>
      </c>
      <c r="AF11" s="38">
        <f>'User Add-in Location'!C15</f>
        <v>0</v>
      </c>
      <c r="AG11" s="311">
        <v>4.1405712054353536</v>
      </c>
      <c r="AH11" s="311">
        <v>3.2481514770765916</v>
      </c>
      <c r="AI11" s="311">
        <v>2.980063054792164</v>
      </c>
      <c r="AJ11" s="311">
        <v>2.7329289194608979</v>
      </c>
      <c r="AK11" s="311">
        <v>1.8392890371388384</v>
      </c>
      <c r="AL11" s="311">
        <v>2.4460603163405543</v>
      </c>
      <c r="AM11" s="311">
        <v>1.7753707858427483</v>
      </c>
      <c r="AN11" s="311">
        <v>3.1772365170293422</v>
      </c>
      <c r="AO11" s="311">
        <v>2.8041558277098817</v>
      </c>
      <c r="AP11" s="311">
        <v>3.2450804670604447</v>
      </c>
      <c r="AQ11" s="311">
        <v>0.90066716253840251</v>
      </c>
      <c r="AR11" s="311">
        <v>2.6207830467106983</v>
      </c>
      <c r="AS11" s="311">
        <v>2.7812152331516318</v>
      </c>
      <c r="AT11" s="311">
        <v>3.0380560069667584</v>
      </c>
      <c r="AU11" s="311">
        <v>3.6237305497865133</v>
      </c>
      <c r="AV11" s="311">
        <v>3.0458312440501301</v>
      </c>
      <c r="AW11" s="311">
        <v>1.6555022704373492</v>
      </c>
      <c r="AX11" s="311">
        <v>1.8214959614272264</v>
      </c>
      <c r="AY11" s="311">
        <v>2.0961535741833868</v>
      </c>
      <c r="AZ11" s="311">
        <v>2.1359739034752616</v>
      </c>
      <c r="BA11" s="311">
        <v>2.2875888852362651</v>
      </c>
      <c r="BB11" s="311">
        <v>2.4908597355134061</v>
      </c>
      <c r="BC11" s="311">
        <v>3.5655693413403688</v>
      </c>
      <c r="BD11" s="311">
        <v>3.3989278366171156</v>
      </c>
      <c r="BE11" s="311">
        <v>0</v>
      </c>
      <c r="BF11" s="248"/>
      <c r="BG11" s="248"/>
    </row>
    <row r="12" spans="1:60" ht="17" x14ac:dyDescent="0.2">
      <c r="A12" s="157"/>
      <c r="B12" s="282"/>
      <c r="C12" s="6" t="s">
        <v>153</v>
      </c>
      <c r="D12" s="311">
        <v>2.4617006985815713</v>
      </c>
      <c r="E12" s="311">
        <v>1.6802185553980342</v>
      </c>
      <c r="F12" s="311">
        <v>2.7426552668041739</v>
      </c>
      <c r="G12" s="311">
        <v>3.5052096934853356</v>
      </c>
      <c r="H12" s="311">
        <v>3.6282671842353391</v>
      </c>
      <c r="I12" s="311">
        <v>2.8352967425591227</v>
      </c>
      <c r="J12" s="311">
        <v>3.0741458222385964</v>
      </c>
      <c r="K12" s="311">
        <v>2.845046379321551</v>
      </c>
      <c r="L12" s="311">
        <v>4.0006822319474411</v>
      </c>
      <c r="M12" s="311">
        <v>2.8504972115117329</v>
      </c>
      <c r="N12" s="311">
        <v>2.9464005272389935</v>
      </c>
      <c r="O12" s="311">
        <v>2.4383181065212054</v>
      </c>
      <c r="P12" s="311">
        <v>3.6434241691338443</v>
      </c>
      <c r="Q12" s="311">
        <v>3.543107621973776</v>
      </c>
      <c r="R12" s="311">
        <v>3.3080887518541515</v>
      </c>
      <c r="S12" s="311">
        <v>3.4257930445012215</v>
      </c>
      <c r="T12" s="311">
        <v>2.9303063743598874</v>
      </c>
      <c r="U12" s="311">
        <v>3.0671563388064018</v>
      </c>
      <c r="V12" s="311">
        <v>2.7360457916148944</v>
      </c>
      <c r="W12" s="311">
        <v>3.4334621731167769</v>
      </c>
      <c r="X12" s="311">
        <v>3.2367784206167771</v>
      </c>
      <c r="Y12" s="311">
        <v>3.7021516978947981</v>
      </c>
      <c r="Z12" s="311">
        <v>2.9330996256950215</v>
      </c>
      <c r="AA12" s="311">
        <v>3.1959218662405284</v>
      </c>
      <c r="AB12" s="311">
        <v>2.9460734999785525</v>
      </c>
      <c r="AC12" s="311">
        <v>3.3136880064510299</v>
      </c>
      <c r="AD12" s="311">
        <v>2.6206997652172408</v>
      </c>
      <c r="AE12" s="38">
        <f>'User Add-in Location'!B16</f>
        <v>0</v>
      </c>
      <c r="AF12" s="38">
        <f>'User Add-in Location'!C16</f>
        <v>0</v>
      </c>
      <c r="AG12" s="311">
        <v>2.8108083337118952</v>
      </c>
      <c r="AH12" s="311">
        <v>3.2743999005491915</v>
      </c>
      <c r="AI12" s="311">
        <v>3.1590773366951157</v>
      </c>
      <c r="AJ12" s="311">
        <v>3.5588287389508118</v>
      </c>
      <c r="AK12" s="311">
        <v>2.9136175556919834</v>
      </c>
      <c r="AL12" s="311">
        <v>4.174918457261886</v>
      </c>
      <c r="AM12" s="311">
        <v>3.2269758156397632</v>
      </c>
      <c r="AN12" s="311">
        <v>2.6229638643214539</v>
      </c>
      <c r="AO12" s="311">
        <v>3.2878594620625856</v>
      </c>
      <c r="AP12" s="311">
        <v>2.2264061241396176</v>
      </c>
      <c r="AQ12" s="311">
        <v>3.1323720164675271</v>
      </c>
      <c r="AR12" s="311">
        <v>3.4276166486810231</v>
      </c>
      <c r="AS12" s="311">
        <v>3.5706496351214518</v>
      </c>
      <c r="AT12" s="311">
        <v>2.6749983536650279</v>
      </c>
      <c r="AU12" s="311">
        <v>3.1464616362903004</v>
      </c>
      <c r="AV12" s="311">
        <v>3.4099640342719537</v>
      </c>
      <c r="AW12" s="311">
        <v>2.8743862178836133</v>
      </c>
      <c r="AX12" s="311">
        <v>3.2125378183969753</v>
      </c>
      <c r="AY12" s="311">
        <v>3.5914237803349738</v>
      </c>
      <c r="AZ12" s="311">
        <v>2.9820696372137299</v>
      </c>
      <c r="BA12" s="311">
        <v>3.740145122879726</v>
      </c>
      <c r="BB12" s="311">
        <v>3.1928078686490449</v>
      </c>
      <c r="BC12" s="311">
        <v>2.4180146397708846</v>
      </c>
      <c r="BD12" s="311">
        <v>3.5034258799789413</v>
      </c>
      <c r="BE12" s="311">
        <v>1.9505172200744809</v>
      </c>
      <c r="BF12" s="248"/>
      <c r="BG12" s="248"/>
    </row>
    <row r="13" spans="1:60" ht="17" x14ac:dyDescent="0.2">
      <c r="A13" s="157"/>
      <c r="B13" s="282"/>
      <c r="C13" s="6" t="s">
        <v>78</v>
      </c>
      <c r="D13" s="311">
        <v>4.5206605836365705</v>
      </c>
      <c r="E13" s="311">
        <v>4.0434254372777119</v>
      </c>
      <c r="F13" s="311">
        <v>4.1380034964203904</v>
      </c>
      <c r="G13" s="311">
        <v>3.9408467994815548</v>
      </c>
      <c r="H13" s="311">
        <v>3.8796757922909784</v>
      </c>
      <c r="I13" s="311">
        <v>4.2220987704839548</v>
      </c>
      <c r="J13" s="311">
        <v>3.168612665273582</v>
      </c>
      <c r="K13" s="311">
        <v>3.937227771410027</v>
      </c>
      <c r="L13" s="311">
        <v>3.6191044608400103</v>
      </c>
      <c r="M13" s="311">
        <v>4.1217263159818103</v>
      </c>
      <c r="N13" s="311">
        <v>3.9535902676339201</v>
      </c>
      <c r="O13" s="311">
        <v>5.0605592391710141</v>
      </c>
      <c r="P13" s="311">
        <v>4.7391980544675372</v>
      </c>
      <c r="Q13" s="311">
        <v>3.6702934290185421</v>
      </c>
      <c r="R13" s="311">
        <v>4.268690707229494</v>
      </c>
      <c r="S13" s="311">
        <v>4.4267497824532818</v>
      </c>
      <c r="T13" s="311">
        <v>4.1529028840931561</v>
      </c>
      <c r="U13" s="311">
        <v>4.0860042822878775</v>
      </c>
      <c r="V13" s="311">
        <v>4.2430329757583118</v>
      </c>
      <c r="W13" s="311">
        <v>4.4106638836154382</v>
      </c>
      <c r="X13" s="311">
        <v>3.9902641807750756</v>
      </c>
      <c r="Y13" s="311">
        <v>3.6763140615075267</v>
      </c>
      <c r="Z13" s="311">
        <v>3.9951021209967315</v>
      </c>
      <c r="AA13" s="311">
        <v>4.14406337146551</v>
      </c>
      <c r="AB13" s="311">
        <v>4.526373606980691</v>
      </c>
      <c r="AC13" s="311">
        <v>4.2140629730155101</v>
      </c>
      <c r="AD13" s="311">
        <v>4.6913045465460277</v>
      </c>
      <c r="AE13" s="38">
        <f>'User Add-in Location'!B17</f>
        <v>0</v>
      </c>
      <c r="AF13" s="38">
        <f>'User Add-in Location'!C17</f>
        <v>0</v>
      </c>
      <c r="AG13" s="311">
        <v>3.948790548677299</v>
      </c>
      <c r="AH13" s="311">
        <v>4.3119987671441056</v>
      </c>
      <c r="AI13" s="311">
        <v>4.0653002767728941</v>
      </c>
      <c r="AJ13" s="311">
        <v>3.605585776564689</v>
      </c>
      <c r="AK13" s="311">
        <v>5.1643773141460132</v>
      </c>
      <c r="AL13" s="311">
        <v>3.791223606083066</v>
      </c>
      <c r="AM13" s="311">
        <v>4.2907133033825522</v>
      </c>
      <c r="AN13" s="311">
        <v>3.9959442509389205</v>
      </c>
      <c r="AO13" s="311">
        <v>4.2998380641930174</v>
      </c>
      <c r="AP13" s="311">
        <v>4.176612228611007</v>
      </c>
      <c r="AQ13" s="311">
        <v>4.4439181457028241</v>
      </c>
      <c r="AR13" s="311">
        <v>3.9276796126735332</v>
      </c>
      <c r="AS13" s="311">
        <v>3.8477692905414163</v>
      </c>
      <c r="AT13" s="311">
        <v>4.2891103886638593</v>
      </c>
      <c r="AU13" s="311">
        <v>4.1692675055746937</v>
      </c>
      <c r="AV13" s="311">
        <v>3.9266586722877905</v>
      </c>
      <c r="AW13" s="311">
        <v>3.5148846744058981</v>
      </c>
      <c r="AX13" s="311">
        <v>3.9584088833552213</v>
      </c>
      <c r="AY13" s="311">
        <v>4.5739760938526448</v>
      </c>
      <c r="AZ13" s="311">
        <v>4.3259295865036531</v>
      </c>
      <c r="BA13" s="311">
        <v>4.0051519838715821</v>
      </c>
      <c r="BB13" s="311">
        <v>3.8506956245596085</v>
      </c>
      <c r="BC13" s="311">
        <v>4.4076227224970008</v>
      </c>
      <c r="BD13" s="311">
        <v>4.4998076053161684</v>
      </c>
      <c r="BE13" s="311">
        <v>4.1112771813074378</v>
      </c>
      <c r="BF13" s="248"/>
      <c r="BG13" s="248"/>
    </row>
    <row r="14" spans="1:60" ht="17" x14ac:dyDescent="0.2">
      <c r="A14" s="157"/>
      <c r="B14" s="282"/>
      <c r="C14" s="6" t="s">
        <v>79</v>
      </c>
      <c r="D14" s="311">
        <v>10.804186267765692</v>
      </c>
      <c r="E14" s="311">
        <v>10.971136829378519</v>
      </c>
      <c r="F14" s="311">
        <v>9.6261235645247503</v>
      </c>
      <c r="G14" s="311">
        <v>11.07417226100387</v>
      </c>
      <c r="H14" s="311">
        <v>8.8172770248475754</v>
      </c>
      <c r="I14" s="311">
        <v>10.560694391438412</v>
      </c>
      <c r="J14" s="311">
        <v>9.3496289913235557</v>
      </c>
      <c r="K14" s="311">
        <v>11.271207790551175</v>
      </c>
      <c r="L14" s="311">
        <v>9.5072931677660009</v>
      </c>
      <c r="M14" s="311">
        <v>10.365672304926209</v>
      </c>
      <c r="N14" s="311">
        <v>10.718654652543673</v>
      </c>
      <c r="O14" s="311">
        <v>9.3857247364124952</v>
      </c>
      <c r="P14" s="311">
        <v>10.376986887580752</v>
      </c>
      <c r="Q14" s="311">
        <v>10.251040958312773</v>
      </c>
      <c r="R14" s="311">
        <v>10.70625397633262</v>
      </c>
      <c r="S14" s="311">
        <v>11.995447550982561</v>
      </c>
      <c r="T14" s="311">
        <v>10.60569967186141</v>
      </c>
      <c r="U14" s="311">
        <v>11.607541190816244</v>
      </c>
      <c r="V14" s="311">
        <v>10.492426170681943</v>
      </c>
      <c r="W14" s="311">
        <v>11.00885560089513</v>
      </c>
      <c r="X14" s="311">
        <v>10.110365088455016</v>
      </c>
      <c r="Y14" s="311">
        <v>10.59560550325725</v>
      </c>
      <c r="Z14" s="311">
        <v>10.233085174257841</v>
      </c>
      <c r="AA14" s="311">
        <v>10.583176329426058</v>
      </c>
      <c r="AB14" s="311">
        <v>10.839327725149316</v>
      </c>
      <c r="AC14" s="311">
        <v>10.953331934555884</v>
      </c>
      <c r="AD14" s="311">
        <v>12.392256297466918</v>
      </c>
      <c r="AE14" s="38">
        <f>'User Add-in Location'!B18</f>
        <v>0</v>
      </c>
      <c r="AF14" s="38">
        <f>'User Add-in Location'!C18</f>
        <v>0</v>
      </c>
      <c r="AG14" s="311">
        <v>11.323663542343356</v>
      </c>
      <c r="AH14" s="311">
        <v>9.3007708318005236</v>
      </c>
      <c r="AI14" s="311">
        <v>11.110118555398737</v>
      </c>
      <c r="AJ14" s="311">
        <v>9.5558208096123174</v>
      </c>
      <c r="AK14" s="311">
        <v>11.223628470047286</v>
      </c>
      <c r="AL14" s="311">
        <v>9.1961782829194121</v>
      </c>
      <c r="AM14" s="311">
        <v>11.501869416030756</v>
      </c>
      <c r="AN14" s="311">
        <v>10.478190598951656</v>
      </c>
      <c r="AO14" s="311">
        <v>10.294771567410544</v>
      </c>
      <c r="AP14" s="311">
        <v>11.212547822313084</v>
      </c>
      <c r="AQ14" s="311">
        <v>11.717379194531068</v>
      </c>
      <c r="AR14" s="311">
        <v>11.162596650037344</v>
      </c>
      <c r="AS14" s="311">
        <v>10.137697277273547</v>
      </c>
      <c r="AT14" s="311">
        <v>11.069667871677689</v>
      </c>
      <c r="AU14" s="311">
        <v>10.543664113392445</v>
      </c>
      <c r="AV14" s="311">
        <v>10.313890107449961</v>
      </c>
      <c r="AW14" s="311">
        <v>9.9116814467733736</v>
      </c>
      <c r="AX14" s="311">
        <v>10.082604537041936</v>
      </c>
      <c r="AY14" s="311">
        <v>9.9806391135107724</v>
      </c>
      <c r="AZ14" s="311">
        <v>10.846554193006352</v>
      </c>
      <c r="BA14" s="311">
        <v>10.59347315110592</v>
      </c>
      <c r="BB14" s="311">
        <v>6.7580475400970919</v>
      </c>
      <c r="BC14" s="311">
        <v>11.273142598503764</v>
      </c>
      <c r="BD14" s="311">
        <v>11.072921276812696</v>
      </c>
      <c r="BE14" s="311">
        <v>10.392144056268044</v>
      </c>
      <c r="BF14" s="248"/>
      <c r="BG14" s="248"/>
    </row>
    <row r="15" spans="1:60" ht="17" x14ac:dyDescent="0.2">
      <c r="A15" s="157"/>
      <c r="B15" s="282"/>
      <c r="C15" s="6" t="s">
        <v>154</v>
      </c>
      <c r="D15" s="311">
        <v>4.9927929271309122</v>
      </c>
      <c r="E15" s="311">
        <v>4.2770266975087825</v>
      </c>
      <c r="F15" s="311">
        <v>5.0204519812060333</v>
      </c>
      <c r="G15" s="311">
        <v>4.9534417897610794</v>
      </c>
      <c r="H15" s="311">
        <v>3.7327690593784588</v>
      </c>
      <c r="I15" s="311">
        <v>4.9748424998403111</v>
      </c>
      <c r="J15" s="311">
        <v>3.5434703170996604</v>
      </c>
      <c r="K15" s="311">
        <v>2.5172311204883133</v>
      </c>
      <c r="L15" s="311">
        <v>3.2761172553142806</v>
      </c>
      <c r="M15" s="311">
        <v>5.1829855695943996</v>
      </c>
      <c r="N15" s="311">
        <v>4.1046333409005102</v>
      </c>
      <c r="O15" s="311">
        <v>3.8577075385056849</v>
      </c>
      <c r="P15" s="311">
        <v>5.431408060951501</v>
      </c>
      <c r="Q15" s="311">
        <v>3.7122718464925399</v>
      </c>
      <c r="R15" s="311">
        <v>4.3055582208416299</v>
      </c>
      <c r="S15" s="311">
        <v>3.6884226890661211</v>
      </c>
      <c r="T15" s="311">
        <v>4.3791269219238051</v>
      </c>
      <c r="U15" s="311">
        <v>4.7096653502374748</v>
      </c>
      <c r="V15" s="311">
        <v>5.3718784673662237</v>
      </c>
      <c r="W15" s="311">
        <v>4.4056308261794044</v>
      </c>
      <c r="X15" s="311">
        <v>4.0173934710291999</v>
      </c>
      <c r="Y15" s="311">
        <v>3.4604400112675169</v>
      </c>
      <c r="Z15" s="311">
        <v>4.700672034250819</v>
      </c>
      <c r="AA15" s="311">
        <v>4.6419186596703383</v>
      </c>
      <c r="AB15" s="311">
        <v>5.1960683704254684</v>
      </c>
      <c r="AC15" s="311">
        <v>4.759242334585962</v>
      </c>
      <c r="AD15" s="311">
        <v>5.599241272944794</v>
      </c>
      <c r="AE15" s="38">
        <f>'User Add-in Location'!B19</f>
        <v>0</v>
      </c>
      <c r="AF15" s="38">
        <f>'User Add-in Location'!C19</f>
        <v>0</v>
      </c>
      <c r="AG15" s="311">
        <v>4.169045250616378</v>
      </c>
      <c r="AH15" s="311">
        <v>5.2940189670219571</v>
      </c>
      <c r="AI15" s="311">
        <v>3.8925388956865694</v>
      </c>
      <c r="AJ15" s="311">
        <v>4.3231785431366196</v>
      </c>
      <c r="AK15" s="311">
        <v>4.490078053658018</v>
      </c>
      <c r="AL15" s="311">
        <v>2.846931385287522</v>
      </c>
      <c r="AM15" s="311">
        <v>4.1189171212273292</v>
      </c>
      <c r="AN15" s="311">
        <v>5.0382070200360403</v>
      </c>
      <c r="AO15" s="311">
        <v>3.9130652022280428</v>
      </c>
      <c r="AP15" s="311">
        <v>5.2748553636899205</v>
      </c>
      <c r="AQ15" s="311">
        <v>4.5162749098947064</v>
      </c>
      <c r="AR15" s="311">
        <v>4.1304442746477781</v>
      </c>
      <c r="AS15" s="311">
        <v>4.0343982068329263</v>
      </c>
      <c r="AT15" s="311">
        <v>5.0966208713830978</v>
      </c>
      <c r="AU15" s="311">
        <v>4.0060757716546398</v>
      </c>
      <c r="AV15" s="311">
        <v>4.5774350010597864</v>
      </c>
      <c r="AW15" s="311">
        <v>4.8881355864366007</v>
      </c>
      <c r="AX15" s="311">
        <v>4.123491370869842</v>
      </c>
      <c r="AY15" s="311">
        <v>4.8026415052402909</v>
      </c>
      <c r="AZ15" s="311">
        <v>4.1681805057644459</v>
      </c>
      <c r="BA15" s="311">
        <v>4.1711038484051732</v>
      </c>
      <c r="BB15" s="311">
        <v>4.1128032798715077</v>
      </c>
      <c r="BC15" s="311">
        <v>4.5704199221915696</v>
      </c>
      <c r="BD15" s="311">
        <v>4.0119901968749181</v>
      </c>
      <c r="BE15" s="311">
        <v>5.4734950563168132</v>
      </c>
      <c r="BF15" s="248"/>
      <c r="BG15" s="248"/>
    </row>
    <row r="16" spans="1:60" ht="17" x14ac:dyDescent="0.2">
      <c r="A16" s="157"/>
      <c r="B16" s="282"/>
      <c r="C16" s="6" t="s">
        <v>155</v>
      </c>
      <c r="D16" s="311">
        <v>10.655317439792737</v>
      </c>
      <c r="E16" s="311">
        <v>8.0788102779319733</v>
      </c>
      <c r="F16" s="311">
        <v>9.0373676845878084</v>
      </c>
      <c r="G16" s="311">
        <v>9.5474421826386262</v>
      </c>
      <c r="H16" s="311">
        <v>7.3522597320730654</v>
      </c>
      <c r="I16" s="311">
        <v>8.2365364732908901</v>
      </c>
      <c r="J16" s="311">
        <v>7.5795757268899422</v>
      </c>
      <c r="K16" s="311">
        <v>7.9855006418752676</v>
      </c>
      <c r="L16" s="311">
        <v>6.5687281827740804</v>
      </c>
      <c r="M16" s="311">
        <v>9.2341937345208809</v>
      </c>
      <c r="N16" s="311">
        <v>8.4570286169337994</v>
      </c>
      <c r="O16" s="311">
        <v>8.7055047818251925</v>
      </c>
      <c r="P16" s="311">
        <v>10.560894358773183</v>
      </c>
      <c r="Q16" s="311">
        <v>8.3476564677230378</v>
      </c>
      <c r="R16" s="311">
        <v>10.050016212193714</v>
      </c>
      <c r="S16" s="311">
        <v>10.167197602438378</v>
      </c>
      <c r="T16" s="311">
        <v>8.7981842631883289</v>
      </c>
      <c r="U16" s="311">
        <v>9.7917341076612736</v>
      </c>
      <c r="V16" s="311">
        <v>9.8359044971375322</v>
      </c>
      <c r="W16" s="311">
        <v>9.8289647674851537</v>
      </c>
      <c r="X16" s="311">
        <v>8.2755420614808344</v>
      </c>
      <c r="Y16" s="311">
        <v>7.6063932459497305</v>
      </c>
      <c r="Z16" s="311">
        <v>9.4098413690247131</v>
      </c>
      <c r="AA16" s="311">
        <v>8.6909680176100608</v>
      </c>
      <c r="AB16" s="311">
        <v>10.630266285893484</v>
      </c>
      <c r="AC16" s="311">
        <v>8.6474953157316676</v>
      </c>
      <c r="AD16" s="311">
        <v>10.500140476543629</v>
      </c>
      <c r="AE16" s="38">
        <f>'User Add-in Location'!B20</f>
        <v>0</v>
      </c>
      <c r="AF16" s="38">
        <f>'User Add-in Location'!C20</f>
        <v>0</v>
      </c>
      <c r="AG16" s="311">
        <v>9.2308988446379807</v>
      </c>
      <c r="AH16" s="311">
        <v>8.0206414276595375</v>
      </c>
      <c r="AI16" s="311">
        <v>8.6081889043746287</v>
      </c>
      <c r="AJ16" s="311">
        <v>7.7859961261976292</v>
      </c>
      <c r="AK16" s="311">
        <v>9.0422389503002716</v>
      </c>
      <c r="AL16" s="311">
        <v>7.2050112285364438</v>
      </c>
      <c r="AM16" s="311">
        <v>9.2376934633342653</v>
      </c>
      <c r="AN16" s="311">
        <v>9.419097180055866</v>
      </c>
      <c r="AO16" s="311">
        <v>9.277783807232753</v>
      </c>
      <c r="AP16" s="311">
        <v>9.6699016324756819</v>
      </c>
      <c r="AQ16" s="311">
        <v>8.9812111400328956</v>
      </c>
      <c r="AR16" s="311">
        <v>8.2114210001028525</v>
      </c>
      <c r="AS16" s="311">
        <v>8.8413701703935637</v>
      </c>
      <c r="AT16" s="311">
        <v>9.9671681761845417</v>
      </c>
      <c r="AU16" s="311">
        <v>9.6709571809246473</v>
      </c>
      <c r="AV16" s="311">
        <v>8.9613156106330329</v>
      </c>
      <c r="AW16" s="311">
        <v>8.8245219977856895</v>
      </c>
      <c r="AX16" s="311">
        <v>8.4318506215244486</v>
      </c>
      <c r="AY16" s="311">
        <v>9.2117699120903804</v>
      </c>
      <c r="AZ16" s="311">
        <v>9.9120134875693289</v>
      </c>
      <c r="BA16" s="311">
        <v>8.2163910882364686</v>
      </c>
      <c r="BB16" s="311">
        <v>6.6964141829874402</v>
      </c>
      <c r="BC16" s="311">
        <v>10.252827472601293</v>
      </c>
      <c r="BD16" s="311">
        <v>9.3723742061737028</v>
      </c>
      <c r="BE16" s="311">
        <v>10.065892852835351</v>
      </c>
      <c r="BF16" s="248"/>
      <c r="BG16" s="248"/>
    </row>
    <row r="17" spans="1:59" ht="17" x14ac:dyDescent="0.2">
      <c r="A17" s="157"/>
      <c r="B17" s="282"/>
      <c r="C17" s="6" t="s">
        <v>156</v>
      </c>
      <c r="D17" s="311">
        <v>6.1947220321440337</v>
      </c>
      <c r="E17" s="311">
        <v>6.2807095903915409</v>
      </c>
      <c r="F17" s="311">
        <v>6.6424066852831531</v>
      </c>
      <c r="G17" s="311">
        <v>7.6911420225381137</v>
      </c>
      <c r="H17" s="311">
        <v>5.1891477492306102</v>
      </c>
      <c r="I17" s="311">
        <v>6.0948779552463721</v>
      </c>
      <c r="J17" s="311">
        <v>5.4806551937463963</v>
      </c>
      <c r="K17" s="311">
        <v>4.8040155037154166</v>
      </c>
      <c r="L17" s="311">
        <v>3.3810208857494795</v>
      </c>
      <c r="M17" s="311">
        <v>6.5200759292523625</v>
      </c>
      <c r="N17" s="311">
        <v>6.2235222986830001</v>
      </c>
      <c r="O17" s="311">
        <v>6.3035054924582665</v>
      </c>
      <c r="P17" s="311">
        <v>6.5381054106804823</v>
      </c>
      <c r="Q17" s="311">
        <v>5.1725263235564451</v>
      </c>
      <c r="R17" s="311">
        <v>5.518991748675278</v>
      </c>
      <c r="S17" s="311">
        <v>6.6147341163235973</v>
      </c>
      <c r="T17" s="311">
        <v>6.7095525676615901</v>
      </c>
      <c r="U17" s="311">
        <v>6.9142860745806178</v>
      </c>
      <c r="V17" s="311">
        <v>6.6474737991311299</v>
      </c>
      <c r="W17" s="311">
        <v>6.8626848016896336</v>
      </c>
      <c r="X17" s="311">
        <v>5.3112926037421664</v>
      </c>
      <c r="Y17" s="311">
        <v>4.5637836230007505</v>
      </c>
      <c r="Z17" s="311">
        <v>5.763261184527801</v>
      </c>
      <c r="AA17" s="311">
        <v>5.7305233156262219</v>
      </c>
      <c r="AB17" s="311">
        <v>7.3120520693182618</v>
      </c>
      <c r="AC17" s="311">
        <v>5.8758949281214576</v>
      </c>
      <c r="AD17" s="311">
        <v>7.6525208696376259</v>
      </c>
      <c r="AE17" s="38">
        <f>'User Add-in Location'!B21</f>
        <v>0</v>
      </c>
      <c r="AF17" s="38">
        <f>'User Add-in Location'!C21</f>
        <v>0</v>
      </c>
      <c r="AG17" s="311">
        <v>6.4105206070413656</v>
      </c>
      <c r="AH17" s="311">
        <v>6.5395227095004573</v>
      </c>
      <c r="AI17" s="311">
        <v>5.8745344973249658</v>
      </c>
      <c r="AJ17" s="311">
        <v>5.1697764119275744</v>
      </c>
      <c r="AK17" s="311">
        <v>5.1534659951333222</v>
      </c>
      <c r="AL17" s="311">
        <v>4.7945968697353392</v>
      </c>
      <c r="AM17" s="311">
        <v>5.6625847324383081</v>
      </c>
      <c r="AN17" s="311">
        <v>6.6724126996319439</v>
      </c>
      <c r="AO17" s="311">
        <v>6.2822008295710052</v>
      </c>
      <c r="AP17" s="311">
        <v>7.1606208276380547</v>
      </c>
      <c r="AQ17" s="311">
        <v>6.0564368283371159</v>
      </c>
      <c r="AR17" s="311">
        <v>5.3276675403400171</v>
      </c>
      <c r="AS17" s="311">
        <v>6.3801888971826486</v>
      </c>
      <c r="AT17" s="311">
        <v>6.5725264526110552</v>
      </c>
      <c r="AU17" s="311">
        <v>6.7154822910889269</v>
      </c>
      <c r="AV17" s="311">
        <v>6.2851064285947649</v>
      </c>
      <c r="AW17" s="311">
        <v>5.8479010568816312</v>
      </c>
      <c r="AX17" s="311">
        <v>5.5950657723175059</v>
      </c>
      <c r="AY17" s="311">
        <v>6.8392268646936101</v>
      </c>
      <c r="AZ17" s="311">
        <v>6.9164542225372241</v>
      </c>
      <c r="BA17" s="311">
        <v>5.3809228551867747</v>
      </c>
      <c r="BB17" s="311">
        <v>5.5772521352035689</v>
      </c>
      <c r="BC17" s="311">
        <v>6.4912014881781257</v>
      </c>
      <c r="BD17" s="311">
        <v>6.2378672518393019</v>
      </c>
      <c r="BE17" s="311">
        <v>7.438155847448142</v>
      </c>
      <c r="BF17" s="248"/>
      <c r="BG17" s="248"/>
    </row>
    <row r="18" spans="1:59" ht="17" x14ac:dyDescent="0.2">
      <c r="A18" s="160" t="s">
        <v>422</v>
      </c>
      <c r="B18" s="282"/>
      <c r="C18" s="6" t="s">
        <v>80</v>
      </c>
      <c r="D18" s="311">
        <v>7.8639963222310394</v>
      </c>
      <c r="E18" s="311">
        <v>7.2245472943744717</v>
      </c>
      <c r="F18" s="311">
        <v>7.7072653895340144</v>
      </c>
      <c r="G18" s="311">
        <v>10.608398392771196</v>
      </c>
      <c r="H18" s="311">
        <v>6.0474544718393153</v>
      </c>
      <c r="I18" s="311">
        <v>9.0924842509111166</v>
      </c>
      <c r="J18" s="311">
        <v>6.1509122177103261</v>
      </c>
      <c r="K18" s="311">
        <v>8.7063282739963999</v>
      </c>
      <c r="L18" s="311">
        <v>4.1499464557491992</v>
      </c>
      <c r="M18" s="311">
        <v>8.0188682096689909</v>
      </c>
      <c r="N18" s="311">
        <v>9.7711171972519466</v>
      </c>
      <c r="O18" s="311">
        <v>7.2874903389748562</v>
      </c>
      <c r="P18" s="311">
        <v>10.644667019893784</v>
      </c>
      <c r="Q18" s="311">
        <v>8.7200466785155228</v>
      </c>
      <c r="R18" s="311">
        <v>10.300490665337914</v>
      </c>
      <c r="S18" s="311">
        <v>9.689934510708742</v>
      </c>
      <c r="T18" s="311">
        <v>10.008540120070744</v>
      </c>
      <c r="U18" s="311">
        <v>9.2714304925378404</v>
      </c>
      <c r="V18" s="311">
        <v>9.933642188574396</v>
      </c>
      <c r="W18" s="311">
        <v>8.9299168519056771</v>
      </c>
      <c r="X18" s="311">
        <v>5.2664241679994088</v>
      </c>
      <c r="Y18" s="311">
        <v>5.9397453494475503</v>
      </c>
      <c r="Z18" s="311">
        <v>9.1344735126314873</v>
      </c>
      <c r="AA18" s="311">
        <v>8.8435580836112369</v>
      </c>
      <c r="AB18" s="311">
        <v>10.663344727902636</v>
      </c>
      <c r="AC18" s="311">
        <v>9.6524293846982232</v>
      </c>
      <c r="AD18" s="311">
        <v>10.03533830037566</v>
      </c>
      <c r="AE18" s="38">
        <f>'User Add-in Location'!B22</f>
        <v>0</v>
      </c>
      <c r="AF18" s="38">
        <f>'User Add-in Location'!C22</f>
        <v>0</v>
      </c>
      <c r="AG18" s="311">
        <v>9.9332943850172573</v>
      </c>
      <c r="AH18" s="311">
        <v>6.3947690738938627</v>
      </c>
      <c r="AI18" s="311">
        <v>7.1353935358381646</v>
      </c>
      <c r="AJ18" s="311">
        <v>6.8970109587386572</v>
      </c>
      <c r="AK18" s="311">
        <v>6.0170589433781521</v>
      </c>
      <c r="AL18" s="311">
        <v>6.1999564031523162</v>
      </c>
      <c r="AM18" s="311">
        <v>9.6641501986630107</v>
      </c>
      <c r="AN18" s="311">
        <v>9.4111682347150989</v>
      </c>
      <c r="AO18" s="311">
        <v>8.3817442898727652</v>
      </c>
      <c r="AP18" s="311">
        <v>8.0060310262666654</v>
      </c>
      <c r="AQ18" s="311">
        <v>8.1570590583639806</v>
      </c>
      <c r="AR18" s="311">
        <v>7.5624044645583552</v>
      </c>
      <c r="AS18" s="311">
        <v>6.4108162638417143</v>
      </c>
      <c r="AT18" s="311">
        <v>9.1869174586682973</v>
      </c>
      <c r="AU18" s="311">
        <v>9.4925389106712945</v>
      </c>
      <c r="AV18" s="311">
        <v>9.3991380917389069</v>
      </c>
      <c r="AW18" s="311">
        <v>8.5863809727249745</v>
      </c>
      <c r="AX18" s="311">
        <v>7.6553894200271504</v>
      </c>
      <c r="AY18" s="311">
        <v>9.0048327049456844</v>
      </c>
      <c r="AZ18" s="311">
        <v>9.8879489596980896</v>
      </c>
      <c r="BA18" s="311">
        <v>6.3946354590613055</v>
      </c>
      <c r="BB18" s="311">
        <v>6.768177290810427</v>
      </c>
      <c r="BC18" s="311">
        <v>9.7062796403270877</v>
      </c>
      <c r="BD18" s="311">
        <v>9.328234389438709</v>
      </c>
      <c r="BE18" s="311">
        <v>8.8690776362455512</v>
      </c>
      <c r="BF18" s="248"/>
      <c r="BG18" s="248"/>
    </row>
    <row r="19" spans="1:59" ht="16" x14ac:dyDescent="0.2">
      <c r="A19" s="157"/>
      <c r="B19" s="282"/>
      <c r="C19" s="6"/>
      <c r="D19" s="311"/>
      <c r="E19" s="311"/>
      <c r="F19" s="311"/>
      <c r="G19" s="311"/>
      <c r="H19" s="311"/>
      <c r="I19" s="311"/>
      <c r="J19" s="311"/>
      <c r="K19" s="311"/>
      <c r="L19" s="311"/>
      <c r="M19" s="311"/>
      <c r="N19" s="311"/>
      <c r="O19" s="311"/>
      <c r="P19" s="311"/>
      <c r="Q19" s="311"/>
      <c r="R19" s="311"/>
      <c r="S19" s="311"/>
      <c r="T19" s="311"/>
      <c r="U19" s="311"/>
      <c r="V19" s="311"/>
      <c r="W19" s="311"/>
      <c r="X19" s="311"/>
      <c r="Y19" s="311"/>
      <c r="Z19" s="311"/>
      <c r="AA19" s="311"/>
      <c r="AB19" s="311"/>
      <c r="AC19" s="311"/>
      <c r="AD19" s="311"/>
      <c r="AG19" s="311"/>
      <c r="AH19" s="311"/>
      <c r="AI19" s="311"/>
      <c r="AJ19" s="311"/>
      <c r="AK19" s="311"/>
      <c r="AL19" s="311"/>
      <c r="AM19" s="311"/>
      <c r="AN19" s="311"/>
      <c r="AO19" s="311"/>
      <c r="AP19" s="311"/>
      <c r="AQ19" s="311"/>
      <c r="AR19" s="311"/>
      <c r="AS19" s="311"/>
      <c r="AT19" s="311"/>
      <c r="AU19" s="311"/>
      <c r="AV19" s="311"/>
      <c r="AW19" s="311"/>
      <c r="AX19" s="311"/>
      <c r="AY19" s="311"/>
      <c r="AZ19" s="311"/>
      <c r="BA19" s="311"/>
      <c r="BB19" s="311"/>
      <c r="BC19" s="311"/>
      <c r="BD19" s="311"/>
      <c r="BE19" s="311"/>
      <c r="BF19" s="248"/>
      <c r="BG19" s="248"/>
    </row>
    <row r="20" spans="1:59" ht="16" x14ac:dyDescent="0.2">
      <c r="A20" s="157"/>
      <c r="B20" s="282"/>
      <c r="C20" s="17" t="s">
        <v>281</v>
      </c>
      <c r="D20" s="311"/>
      <c r="E20" s="311"/>
      <c r="F20" s="311"/>
      <c r="G20" s="311"/>
      <c r="H20" s="311"/>
      <c r="I20" s="311"/>
      <c r="J20" s="311"/>
      <c r="K20" s="311"/>
      <c r="L20" s="311"/>
      <c r="M20" s="311"/>
      <c r="N20" s="311"/>
      <c r="O20" s="311"/>
      <c r="P20" s="311"/>
      <c r="Q20" s="311"/>
      <c r="R20" s="311"/>
      <c r="S20" s="311"/>
      <c r="T20" s="311"/>
      <c r="U20" s="311"/>
      <c r="V20" s="311"/>
      <c r="W20" s="311"/>
      <c r="X20" s="311"/>
      <c r="Y20" s="311"/>
      <c r="Z20" s="311"/>
      <c r="AA20" s="311"/>
      <c r="AB20" s="311"/>
      <c r="AC20" s="311"/>
      <c r="AD20" s="311"/>
      <c r="AE20" s="38"/>
      <c r="AF20" s="38"/>
      <c r="AG20" s="311"/>
      <c r="AH20" s="311"/>
      <c r="AI20" s="311"/>
      <c r="AJ20" s="311"/>
      <c r="AK20" s="311"/>
      <c r="AL20" s="311"/>
      <c r="AM20" s="311"/>
      <c r="AN20" s="311"/>
      <c r="AO20" s="311"/>
      <c r="AP20" s="311"/>
      <c r="AQ20" s="311"/>
      <c r="AR20" s="311"/>
      <c r="AS20" s="311"/>
      <c r="AT20" s="311"/>
      <c r="AU20" s="311"/>
      <c r="AV20" s="311"/>
      <c r="AW20" s="311"/>
      <c r="AX20" s="311"/>
      <c r="AY20" s="311"/>
      <c r="AZ20" s="311"/>
      <c r="BA20" s="311"/>
      <c r="BB20" s="311"/>
      <c r="BC20" s="311"/>
      <c r="BD20" s="311"/>
      <c r="BE20" s="311"/>
      <c r="BF20" s="248"/>
      <c r="BG20" s="248"/>
    </row>
    <row r="21" spans="1:59" ht="16" x14ac:dyDescent="0.2">
      <c r="A21" s="157"/>
      <c r="B21" s="282"/>
      <c r="C21" s="79" t="s">
        <v>285</v>
      </c>
      <c r="D21" s="311" t="s">
        <v>82</v>
      </c>
      <c r="E21" s="311" t="s">
        <v>83</v>
      </c>
      <c r="F21" s="311" t="s">
        <v>84</v>
      </c>
      <c r="G21" s="311" t="s">
        <v>85</v>
      </c>
      <c r="H21" s="311" t="s">
        <v>86</v>
      </c>
      <c r="I21" s="311" t="s">
        <v>87</v>
      </c>
      <c r="J21" s="311" t="s">
        <v>88</v>
      </c>
      <c r="K21" s="311" t="s">
        <v>89</v>
      </c>
      <c r="L21" s="311" t="s">
        <v>90</v>
      </c>
      <c r="M21" s="311" t="s">
        <v>91</v>
      </c>
      <c r="N21" s="311" t="s">
        <v>92</v>
      </c>
      <c r="O21" s="311" t="s">
        <v>93</v>
      </c>
      <c r="P21" s="311" t="s">
        <v>94</v>
      </c>
      <c r="Q21" s="311" t="s">
        <v>95</v>
      </c>
      <c r="R21" s="311" t="s">
        <v>96</v>
      </c>
      <c r="S21" s="311" t="s">
        <v>97</v>
      </c>
      <c r="T21" s="311" t="s">
        <v>98</v>
      </c>
      <c r="U21" s="311" t="s">
        <v>99</v>
      </c>
      <c r="V21" s="311" t="s">
        <v>100</v>
      </c>
      <c r="W21" s="311" t="s">
        <v>101</v>
      </c>
      <c r="X21" s="311" t="s">
        <v>102</v>
      </c>
      <c r="Y21" s="311" t="s">
        <v>103</v>
      </c>
      <c r="Z21" s="311" t="s">
        <v>104</v>
      </c>
      <c r="AA21" s="311" t="s">
        <v>105</v>
      </c>
      <c r="AB21" s="311" t="s">
        <v>106</v>
      </c>
      <c r="AC21" s="311" t="s">
        <v>107</v>
      </c>
      <c r="AD21" s="311" t="s">
        <v>108</v>
      </c>
      <c r="AE21" s="38" t="s">
        <v>322</v>
      </c>
      <c r="AF21" s="38" t="s">
        <v>321</v>
      </c>
      <c r="AG21" s="311" t="s">
        <v>109</v>
      </c>
      <c r="AH21" s="311" t="s">
        <v>110</v>
      </c>
      <c r="AI21" s="311" t="s">
        <v>111</v>
      </c>
      <c r="AJ21" s="311" t="s">
        <v>112</v>
      </c>
      <c r="AK21" s="311" t="s">
        <v>113</v>
      </c>
      <c r="AL21" s="311" t="s">
        <v>114</v>
      </c>
      <c r="AM21" s="311" t="s">
        <v>115</v>
      </c>
      <c r="AN21" s="311" t="s">
        <v>116</v>
      </c>
      <c r="AO21" s="311" t="s">
        <v>117</v>
      </c>
      <c r="AP21" s="311" t="s">
        <v>118</v>
      </c>
      <c r="AQ21" s="311" t="s">
        <v>119</v>
      </c>
      <c r="AR21" s="311" t="s">
        <v>120</v>
      </c>
      <c r="AS21" s="311" t="s">
        <v>121</v>
      </c>
      <c r="AT21" s="311" t="s">
        <v>122</v>
      </c>
      <c r="AU21" s="311" t="s">
        <v>123</v>
      </c>
      <c r="AV21" s="311" t="s">
        <v>124</v>
      </c>
      <c r="AW21" s="311" t="s">
        <v>125</v>
      </c>
      <c r="AX21" s="311" t="s">
        <v>585</v>
      </c>
      <c r="AY21" s="311" t="s">
        <v>126</v>
      </c>
      <c r="AZ21" s="311" t="s">
        <v>127</v>
      </c>
      <c r="BA21" s="311" t="s">
        <v>128</v>
      </c>
      <c r="BB21" s="311" t="s">
        <v>129</v>
      </c>
      <c r="BC21" s="311" t="s">
        <v>130</v>
      </c>
      <c r="BD21" s="311" t="s">
        <v>131</v>
      </c>
      <c r="BE21" s="311" t="s">
        <v>81</v>
      </c>
      <c r="BF21" s="248"/>
      <c r="BG21" s="248"/>
    </row>
    <row r="22" spans="1:59" ht="17" x14ac:dyDescent="0.2">
      <c r="A22" s="157"/>
      <c r="B22" s="282"/>
      <c r="C22" s="6" t="s">
        <v>76</v>
      </c>
      <c r="D22" s="311">
        <v>1.8641286150489995</v>
      </c>
      <c r="E22" s="311">
        <v>1.5854892791110617</v>
      </c>
      <c r="F22" s="311">
        <v>2.2771313425806672</v>
      </c>
      <c r="G22" s="311">
        <v>2.7406790280162245</v>
      </c>
      <c r="H22" s="311">
        <v>1.6764269588795195</v>
      </c>
      <c r="I22" s="311">
        <v>3.4222097350180718</v>
      </c>
      <c r="J22" s="311">
        <v>1.1669707514770855</v>
      </c>
      <c r="K22" s="311">
        <v>1.4388230583523265</v>
      </c>
      <c r="L22" s="311">
        <v>0.46821754276007571</v>
      </c>
      <c r="M22" s="311">
        <v>1.8752985660105976</v>
      </c>
      <c r="N22" s="311">
        <v>2.0907839055732298</v>
      </c>
      <c r="O22" s="311">
        <v>2.1483308568737853</v>
      </c>
      <c r="P22" s="311">
        <v>2.8119951676711543</v>
      </c>
      <c r="Q22" s="311">
        <v>2.1005418499681432</v>
      </c>
      <c r="R22" s="311">
        <v>1.583681108751237</v>
      </c>
      <c r="S22" s="311">
        <v>2.2992855247063466</v>
      </c>
      <c r="T22" s="311">
        <v>2.6980940986079118</v>
      </c>
      <c r="U22" s="311">
        <v>1.9660394986133503</v>
      </c>
      <c r="V22" s="311">
        <v>1.4747838690332011</v>
      </c>
      <c r="W22" s="311">
        <v>2.1050884106865988</v>
      </c>
      <c r="X22" s="311">
        <v>1.5513398127004059</v>
      </c>
      <c r="Y22" s="311">
        <v>0.75822216714545454</v>
      </c>
      <c r="Z22" s="311">
        <v>1.817119863845821</v>
      </c>
      <c r="AA22" s="311">
        <v>2.5446192699489174</v>
      </c>
      <c r="AB22" s="311">
        <v>2.1647598707106099</v>
      </c>
      <c r="AC22" s="311">
        <v>2.3554119656569852</v>
      </c>
      <c r="AD22" s="311">
        <v>2.625377070682831</v>
      </c>
      <c r="AE22" s="38">
        <f>'User Add-in Location'!B26</f>
        <v>0</v>
      </c>
      <c r="AF22" s="38">
        <f>'User Add-in Location'!C26</f>
        <v>0</v>
      </c>
      <c r="AG22" s="311">
        <v>2.3617408837967373</v>
      </c>
      <c r="AH22" s="311">
        <v>1.5021122041959929</v>
      </c>
      <c r="AI22" s="311">
        <v>1.4836153662010108</v>
      </c>
      <c r="AJ22" s="311">
        <v>1.0590977353531128</v>
      </c>
      <c r="AK22" s="311">
        <v>2.486984768925816</v>
      </c>
      <c r="AL22" s="311">
        <v>1.7669110726665591</v>
      </c>
      <c r="AM22" s="311">
        <v>2.0622091374668443</v>
      </c>
      <c r="AN22" s="311">
        <v>2.1021029272745371</v>
      </c>
      <c r="AO22" s="311">
        <v>1.980196231669257</v>
      </c>
      <c r="AP22" s="311">
        <v>2.3556975379104128</v>
      </c>
      <c r="AQ22" s="311">
        <v>2.3695674067763872</v>
      </c>
      <c r="AR22" s="311">
        <v>1.831326626377656</v>
      </c>
      <c r="AS22" s="311">
        <v>0.7349568314491628</v>
      </c>
      <c r="AT22" s="311">
        <v>1.8495492410585179</v>
      </c>
      <c r="AU22" s="311">
        <v>2.1985186102706034</v>
      </c>
      <c r="AV22" s="311">
        <v>2.0475432956453576</v>
      </c>
      <c r="AW22" s="311">
        <v>2.4442188707550394</v>
      </c>
      <c r="AX22" s="311">
        <v>4.1826774556313433</v>
      </c>
      <c r="AY22" s="311">
        <v>2.3014299031685237</v>
      </c>
      <c r="AZ22" s="311">
        <v>3.8297295660395618</v>
      </c>
      <c r="BA22" s="311">
        <v>2.1633150137400139</v>
      </c>
      <c r="BB22" s="311">
        <v>1.5665169968425223</v>
      </c>
      <c r="BC22" s="311">
        <v>2.3570468270426415</v>
      </c>
      <c r="BD22" s="311">
        <v>2.8065055279957289</v>
      </c>
      <c r="BE22" s="311">
        <v>1.9686104088464955</v>
      </c>
      <c r="BF22" s="248"/>
      <c r="BG22" s="248"/>
    </row>
    <row r="23" spans="1:59" ht="17" x14ac:dyDescent="0.2">
      <c r="A23" s="157"/>
      <c r="B23" s="282"/>
      <c r="C23" s="6" t="s">
        <v>148</v>
      </c>
      <c r="D23" s="311">
        <v>1.2995378486998939</v>
      </c>
      <c r="E23" s="311">
        <v>0.48412164818996573</v>
      </c>
      <c r="F23" s="311">
        <v>1.8014033177683679</v>
      </c>
      <c r="G23" s="311">
        <v>1.3968150305039131</v>
      </c>
      <c r="H23" s="311">
        <v>1.2722921935935665</v>
      </c>
      <c r="I23" s="311">
        <v>1.2758277841380581</v>
      </c>
      <c r="J23" s="311">
        <v>1.4484090827042315</v>
      </c>
      <c r="K23" s="311">
        <v>2.8300641340147124</v>
      </c>
      <c r="L23" s="311">
        <v>5.400947219140475</v>
      </c>
      <c r="M23" s="311">
        <v>2.79733345938073</v>
      </c>
      <c r="N23" s="311">
        <v>1.3649068974562286</v>
      </c>
      <c r="O23" s="311">
        <v>1.4210986584995615</v>
      </c>
      <c r="P23" s="311">
        <v>1.4313949054640818</v>
      </c>
      <c r="Q23" s="311">
        <v>2.1356835617929457</v>
      </c>
      <c r="R23" s="311">
        <v>1.6509409873621186</v>
      </c>
      <c r="S23" s="311">
        <v>1.5930902299593988</v>
      </c>
      <c r="T23" s="311">
        <v>3.6840593939538295</v>
      </c>
      <c r="U23" s="311">
        <v>1.71015043328413</v>
      </c>
      <c r="V23" s="311">
        <v>1.4442796991932965</v>
      </c>
      <c r="W23" s="311">
        <v>2.52905649223977</v>
      </c>
      <c r="X23" s="311">
        <v>1.8394247893709508</v>
      </c>
      <c r="Y23" s="311">
        <v>2.3308802881309405</v>
      </c>
      <c r="Z23" s="311">
        <v>1.7964497745819554</v>
      </c>
      <c r="AA23" s="311">
        <v>1.5098039878232428</v>
      </c>
      <c r="AB23" s="311">
        <v>2.3409369161664424</v>
      </c>
      <c r="AC23" s="311">
        <v>1.7361984052207122</v>
      </c>
      <c r="AD23" s="311">
        <v>1.8176428257032387</v>
      </c>
      <c r="AE23" s="38">
        <f>'User Add-in Location'!B27</f>
        <v>0</v>
      </c>
      <c r="AF23" s="38">
        <f>'User Add-in Location'!C27</f>
        <v>0</v>
      </c>
      <c r="AG23" s="311">
        <v>1.7789131478278628</v>
      </c>
      <c r="AH23" s="311">
        <v>1.4428411490003759</v>
      </c>
      <c r="AI23" s="311">
        <v>2.153526468140099</v>
      </c>
      <c r="AJ23" s="311">
        <v>2.0041731852172555</v>
      </c>
      <c r="AK23" s="311">
        <v>1.0282294362551541</v>
      </c>
      <c r="AL23" s="311">
        <v>2.0876972855582427</v>
      </c>
      <c r="AM23" s="311">
        <v>1.8685993505002898</v>
      </c>
      <c r="AN23" s="311">
        <v>1.040287088785717</v>
      </c>
      <c r="AO23" s="311">
        <v>1.2602984167284856</v>
      </c>
      <c r="AP23" s="311">
        <v>1.4960394084727362</v>
      </c>
      <c r="AQ23" s="311">
        <v>2.2438664302688762</v>
      </c>
      <c r="AR23" s="311">
        <v>1.1073701443348456</v>
      </c>
      <c r="AS23" s="311">
        <v>1.6442125216348482</v>
      </c>
      <c r="AT23" s="311">
        <v>1.4412711990719735</v>
      </c>
      <c r="AU23" s="311">
        <v>1.8967360169441669</v>
      </c>
      <c r="AV23" s="311">
        <v>1.862421269480472</v>
      </c>
      <c r="AW23" s="311">
        <v>0.95050968265464297</v>
      </c>
      <c r="AX23" s="311">
        <v>2.0274767973693963</v>
      </c>
      <c r="AY23" s="311">
        <v>1.7413737372920619</v>
      </c>
      <c r="AZ23" s="311">
        <v>0.97431775021461109</v>
      </c>
      <c r="BA23" s="311">
        <v>1.6350509144055401</v>
      </c>
      <c r="BB23" s="311">
        <v>1.9199207539301277</v>
      </c>
      <c r="BC23" s="311">
        <v>1.4134400271562102</v>
      </c>
      <c r="BD23" s="311">
        <v>1.2094105144919503</v>
      </c>
      <c r="BE23" s="311">
        <v>1.1615062608554718</v>
      </c>
      <c r="BF23" s="248"/>
      <c r="BG23" s="248"/>
    </row>
    <row r="24" spans="1:59" ht="17" x14ac:dyDescent="0.2">
      <c r="A24" s="157"/>
      <c r="B24" s="282"/>
      <c r="C24" s="6" t="s">
        <v>77</v>
      </c>
      <c r="D24" s="311">
        <v>2.3339554973545975</v>
      </c>
      <c r="E24" s="311">
        <v>1.5830548883547686</v>
      </c>
      <c r="F24" s="311">
        <v>2.3226877105274486</v>
      </c>
      <c r="G24" s="311">
        <v>2.3733865069626789</v>
      </c>
      <c r="H24" s="311">
        <v>2.1319875650318751</v>
      </c>
      <c r="I24" s="311">
        <v>2.3499423855971999</v>
      </c>
      <c r="J24" s="311">
        <v>1.9258775430555857</v>
      </c>
      <c r="K24" s="311">
        <v>1.6544967365172503</v>
      </c>
      <c r="L24" s="311">
        <v>0.85992208736780595</v>
      </c>
      <c r="M24" s="311">
        <v>2.6310569580831666</v>
      </c>
      <c r="N24" s="311">
        <v>2.3980812167652363</v>
      </c>
      <c r="O24" s="311">
        <v>1.5604029697138697</v>
      </c>
      <c r="P24" s="311">
        <v>2.3365090020705539</v>
      </c>
      <c r="Q24" s="311">
        <v>2.0829016752045506</v>
      </c>
      <c r="R24" s="311">
        <v>2.1797081603132504</v>
      </c>
      <c r="S24" s="311">
        <v>2.0992563182857933</v>
      </c>
      <c r="T24" s="311">
        <v>2.2394829799193618</v>
      </c>
      <c r="U24" s="311">
        <v>2.1390925066880224</v>
      </c>
      <c r="V24" s="311">
        <v>2.0713486887349548</v>
      </c>
      <c r="W24" s="311">
        <v>2.8583186106811937</v>
      </c>
      <c r="X24" s="311">
        <v>1.7867982143109606</v>
      </c>
      <c r="Y24" s="311">
        <v>1.9585140547607973</v>
      </c>
      <c r="Z24" s="311">
        <v>2.2455615940503555</v>
      </c>
      <c r="AA24" s="311">
        <v>2.3893571037606502</v>
      </c>
      <c r="AB24" s="311">
        <v>2.2922981383338774</v>
      </c>
      <c r="AC24" s="311">
        <v>2.5007143902586408</v>
      </c>
      <c r="AD24" s="311">
        <v>2.4478277234828627</v>
      </c>
      <c r="AE24" s="38">
        <f>'User Add-in Location'!B28</f>
        <v>0</v>
      </c>
      <c r="AF24" s="38">
        <f>'User Add-in Location'!C28</f>
        <v>0</v>
      </c>
      <c r="AG24" s="311">
        <v>2.3850712396525848</v>
      </c>
      <c r="AH24" s="311">
        <v>1.7612714515597809</v>
      </c>
      <c r="AI24" s="311">
        <v>2.5927432286525947</v>
      </c>
      <c r="AJ24" s="311">
        <v>1.8238935893643013</v>
      </c>
      <c r="AK24" s="311">
        <v>2.0656038419630618</v>
      </c>
      <c r="AL24" s="311">
        <v>1.6906030095415372</v>
      </c>
      <c r="AM24" s="311">
        <v>2.5737273883973186</v>
      </c>
      <c r="AN24" s="311">
        <v>1.7073030873135533</v>
      </c>
      <c r="AO24" s="311">
        <v>2.4422511348027145</v>
      </c>
      <c r="AP24" s="311">
        <v>2.3819047232158299</v>
      </c>
      <c r="AQ24" s="311">
        <v>2.2737749955649988</v>
      </c>
      <c r="AR24" s="311">
        <v>2.1915567309054214</v>
      </c>
      <c r="AS24" s="311">
        <v>1.9174708582049522</v>
      </c>
      <c r="AT24" s="311">
        <v>2.0811215982696885</v>
      </c>
      <c r="AU24" s="311">
        <v>2.1600536209750745</v>
      </c>
      <c r="AV24" s="311">
        <v>2.4462020279502799</v>
      </c>
      <c r="AW24" s="311">
        <v>2.3704472557067149</v>
      </c>
      <c r="AX24" s="311">
        <v>3.7818453269072854</v>
      </c>
      <c r="AY24" s="311">
        <v>2.3551859964997894</v>
      </c>
      <c r="AZ24" s="311">
        <v>2.6820490577166232</v>
      </c>
      <c r="BA24" s="311">
        <v>1.9287653310292814</v>
      </c>
      <c r="BB24" s="311">
        <v>1.5622079381978959</v>
      </c>
      <c r="BC24" s="311">
        <v>1.5854361580504326</v>
      </c>
      <c r="BD24" s="311">
        <v>2.2939707295311615</v>
      </c>
      <c r="BE24" s="311">
        <v>1.5198541554182141</v>
      </c>
      <c r="BF24" s="248"/>
      <c r="BG24" s="248"/>
    </row>
    <row r="25" spans="1:59" ht="17" x14ac:dyDescent="0.2">
      <c r="A25" s="157"/>
      <c r="B25" s="282"/>
      <c r="C25" s="6" t="s">
        <v>149</v>
      </c>
      <c r="D25" s="311">
        <v>1.885896237302745</v>
      </c>
      <c r="E25" s="311">
        <v>1.740299511109501</v>
      </c>
      <c r="F25" s="311">
        <v>2.149270125253866</v>
      </c>
      <c r="G25" s="311">
        <v>2.143195104447325</v>
      </c>
      <c r="H25" s="311">
        <v>2.1400669202437488</v>
      </c>
      <c r="I25" s="311">
        <v>2.3902173315100641</v>
      </c>
      <c r="J25" s="311">
        <v>1.3621320477979924</v>
      </c>
      <c r="K25" s="311">
        <v>1.4238819193932077</v>
      </c>
      <c r="L25" s="311">
        <v>0.70144073652436523</v>
      </c>
      <c r="M25" s="311">
        <v>2.4531071872796613</v>
      </c>
      <c r="N25" s="311">
        <v>1.9825121681201356</v>
      </c>
      <c r="O25" s="311">
        <v>2.3498371838932561</v>
      </c>
      <c r="P25" s="311">
        <v>2.3940671022193194</v>
      </c>
      <c r="Q25" s="311">
        <v>1.9481841077415114</v>
      </c>
      <c r="R25" s="311">
        <v>1.6602686102641298</v>
      </c>
      <c r="S25" s="311">
        <v>1.8455265351764765</v>
      </c>
      <c r="T25" s="311">
        <v>2.1824390587509592</v>
      </c>
      <c r="U25" s="311">
        <v>1.8417816883582978</v>
      </c>
      <c r="V25" s="311">
        <v>1.7892950412602477</v>
      </c>
      <c r="W25" s="311">
        <v>2.2889052792793301</v>
      </c>
      <c r="X25" s="311">
        <v>1.3442369253329056</v>
      </c>
      <c r="Y25" s="311">
        <v>1.5283368210589083</v>
      </c>
      <c r="Z25" s="311">
        <v>1.9624069189896278</v>
      </c>
      <c r="AA25" s="311">
        <v>2.1710718080758444</v>
      </c>
      <c r="AB25" s="311">
        <v>2.0141873157950885</v>
      </c>
      <c r="AC25" s="311">
        <v>2.0611267997970653</v>
      </c>
      <c r="AD25" s="311">
        <v>2.289860544757238</v>
      </c>
      <c r="AE25" s="38">
        <f>'User Add-in Location'!B29</f>
        <v>0</v>
      </c>
      <c r="AF25" s="38">
        <f>'User Add-in Location'!C29</f>
        <v>0</v>
      </c>
      <c r="AG25" s="311">
        <v>1.9985713536946674</v>
      </c>
      <c r="AH25" s="311">
        <v>1.4743366879094708</v>
      </c>
      <c r="AI25" s="311">
        <v>1.6232214001827994</v>
      </c>
      <c r="AJ25" s="311">
        <v>1.6177303991619154</v>
      </c>
      <c r="AK25" s="311">
        <v>2.1391572566041539</v>
      </c>
      <c r="AL25" s="311">
        <v>1.6748296431088121</v>
      </c>
      <c r="AM25" s="311">
        <v>1.8265565072082237</v>
      </c>
      <c r="AN25" s="311">
        <v>1.9277508265493986</v>
      </c>
      <c r="AO25" s="311">
        <v>2.0877917716776135</v>
      </c>
      <c r="AP25" s="311">
        <v>2.2927598619781664</v>
      </c>
      <c r="AQ25" s="311">
        <v>2.3147899939002214</v>
      </c>
      <c r="AR25" s="311">
        <v>1.9811721606427846</v>
      </c>
      <c r="AS25" s="311">
        <v>1.5959802118163149</v>
      </c>
      <c r="AT25" s="311">
        <v>1.7106679560320979</v>
      </c>
      <c r="AU25" s="311">
        <v>1.9329339582661695</v>
      </c>
      <c r="AV25" s="311">
        <v>1.932509534614784</v>
      </c>
      <c r="AW25" s="311">
        <v>2.4484363067168928</v>
      </c>
      <c r="AX25" s="311">
        <v>4.2876375872600558</v>
      </c>
      <c r="AY25" s="311">
        <v>2.4054150188156345</v>
      </c>
      <c r="AZ25" s="311">
        <v>2.4970229954600796</v>
      </c>
      <c r="BA25" s="311">
        <v>1.5814394547503523</v>
      </c>
      <c r="BB25" s="311">
        <v>1.7924390312777869</v>
      </c>
      <c r="BC25" s="311">
        <v>1.7293770399150974</v>
      </c>
      <c r="BD25" s="311">
        <v>2.2325185974279584</v>
      </c>
      <c r="BE25" s="311">
        <v>1.6956809591185378</v>
      </c>
      <c r="BF25" s="248"/>
      <c r="BG25" s="248"/>
    </row>
    <row r="26" spans="1:59" ht="17" x14ac:dyDescent="0.2">
      <c r="A26" s="157"/>
      <c r="B26" s="282"/>
      <c r="C26" s="6" t="s">
        <v>150</v>
      </c>
      <c r="D26" s="311">
        <v>1.7662946280507212</v>
      </c>
      <c r="E26" s="311">
        <v>1.524208798107646</v>
      </c>
      <c r="F26" s="311">
        <v>2.1815505555811217</v>
      </c>
      <c r="G26" s="311">
        <v>1.575418679940281</v>
      </c>
      <c r="H26" s="311">
        <v>2.3128016395206115</v>
      </c>
      <c r="I26" s="311">
        <v>2.2003717665343698</v>
      </c>
      <c r="J26" s="311">
        <v>1.4661607053389858</v>
      </c>
      <c r="K26" s="311">
        <v>1.3573734585826298</v>
      </c>
      <c r="L26" s="311">
        <v>0</v>
      </c>
      <c r="M26" s="311">
        <v>2.3790591432599428</v>
      </c>
      <c r="N26" s="311">
        <v>1.9329946619400915</v>
      </c>
      <c r="O26" s="311">
        <v>1.686855084169254</v>
      </c>
      <c r="P26" s="311">
        <v>2.0691135200423405</v>
      </c>
      <c r="Q26" s="311">
        <v>1.9675347244129582</v>
      </c>
      <c r="R26" s="311">
        <v>1.7338616992450662</v>
      </c>
      <c r="S26" s="311">
        <v>1.6411506558076823</v>
      </c>
      <c r="T26" s="311">
        <v>1.6860685859548938</v>
      </c>
      <c r="U26" s="311">
        <v>1.618214937279183</v>
      </c>
      <c r="V26" s="311">
        <v>1.6174330292712329</v>
      </c>
      <c r="W26" s="311">
        <v>1.8530636353183343</v>
      </c>
      <c r="X26" s="311">
        <v>1.5521288390396535</v>
      </c>
      <c r="Y26" s="311">
        <v>1.5635721463827956</v>
      </c>
      <c r="Z26" s="311">
        <v>1.9619867703426568</v>
      </c>
      <c r="AA26" s="311">
        <v>2.1163761147986895</v>
      </c>
      <c r="AB26" s="311">
        <v>1.7324256219736369</v>
      </c>
      <c r="AC26" s="311">
        <v>1.8681994741164869</v>
      </c>
      <c r="AD26" s="311">
        <v>1.9596503766196893</v>
      </c>
      <c r="AE26" s="38">
        <f>'User Add-in Location'!B30</f>
        <v>0</v>
      </c>
      <c r="AF26" s="38">
        <f>'User Add-in Location'!C30</f>
        <v>0</v>
      </c>
      <c r="AG26" s="311">
        <v>1.7029582363267433</v>
      </c>
      <c r="AH26" s="311">
        <v>1.4486264164162683</v>
      </c>
      <c r="AI26" s="311">
        <v>1.6259690594169349</v>
      </c>
      <c r="AJ26" s="311">
        <v>1.6876631312755008</v>
      </c>
      <c r="AK26" s="311">
        <v>1.7111385187489627</v>
      </c>
      <c r="AL26" s="311">
        <v>1.6066045772668769</v>
      </c>
      <c r="AM26" s="311">
        <v>2.0579654676993608</v>
      </c>
      <c r="AN26" s="311">
        <v>1.5718948116142371</v>
      </c>
      <c r="AO26" s="311">
        <v>2.038761959334757</v>
      </c>
      <c r="AP26" s="311">
        <v>1.6987109266798361</v>
      </c>
      <c r="AQ26" s="311">
        <v>2.0058690917529081</v>
      </c>
      <c r="AR26" s="311">
        <v>1.952146332352299</v>
      </c>
      <c r="AS26" s="311">
        <v>1.8818869916132632</v>
      </c>
      <c r="AT26" s="311">
        <v>1.4259255153271915</v>
      </c>
      <c r="AU26" s="311">
        <v>1.5780385779163264</v>
      </c>
      <c r="AV26" s="311">
        <v>1.8282856063108937</v>
      </c>
      <c r="AW26" s="311">
        <v>2.2436939750846565</v>
      </c>
      <c r="AX26" s="311">
        <v>4.1334217528634891</v>
      </c>
      <c r="AY26" s="311">
        <v>2.4028822329886106</v>
      </c>
      <c r="AZ26" s="311">
        <v>1.7655591793915995</v>
      </c>
      <c r="BA26" s="311">
        <v>1.4258888841426094</v>
      </c>
      <c r="BB26" s="311">
        <v>1.6224971119411506</v>
      </c>
      <c r="BC26" s="311">
        <v>1.4716998740425635</v>
      </c>
      <c r="BD26" s="311">
        <v>1.9729301649383419</v>
      </c>
      <c r="BE26" s="311">
        <v>1.285670384718069</v>
      </c>
      <c r="BF26" s="248"/>
      <c r="BG26" s="248"/>
    </row>
    <row r="27" spans="1:59" ht="17" x14ac:dyDescent="0.2">
      <c r="A27" s="157"/>
      <c r="B27" s="282"/>
      <c r="C27" s="6" t="s">
        <v>151</v>
      </c>
      <c r="D27" s="311">
        <v>1.8451222038123718</v>
      </c>
      <c r="E27" s="311">
        <v>1.1649947956387379</v>
      </c>
      <c r="F27" s="311">
        <v>1.8633494007530276</v>
      </c>
      <c r="G27" s="311">
        <v>1.7638616609654796</v>
      </c>
      <c r="H27" s="311">
        <v>1.9867553620012532</v>
      </c>
      <c r="I27" s="311">
        <v>2.1890435746776715</v>
      </c>
      <c r="J27" s="311">
        <v>1.3972324865127872</v>
      </c>
      <c r="K27" s="311">
        <v>1.0885165500823806</v>
      </c>
      <c r="L27" s="311">
        <v>0.89666165164096268</v>
      </c>
      <c r="M27" s="311">
        <v>2.3660707783773245</v>
      </c>
      <c r="N27" s="311">
        <v>1.7981823875019871</v>
      </c>
      <c r="O27" s="311">
        <v>2.1214007446559382</v>
      </c>
      <c r="P27" s="311">
        <v>2.0678706716676967</v>
      </c>
      <c r="Q27" s="311">
        <v>1.7044959034403957</v>
      </c>
      <c r="R27" s="311">
        <v>1.8359735938577837</v>
      </c>
      <c r="S27" s="311">
        <v>1.4610543867296071</v>
      </c>
      <c r="T27" s="311">
        <v>1.7033150307702554</v>
      </c>
      <c r="U27" s="311">
        <v>1.6677712245086591</v>
      </c>
      <c r="V27" s="311">
        <v>1.5360418858243567</v>
      </c>
      <c r="W27" s="311">
        <v>1.9243386541861314</v>
      </c>
      <c r="X27" s="311">
        <v>1.7193582337642264</v>
      </c>
      <c r="Y27" s="311">
        <v>1.5646217660195545</v>
      </c>
      <c r="Z27" s="311">
        <v>1.777974273817738</v>
      </c>
      <c r="AA27" s="311">
        <v>2.0564014311143426</v>
      </c>
      <c r="AB27" s="311">
        <v>1.7674985755822121</v>
      </c>
      <c r="AC27" s="311">
        <v>2.0744712423692051</v>
      </c>
      <c r="AD27" s="311">
        <v>2.1053664083195023</v>
      </c>
      <c r="AE27" s="38">
        <f>'User Add-in Location'!B31</f>
        <v>0</v>
      </c>
      <c r="AF27" s="38">
        <f>'User Add-in Location'!C31</f>
        <v>0</v>
      </c>
      <c r="AG27" s="311">
        <v>1.6038335156927195</v>
      </c>
      <c r="AH27" s="311">
        <v>1.4715688046402986</v>
      </c>
      <c r="AI27" s="311">
        <v>1.4357980464533975</v>
      </c>
      <c r="AJ27" s="311">
        <v>1.5949387381548701</v>
      </c>
      <c r="AK27" s="311">
        <v>1.6462454816214591</v>
      </c>
      <c r="AL27" s="311">
        <v>1.5070967658634684</v>
      </c>
      <c r="AM27" s="311">
        <v>1.7775055849521848</v>
      </c>
      <c r="AN27" s="311">
        <v>1.3557220306827531</v>
      </c>
      <c r="AO27" s="311">
        <v>1.9508710932837292</v>
      </c>
      <c r="AP27" s="311">
        <v>1.7113505894943091</v>
      </c>
      <c r="AQ27" s="311">
        <v>1.8715751620257843</v>
      </c>
      <c r="AR27" s="311">
        <v>1.8515042825426657</v>
      </c>
      <c r="AS27" s="311">
        <v>1.4254642758502858</v>
      </c>
      <c r="AT27" s="311">
        <v>1.6094748396729754</v>
      </c>
      <c r="AU27" s="311">
        <v>1.7046486232696823</v>
      </c>
      <c r="AV27" s="311">
        <v>1.8047551847119192</v>
      </c>
      <c r="AW27" s="311">
        <v>1.8970021693934103</v>
      </c>
      <c r="AX27" s="311">
        <v>4.1813484215634338</v>
      </c>
      <c r="AY27" s="311">
        <v>2.4669564909057358</v>
      </c>
      <c r="AZ27" s="311">
        <v>1.5257652069823722</v>
      </c>
      <c r="BA27" s="311">
        <v>1.4917341083281099</v>
      </c>
      <c r="BB27" s="311">
        <v>1.6101688076490448</v>
      </c>
      <c r="BC27" s="311">
        <v>1.2471787518846624</v>
      </c>
      <c r="BD27" s="311">
        <v>2.042792916259359</v>
      </c>
      <c r="BE27" s="311">
        <v>1.4096480145246575</v>
      </c>
      <c r="BF27" s="248"/>
      <c r="BG27" s="248"/>
    </row>
    <row r="28" spans="1:59" ht="17" x14ac:dyDescent="0.2">
      <c r="A28" s="157"/>
      <c r="B28" s="282"/>
      <c r="C28" s="6" t="s">
        <v>152</v>
      </c>
      <c r="D28" s="311">
        <v>1.8759671526896049</v>
      </c>
      <c r="E28" s="311">
        <v>0</v>
      </c>
      <c r="F28" s="311">
        <v>2.0314507872655359</v>
      </c>
      <c r="G28" s="311">
        <v>1.7980824229603298</v>
      </c>
      <c r="H28" s="311">
        <v>1.9817606311191422</v>
      </c>
      <c r="I28" s="311">
        <v>2.3996755133980385</v>
      </c>
      <c r="J28" s="311">
        <v>1.6258652653171917</v>
      </c>
      <c r="K28" s="311">
        <v>1.3280017911063424</v>
      </c>
      <c r="L28" s="311">
        <v>1.0433402266474725</v>
      </c>
      <c r="M28" s="311">
        <v>2.4064295767824269</v>
      </c>
      <c r="N28" s="311">
        <v>2.1085589850883517</v>
      </c>
      <c r="O28" s="311">
        <v>2.1838825104397857</v>
      </c>
      <c r="P28" s="311">
        <v>2.1502186365546114</v>
      </c>
      <c r="Q28" s="311">
        <v>2.0076402668881079</v>
      </c>
      <c r="R28" s="311">
        <v>1.6207406238499091</v>
      </c>
      <c r="S28" s="311">
        <v>1.7069677412120152</v>
      </c>
      <c r="T28" s="311">
        <v>1.8958818257800061</v>
      </c>
      <c r="U28" s="311">
        <v>1.8138063998876814</v>
      </c>
      <c r="V28" s="311">
        <v>1.8057465852530117</v>
      </c>
      <c r="W28" s="311">
        <v>1.8179841426210284</v>
      </c>
      <c r="X28" s="311">
        <v>1.6121516625543411</v>
      </c>
      <c r="Y28" s="311">
        <v>1.9569624086793374</v>
      </c>
      <c r="Z28" s="311">
        <v>2.2640460538548979</v>
      </c>
      <c r="AA28" s="311">
        <v>2.509682546383694</v>
      </c>
      <c r="AB28" s="311">
        <v>2.0601491862773487</v>
      </c>
      <c r="AC28" s="311">
        <v>1.514813307465374</v>
      </c>
      <c r="AD28" s="311">
        <v>2.2034918566329686</v>
      </c>
      <c r="AE28" s="38">
        <f>'User Add-in Location'!B32</f>
        <v>0</v>
      </c>
      <c r="AF28" s="38">
        <f>'User Add-in Location'!C32</f>
        <v>0</v>
      </c>
      <c r="AG28" s="311">
        <v>1.7833742810161402</v>
      </c>
      <c r="AH28" s="311">
        <v>1.7320951859320808</v>
      </c>
      <c r="AI28" s="311">
        <v>1.9296595802535672</v>
      </c>
      <c r="AJ28" s="311">
        <v>1.8266466502001548</v>
      </c>
      <c r="AK28" s="311">
        <v>1.5902792562749346</v>
      </c>
      <c r="AL28" s="311">
        <v>1.9010128232770032</v>
      </c>
      <c r="AM28" s="311">
        <v>1.9589497032018874</v>
      </c>
      <c r="AN28" s="311">
        <v>1.8412279268371827</v>
      </c>
      <c r="AO28" s="311">
        <v>2.323093947758978</v>
      </c>
      <c r="AP28" s="311">
        <v>2.037157970221068</v>
      </c>
      <c r="AQ28" s="311">
        <v>1.0650261570242612</v>
      </c>
      <c r="AR28" s="311">
        <v>1.8845933572234492</v>
      </c>
      <c r="AS28" s="311">
        <v>1.9249589335619819</v>
      </c>
      <c r="AT28" s="311">
        <v>1.3119980739058381</v>
      </c>
      <c r="AU28" s="311">
        <v>1.9568681335907669</v>
      </c>
      <c r="AV28" s="311">
        <v>1.9094367584489575</v>
      </c>
      <c r="AW28" s="311">
        <v>1.9845304063776184</v>
      </c>
      <c r="AX28" s="311">
        <v>3.2466371426796061</v>
      </c>
      <c r="AY28" s="311">
        <v>2.4734701083578678</v>
      </c>
      <c r="AZ28" s="311">
        <v>2.2755952632816792</v>
      </c>
      <c r="BA28" s="311">
        <v>1.7923221017171436</v>
      </c>
      <c r="BB28" s="311">
        <v>1.8204508616924717</v>
      </c>
      <c r="BC28" s="311">
        <v>1.8242925255125539</v>
      </c>
      <c r="BD28" s="311">
        <v>2.2761910901070119</v>
      </c>
      <c r="BE28" s="311">
        <v>0</v>
      </c>
      <c r="BF28" s="248"/>
      <c r="BG28" s="248"/>
    </row>
    <row r="29" spans="1:59" ht="17" x14ac:dyDescent="0.2">
      <c r="A29" s="157"/>
      <c r="B29" s="282"/>
      <c r="C29" s="6" t="s">
        <v>153</v>
      </c>
      <c r="D29" s="311">
        <v>2.7798840804397589</v>
      </c>
      <c r="E29" s="311">
        <v>1.335244418983647</v>
      </c>
      <c r="F29" s="311">
        <v>2.7977086305073851</v>
      </c>
      <c r="G29" s="311">
        <v>2.7305948016751622</v>
      </c>
      <c r="H29" s="311">
        <v>2.3768155211857875</v>
      </c>
      <c r="I29" s="311">
        <v>2.6031377184373459</v>
      </c>
      <c r="J29" s="311">
        <v>1.8742882258379352</v>
      </c>
      <c r="K29" s="311">
        <v>2.0381489584243071</v>
      </c>
      <c r="L29" s="311">
        <v>1.3459955020199155</v>
      </c>
      <c r="M29" s="311">
        <v>3.0440630344893171</v>
      </c>
      <c r="N29" s="311">
        <v>2.6118181548971577</v>
      </c>
      <c r="O29" s="311">
        <v>2.206821447762898</v>
      </c>
      <c r="P29" s="311">
        <v>2.8703019365835405</v>
      </c>
      <c r="Q29" s="311">
        <v>2.6609267522914393</v>
      </c>
      <c r="R29" s="311">
        <v>2.6012946671485371</v>
      </c>
      <c r="S29" s="311">
        <v>2.4506689588361898</v>
      </c>
      <c r="T29" s="311">
        <v>2.6144955333670485</v>
      </c>
      <c r="U29" s="311">
        <v>2.5844475536262745</v>
      </c>
      <c r="V29" s="311">
        <v>2.8728582375533613</v>
      </c>
      <c r="W29" s="311">
        <v>2.6422286424319603</v>
      </c>
      <c r="X29" s="311">
        <v>2.203184554572633</v>
      </c>
      <c r="Y29" s="311">
        <v>2.3086474990562755</v>
      </c>
      <c r="Z29" s="311">
        <v>2.7517207316661065</v>
      </c>
      <c r="AA29" s="311">
        <v>2.9492844358911077</v>
      </c>
      <c r="AB29" s="311">
        <v>2.8429978774257099</v>
      </c>
      <c r="AC29" s="311">
        <v>2.6355039811609347</v>
      </c>
      <c r="AD29" s="311">
        <v>2.8145535836303366</v>
      </c>
      <c r="AE29" s="38">
        <f>'User Add-in Location'!B33</f>
        <v>0</v>
      </c>
      <c r="AF29" s="38">
        <f>'User Add-in Location'!C33</f>
        <v>0</v>
      </c>
      <c r="AG29" s="311">
        <v>1.8157874600476993</v>
      </c>
      <c r="AH29" s="311">
        <v>2.0115004500424645</v>
      </c>
      <c r="AI29" s="311">
        <v>2.2497535316044663</v>
      </c>
      <c r="AJ29" s="311">
        <v>2.1489014764403604</v>
      </c>
      <c r="AK29" s="311">
        <v>2.4166442115422546</v>
      </c>
      <c r="AL29" s="311">
        <v>2.4298629209906188</v>
      </c>
      <c r="AM29" s="311">
        <v>2.5718235218191974</v>
      </c>
      <c r="AN29" s="311">
        <v>2.5121252224023372</v>
      </c>
      <c r="AO29" s="311">
        <v>2.617904870652954</v>
      </c>
      <c r="AP29" s="311">
        <v>2.5509947879418822</v>
      </c>
      <c r="AQ29" s="311">
        <v>2.5161786779109843</v>
      </c>
      <c r="AR29" s="311">
        <v>2.591244379794813</v>
      </c>
      <c r="AS29" s="311">
        <v>2.2957822148408225</v>
      </c>
      <c r="AT29" s="311">
        <v>2.4501149571925209</v>
      </c>
      <c r="AU29" s="311">
        <v>2.5445986939838079</v>
      </c>
      <c r="AV29" s="311">
        <v>2.8978687496630946</v>
      </c>
      <c r="AW29" s="311">
        <v>2.8568469280489901</v>
      </c>
      <c r="AX29" s="311">
        <v>3.9779987660263227</v>
      </c>
      <c r="AY29" s="311">
        <v>3.0434633672790943</v>
      </c>
      <c r="AZ29" s="311">
        <v>2.7052212147950367</v>
      </c>
      <c r="BA29" s="311">
        <v>2.3296198130830765</v>
      </c>
      <c r="BB29" s="311">
        <v>2.1402191698559343</v>
      </c>
      <c r="BC29" s="311">
        <v>2.2841678038738049</v>
      </c>
      <c r="BD29" s="311">
        <v>2.5667658536224267</v>
      </c>
      <c r="BE29" s="311">
        <v>1.883666261019127</v>
      </c>
      <c r="BF29" s="248"/>
      <c r="BG29" s="248"/>
    </row>
    <row r="30" spans="1:59" ht="17" x14ac:dyDescent="0.2">
      <c r="A30" s="157"/>
      <c r="B30" s="282"/>
      <c r="C30" s="6" t="s">
        <v>78</v>
      </c>
      <c r="D30" s="311">
        <v>2.4805825949558797</v>
      </c>
      <c r="E30" s="311">
        <v>1.7599914539357093</v>
      </c>
      <c r="F30" s="311">
        <v>2.7675030504885316</v>
      </c>
      <c r="G30" s="311">
        <v>2.1341926372894759</v>
      </c>
      <c r="H30" s="311">
        <v>2.294682857536309</v>
      </c>
      <c r="I30" s="311">
        <v>2.7814663649314912</v>
      </c>
      <c r="J30" s="311">
        <v>1.6679385159411706</v>
      </c>
      <c r="K30" s="311">
        <v>1.7556754853070902</v>
      </c>
      <c r="L30" s="311">
        <v>1.3216711408623512</v>
      </c>
      <c r="M30" s="311">
        <v>3.0501020531949523</v>
      </c>
      <c r="N30" s="311">
        <v>2.4100574406290418</v>
      </c>
      <c r="O30" s="311">
        <v>2.643451262877857</v>
      </c>
      <c r="P30" s="311">
        <v>2.8815652568196435</v>
      </c>
      <c r="Q30" s="311">
        <v>2.2491202471810317</v>
      </c>
      <c r="R30" s="311">
        <v>2.3765352359680483</v>
      </c>
      <c r="S30" s="311">
        <v>2.2879598393995653</v>
      </c>
      <c r="T30" s="311">
        <v>2.2873564143773817</v>
      </c>
      <c r="U30" s="311">
        <v>2.1934661613802136</v>
      </c>
      <c r="V30" s="311">
        <v>2.3577521121732268</v>
      </c>
      <c r="W30" s="311">
        <v>2.7442055673712229</v>
      </c>
      <c r="X30" s="311">
        <v>2.1636383361124896</v>
      </c>
      <c r="Y30" s="311">
        <v>2.0773771863687331</v>
      </c>
      <c r="Z30" s="311">
        <v>2.4146451634762078</v>
      </c>
      <c r="AA30" s="311">
        <v>2.5961832641896918</v>
      </c>
      <c r="AB30" s="311">
        <v>2.3925635730917789</v>
      </c>
      <c r="AC30" s="311">
        <v>2.5730988367022074</v>
      </c>
      <c r="AD30" s="311">
        <v>2.7807894868249887</v>
      </c>
      <c r="AE30" s="38">
        <f>'User Add-in Location'!B34</f>
        <v>0</v>
      </c>
      <c r="AF30" s="38">
        <f>'User Add-in Location'!C34</f>
        <v>0</v>
      </c>
      <c r="AG30" s="311">
        <v>2.2367701005030884</v>
      </c>
      <c r="AH30" s="311">
        <v>2.3344747877434613</v>
      </c>
      <c r="AI30" s="311">
        <v>2.2662565158535153</v>
      </c>
      <c r="AJ30" s="311">
        <v>2.0929763895042908</v>
      </c>
      <c r="AK30" s="311">
        <v>2.5228685575528322</v>
      </c>
      <c r="AL30" s="311">
        <v>1.9498019874508361</v>
      </c>
      <c r="AM30" s="311">
        <v>2.6174840797929848</v>
      </c>
      <c r="AN30" s="311">
        <v>2.0188802469776972</v>
      </c>
      <c r="AO30" s="311">
        <v>2.6413725675410231</v>
      </c>
      <c r="AP30" s="311">
        <v>2.4027378104668915</v>
      </c>
      <c r="AQ30" s="311">
        <v>2.6642513895011666</v>
      </c>
      <c r="AR30" s="311">
        <v>2.276633224059462</v>
      </c>
      <c r="AS30" s="311">
        <v>2.2858894915008316</v>
      </c>
      <c r="AT30" s="311">
        <v>2.4193164727007548</v>
      </c>
      <c r="AU30" s="311">
        <v>2.1717937831827121</v>
      </c>
      <c r="AV30" s="311">
        <v>2.3401851110088052</v>
      </c>
      <c r="AW30" s="311">
        <v>2.234528696157926</v>
      </c>
      <c r="AX30" s="311">
        <v>3.0447162512784978</v>
      </c>
      <c r="AY30" s="311">
        <v>3.1593506020946749</v>
      </c>
      <c r="AZ30" s="311">
        <v>2.5140919743484345</v>
      </c>
      <c r="BA30" s="311">
        <v>2.1211477850574378</v>
      </c>
      <c r="BB30" s="311">
        <v>1.8913231375224655</v>
      </c>
      <c r="BC30" s="311">
        <v>2.0870163330633473</v>
      </c>
      <c r="BD30" s="311">
        <v>2.6338649163036156</v>
      </c>
      <c r="BE30" s="311">
        <v>1.8438593228666553</v>
      </c>
      <c r="BF30" s="248"/>
      <c r="BG30" s="248"/>
    </row>
    <row r="31" spans="1:59" ht="17" x14ac:dyDescent="0.2">
      <c r="A31" s="157"/>
      <c r="B31" s="282"/>
      <c r="C31" s="6" t="s">
        <v>79</v>
      </c>
      <c r="D31" s="311">
        <v>2.0862195919072817</v>
      </c>
      <c r="E31" s="311">
        <v>1.6733814937932503</v>
      </c>
      <c r="F31" s="311">
        <v>2.417837409436371</v>
      </c>
      <c r="G31" s="311">
        <v>2.0907403718677497</v>
      </c>
      <c r="H31" s="311">
        <v>1.8500170376871667</v>
      </c>
      <c r="I31" s="311">
        <v>2.5449275134092932</v>
      </c>
      <c r="J31" s="311">
        <v>1.7580852196507923</v>
      </c>
      <c r="K31" s="311">
        <v>1.7754447359567516</v>
      </c>
      <c r="L31" s="311">
        <v>1.2463255036349752</v>
      </c>
      <c r="M31" s="311">
        <v>2.7991292124329767</v>
      </c>
      <c r="N31" s="311">
        <v>2.3223641463051048</v>
      </c>
      <c r="O31" s="311">
        <v>1.7439303622700788</v>
      </c>
      <c r="P31" s="311">
        <v>2.352553727563873</v>
      </c>
      <c r="Q31" s="311">
        <v>2.2618885115317822</v>
      </c>
      <c r="R31" s="311">
        <v>2.1899300280847869</v>
      </c>
      <c r="S31" s="311">
        <v>2.2281572770235654</v>
      </c>
      <c r="T31" s="311">
        <v>2.1060933682836835</v>
      </c>
      <c r="U31" s="311">
        <v>2.2045508197382437</v>
      </c>
      <c r="V31" s="311">
        <v>2.0527612424174198</v>
      </c>
      <c r="W31" s="311">
        <v>2.4307308107890382</v>
      </c>
      <c r="X31" s="311">
        <v>1.9655209314280262</v>
      </c>
      <c r="Y31" s="311">
        <v>2.1022161837784572</v>
      </c>
      <c r="Z31" s="311">
        <v>2.2015627854898239</v>
      </c>
      <c r="AA31" s="311">
        <v>2.4551806697380152</v>
      </c>
      <c r="AB31" s="311">
        <v>2.0094184759273315</v>
      </c>
      <c r="AC31" s="311">
        <v>2.4279840933052594</v>
      </c>
      <c r="AD31" s="311">
        <v>2.6697003010399505</v>
      </c>
      <c r="AE31" s="38">
        <f>'User Add-in Location'!B35</f>
        <v>0</v>
      </c>
      <c r="AF31" s="38">
        <f>'User Add-in Location'!C35</f>
        <v>0</v>
      </c>
      <c r="AG31" s="311">
        <v>2.3676782398648211</v>
      </c>
      <c r="AH31" s="311">
        <v>1.9173277909917184</v>
      </c>
      <c r="AI31" s="311">
        <v>2.1959193616908181</v>
      </c>
      <c r="AJ31" s="311">
        <v>2.014258698952252</v>
      </c>
      <c r="AK31" s="311">
        <v>1.8983699948811033</v>
      </c>
      <c r="AL31" s="311">
        <v>1.6762393149032504</v>
      </c>
      <c r="AM31" s="311">
        <v>2.4734118147100479</v>
      </c>
      <c r="AN31" s="311">
        <v>2.0045313844129473</v>
      </c>
      <c r="AO31" s="311">
        <v>2.2931034918476429</v>
      </c>
      <c r="AP31" s="311">
        <v>2.303802418169302</v>
      </c>
      <c r="AQ31" s="311">
        <v>2.5035308012300095</v>
      </c>
      <c r="AR31" s="311">
        <v>2.3444998459638389</v>
      </c>
      <c r="AS31" s="311">
        <v>2.1567404757709485</v>
      </c>
      <c r="AT31" s="311">
        <v>2.1772984700575959</v>
      </c>
      <c r="AU31" s="311">
        <v>2.0027828618826611</v>
      </c>
      <c r="AV31" s="311">
        <v>2.1826502175968505</v>
      </c>
      <c r="AW31" s="311">
        <v>2.2948732001933667</v>
      </c>
      <c r="AX31" s="311">
        <v>2.802078095460657</v>
      </c>
      <c r="AY31" s="311">
        <v>2.732846972568284</v>
      </c>
      <c r="AZ31" s="311">
        <v>2.2169311161948881</v>
      </c>
      <c r="BA31" s="311">
        <v>2.0356243073207123</v>
      </c>
      <c r="BB31" s="311">
        <v>1.2524864086454932</v>
      </c>
      <c r="BC31" s="311">
        <v>1.8452480645493694</v>
      </c>
      <c r="BD31" s="311">
        <v>2.3987740548037082</v>
      </c>
      <c r="BE31" s="311">
        <v>1.7397384985362898</v>
      </c>
      <c r="BF31" s="248"/>
      <c r="BG31" s="248"/>
    </row>
    <row r="32" spans="1:59" ht="17" x14ac:dyDescent="0.2">
      <c r="A32" s="157"/>
      <c r="B32" s="282"/>
      <c r="C32" s="6" t="s">
        <v>154</v>
      </c>
      <c r="D32" s="311">
        <v>2.7575564692077701</v>
      </c>
      <c r="E32" s="311">
        <v>1.7118631418199772</v>
      </c>
      <c r="F32" s="311">
        <v>3.5390660124335986</v>
      </c>
      <c r="G32" s="311">
        <v>2.5737094544158423</v>
      </c>
      <c r="H32" s="311">
        <v>2.0668049752467388</v>
      </c>
      <c r="I32" s="311">
        <v>3.5568491396471429</v>
      </c>
      <c r="J32" s="311">
        <v>2.1562697694889494</v>
      </c>
      <c r="K32" s="311">
        <v>1.0782230921750409</v>
      </c>
      <c r="L32" s="311">
        <v>1.2025034104458452</v>
      </c>
      <c r="M32" s="311">
        <v>4.0369072093936378</v>
      </c>
      <c r="N32" s="311">
        <v>2.497876824398809</v>
      </c>
      <c r="O32" s="311">
        <v>1.8456326677995571</v>
      </c>
      <c r="P32" s="311">
        <v>3.3355103295594275</v>
      </c>
      <c r="Q32" s="311">
        <v>2.4174814168167202</v>
      </c>
      <c r="R32" s="311">
        <v>2.3283981874060729</v>
      </c>
      <c r="S32" s="311">
        <v>2.1443359740518169</v>
      </c>
      <c r="T32" s="311">
        <v>2.4810416902643797</v>
      </c>
      <c r="U32" s="311">
        <v>2.5978486208187932</v>
      </c>
      <c r="V32" s="311">
        <v>2.85385533297503</v>
      </c>
      <c r="W32" s="311">
        <v>2.7619980100046213</v>
      </c>
      <c r="X32" s="311">
        <v>2.126819888395143</v>
      </c>
      <c r="Y32" s="311">
        <v>2.1436762927623025</v>
      </c>
      <c r="Z32" s="311">
        <v>2.8105451167683468</v>
      </c>
      <c r="AA32" s="311">
        <v>3.1621915374335297</v>
      </c>
      <c r="AB32" s="311">
        <v>2.6381932362416802</v>
      </c>
      <c r="AC32" s="311">
        <v>2.8657646062484932</v>
      </c>
      <c r="AD32" s="311">
        <v>3.0523370723491854</v>
      </c>
      <c r="AE32" s="38">
        <f>'User Add-in Location'!B36</f>
        <v>0</v>
      </c>
      <c r="AF32" s="38">
        <f>'User Add-in Location'!C36</f>
        <v>0</v>
      </c>
      <c r="AG32" s="311">
        <v>2.6320481592742007</v>
      </c>
      <c r="AH32" s="311">
        <v>3.2353223528792525</v>
      </c>
      <c r="AI32" s="311">
        <v>2.2805777058541641</v>
      </c>
      <c r="AJ32" s="311">
        <v>2.5908211491607589</v>
      </c>
      <c r="AK32" s="311">
        <v>2.1425303091257373</v>
      </c>
      <c r="AL32" s="311">
        <v>1.3820231095218658</v>
      </c>
      <c r="AM32" s="311">
        <v>2.364213690040438</v>
      </c>
      <c r="AN32" s="311">
        <v>2.6845472420483922</v>
      </c>
      <c r="AO32" s="311">
        <v>2.4945748468550542</v>
      </c>
      <c r="AP32" s="311">
        <v>3.1225617068593059</v>
      </c>
      <c r="AQ32" s="311">
        <v>2.5243246546295106</v>
      </c>
      <c r="AR32" s="311">
        <v>2.6476448414872937</v>
      </c>
      <c r="AS32" s="311">
        <v>2.4806947607772276</v>
      </c>
      <c r="AT32" s="311">
        <v>2.8473912079610142</v>
      </c>
      <c r="AU32" s="311">
        <v>2.1072297284013288</v>
      </c>
      <c r="AV32" s="311">
        <v>2.6954112211825061</v>
      </c>
      <c r="AW32" s="311">
        <v>3.5233738757044608</v>
      </c>
      <c r="AX32" s="311">
        <v>3.1600531334194062</v>
      </c>
      <c r="AY32" s="311">
        <v>3.5029985944022886</v>
      </c>
      <c r="AZ32" s="311">
        <v>2.315096098188536</v>
      </c>
      <c r="BA32" s="311">
        <v>2.2161726860588096</v>
      </c>
      <c r="BB32" s="311">
        <v>2.0173378221816636</v>
      </c>
      <c r="BC32" s="311">
        <v>1.92747911220511</v>
      </c>
      <c r="BD32" s="311">
        <v>2.5283558794043968</v>
      </c>
      <c r="BE32" s="311">
        <v>2.7064207541615528</v>
      </c>
      <c r="BF32" s="248"/>
      <c r="BG32" s="248"/>
    </row>
    <row r="33" spans="1:59" ht="17" x14ac:dyDescent="0.2">
      <c r="A33" s="157"/>
      <c r="B33" s="282"/>
      <c r="C33" s="6" t="s">
        <v>155</v>
      </c>
      <c r="D33" s="311">
        <v>2.5530834090645249</v>
      </c>
      <c r="E33" s="311">
        <v>1.8884670373755061</v>
      </c>
      <c r="F33" s="311">
        <v>3.0299571263410168</v>
      </c>
      <c r="G33" s="311">
        <v>2.4616874720425743</v>
      </c>
      <c r="H33" s="311">
        <v>2.2699327983234401</v>
      </c>
      <c r="I33" s="311">
        <v>2.8658524325631434</v>
      </c>
      <c r="J33" s="311">
        <v>1.9989034572577145</v>
      </c>
      <c r="K33" s="311">
        <v>1.6587543649098415</v>
      </c>
      <c r="L33" s="311">
        <v>1.233451974634197</v>
      </c>
      <c r="M33" s="311">
        <v>3.2231939893512189</v>
      </c>
      <c r="N33" s="311">
        <v>2.6659934678683608</v>
      </c>
      <c r="O33" s="311">
        <v>2.1668549975255855</v>
      </c>
      <c r="P33" s="311">
        <v>2.9467238385544823</v>
      </c>
      <c r="Q33" s="311">
        <v>2.5075506346312499</v>
      </c>
      <c r="R33" s="311">
        <v>2.45849997867272</v>
      </c>
      <c r="S33" s="311">
        <v>2.3445177429347268</v>
      </c>
      <c r="T33" s="311">
        <v>2.4783396262979789</v>
      </c>
      <c r="U33" s="311">
        <v>2.4465269079701537</v>
      </c>
      <c r="V33" s="311">
        <v>2.4589405101789725</v>
      </c>
      <c r="W33" s="311">
        <v>2.8360614936270978</v>
      </c>
      <c r="X33" s="311">
        <v>2.1859874979494687</v>
      </c>
      <c r="Y33" s="311">
        <v>2.1557983856861456</v>
      </c>
      <c r="Z33" s="311">
        <v>2.6316526471236696</v>
      </c>
      <c r="AA33" s="311">
        <v>2.6043828401199289</v>
      </c>
      <c r="AB33" s="311">
        <v>2.6360696814879829</v>
      </c>
      <c r="AC33" s="311">
        <v>2.7528389999878367</v>
      </c>
      <c r="AD33" s="311">
        <v>2.868975060186207</v>
      </c>
      <c r="AE33" s="38">
        <f>'User Add-in Location'!B37</f>
        <v>0</v>
      </c>
      <c r="AF33" s="38">
        <f>'User Add-in Location'!C37</f>
        <v>0</v>
      </c>
      <c r="AG33" s="311">
        <v>2.6009847184701145</v>
      </c>
      <c r="AH33" s="311">
        <v>2.0929763283926484</v>
      </c>
      <c r="AI33" s="311">
        <v>2.2232477852446184</v>
      </c>
      <c r="AJ33" s="311">
        <v>2.2281350637061812</v>
      </c>
      <c r="AK33" s="311">
        <v>2.4470667241155213</v>
      </c>
      <c r="AL33" s="311">
        <v>1.8731764888803559</v>
      </c>
      <c r="AM33" s="311">
        <v>2.73491080571553</v>
      </c>
      <c r="AN33" s="311">
        <v>2.1730582355609571</v>
      </c>
      <c r="AO33" s="311">
        <v>2.6499765937675113</v>
      </c>
      <c r="AP33" s="311">
        <v>2.6600770359512396</v>
      </c>
      <c r="AQ33" s="311">
        <v>2.5494747120665475</v>
      </c>
      <c r="AR33" s="311">
        <v>2.2331084853257646</v>
      </c>
      <c r="AS33" s="311">
        <v>2.4710165446329548</v>
      </c>
      <c r="AT33" s="311">
        <v>2.6508960061677622</v>
      </c>
      <c r="AU33" s="311">
        <v>2.3437714733771569</v>
      </c>
      <c r="AV33" s="311">
        <v>2.5782381248214241</v>
      </c>
      <c r="AW33" s="311">
        <v>2.7478494591070168</v>
      </c>
      <c r="AX33" s="311">
        <v>3.3478334364101778</v>
      </c>
      <c r="AY33" s="311">
        <v>3.1895059581941672</v>
      </c>
      <c r="AZ33" s="311">
        <v>2.6315425506894838</v>
      </c>
      <c r="BA33" s="311">
        <v>2.1207913180222286</v>
      </c>
      <c r="BB33" s="311">
        <v>1.9485362559800719</v>
      </c>
      <c r="BC33" s="311">
        <v>2.1794323379864826</v>
      </c>
      <c r="BD33" s="311">
        <v>2.5576569645817937</v>
      </c>
      <c r="BE33" s="311">
        <v>2.0974937329885894</v>
      </c>
      <c r="BF33" s="248"/>
      <c r="BG33" s="248"/>
    </row>
    <row r="34" spans="1:59" ht="17" x14ac:dyDescent="0.2">
      <c r="A34" s="157"/>
      <c r="B34" s="282"/>
      <c r="C34" s="6" t="s">
        <v>156</v>
      </c>
      <c r="D34" s="311">
        <v>2.6217389193650011</v>
      </c>
      <c r="E34" s="311">
        <v>2.0571004860419304</v>
      </c>
      <c r="F34" s="311">
        <v>3.0999270890029402</v>
      </c>
      <c r="G34" s="311">
        <v>2.8267735817417989</v>
      </c>
      <c r="H34" s="311">
        <v>2.2283100290249092</v>
      </c>
      <c r="I34" s="311">
        <v>3.0178531461383962</v>
      </c>
      <c r="J34" s="311">
        <v>2.168515451267337</v>
      </c>
      <c r="K34" s="311">
        <v>1.6050350124104651</v>
      </c>
      <c r="L34" s="311">
        <v>0.93667537174356141</v>
      </c>
      <c r="M34" s="311">
        <v>3.1549517641455318</v>
      </c>
      <c r="N34" s="311">
        <v>2.5348558562575652</v>
      </c>
      <c r="O34" s="311">
        <v>2.3384741347833065</v>
      </c>
      <c r="P34" s="311">
        <v>3.1685806666243574</v>
      </c>
      <c r="Q34" s="311">
        <v>2.1946851065436666</v>
      </c>
      <c r="R34" s="311">
        <v>2.2609507076886737</v>
      </c>
      <c r="S34" s="311">
        <v>2.4954713303417191</v>
      </c>
      <c r="T34" s="311">
        <v>2.7152122675847377</v>
      </c>
      <c r="U34" s="311">
        <v>2.576392274675086</v>
      </c>
      <c r="V34" s="311">
        <v>2.4687103321799753</v>
      </c>
      <c r="W34" s="311">
        <v>3.1369446831655465</v>
      </c>
      <c r="X34" s="311">
        <v>2.3019070875194698</v>
      </c>
      <c r="Y34" s="311">
        <v>2.1915175345584883</v>
      </c>
      <c r="Z34" s="311">
        <v>2.7427635365557359</v>
      </c>
      <c r="AA34" s="311">
        <v>2.6350696882301694</v>
      </c>
      <c r="AB34" s="311">
        <v>2.6912838507918577</v>
      </c>
      <c r="AC34" s="311">
        <v>2.6203979702450604</v>
      </c>
      <c r="AD34" s="311">
        <v>3.1029627213076592</v>
      </c>
      <c r="AE34" s="38">
        <f>'User Add-in Location'!B38</f>
        <v>0</v>
      </c>
      <c r="AF34" s="38">
        <f>'User Add-in Location'!C38</f>
        <v>0</v>
      </c>
      <c r="AG34" s="311">
        <v>2.629984577819541</v>
      </c>
      <c r="AH34" s="311">
        <v>2.4065655502036565</v>
      </c>
      <c r="AI34" s="311">
        <v>2.469369129568443</v>
      </c>
      <c r="AJ34" s="311">
        <v>2.1785573712803554</v>
      </c>
      <c r="AK34" s="311">
        <v>2.3787348201914322</v>
      </c>
      <c r="AL34" s="311">
        <v>1.7196250665883392</v>
      </c>
      <c r="AM34" s="311">
        <v>2.6007949032013786</v>
      </c>
      <c r="AN34" s="311">
        <v>2.4105880923020595</v>
      </c>
      <c r="AO34" s="311">
        <v>2.838213027503302</v>
      </c>
      <c r="AP34" s="311">
        <v>2.6855814927582955</v>
      </c>
      <c r="AQ34" s="311">
        <v>2.510790071593402</v>
      </c>
      <c r="AR34" s="311">
        <v>2.4124562669161591</v>
      </c>
      <c r="AS34" s="311">
        <v>2.8588660183774728</v>
      </c>
      <c r="AT34" s="311">
        <v>2.6618260518724859</v>
      </c>
      <c r="AU34" s="311">
        <v>2.6284091931170517</v>
      </c>
      <c r="AV34" s="311">
        <v>2.5800966811825852</v>
      </c>
      <c r="AW34" s="311">
        <v>2.5415039372242907</v>
      </c>
      <c r="AX34" s="311">
        <v>3.1318455833458061</v>
      </c>
      <c r="AY34" s="311">
        <v>3.6548514019952689</v>
      </c>
      <c r="AZ34" s="311">
        <v>3.0278775278795647</v>
      </c>
      <c r="BA34" s="311">
        <v>2.0460670069161071</v>
      </c>
      <c r="BB34" s="311">
        <v>2.1297831180087266</v>
      </c>
      <c r="BC34" s="311">
        <v>2.2188698596279615</v>
      </c>
      <c r="BD34" s="311">
        <v>2.7449888416934702</v>
      </c>
      <c r="BE34" s="311">
        <v>2.2984825403878992</v>
      </c>
      <c r="BF34" s="248"/>
      <c r="BG34" s="248"/>
    </row>
    <row r="35" spans="1:59" ht="17" x14ac:dyDescent="0.2">
      <c r="A35" s="157"/>
      <c r="B35" s="282"/>
      <c r="C35" s="6" t="s">
        <v>80</v>
      </c>
      <c r="D35" s="311">
        <v>0.51852010346065491</v>
      </c>
      <c r="E35" s="311">
        <v>0.14910261530186128</v>
      </c>
      <c r="F35" s="311">
        <v>0.74857939035245324</v>
      </c>
      <c r="G35" s="311">
        <v>0.44224678933921696</v>
      </c>
      <c r="H35" s="311">
        <v>0.43561453594770866</v>
      </c>
      <c r="I35" s="311">
        <v>0.28090436849465011</v>
      </c>
      <c r="J35" s="311">
        <v>0.57412595142814693</v>
      </c>
      <c r="K35" s="311">
        <v>0.12840038693708264</v>
      </c>
      <c r="L35" s="311">
        <v>3.1217338320816631E-2</v>
      </c>
      <c r="M35" s="311">
        <v>0.46188884592020357</v>
      </c>
      <c r="N35" s="311">
        <v>0.16707718513807152</v>
      </c>
      <c r="O35" s="311">
        <v>0.26402165029252506</v>
      </c>
      <c r="P35" s="311">
        <v>0.57793354207206205</v>
      </c>
      <c r="Q35" s="311">
        <v>0.13499747641177251</v>
      </c>
      <c r="R35" s="311">
        <v>0.31139952997749615</v>
      </c>
      <c r="S35" s="311">
        <v>0.30528548249882936</v>
      </c>
      <c r="T35" s="311">
        <v>0.39954108707416941</v>
      </c>
      <c r="U35" s="311">
        <v>0.46608961199419219</v>
      </c>
      <c r="V35" s="311">
        <v>0.60923660506280397</v>
      </c>
      <c r="W35" s="311">
        <v>0.49380271008760523</v>
      </c>
      <c r="X35" s="311">
        <v>5.9548475222071864E-2</v>
      </c>
      <c r="Y35" s="311">
        <v>0.1315836165776805</v>
      </c>
      <c r="Z35" s="311">
        <v>0.3108351436594044</v>
      </c>
      <c r="AA35" s="311">
        <v>0.60888367378262032</v>
      </c>
      <c r="AB35" s="311">
        <v>0.38471769495712482</v>
      </c>
      <c r="AC35" s="311">
        <v>0.41636626843552876</v>
      </c>
      <c r="AD35" s="311">
        <v>0.52068867059757429</v>
      </c>
      <c r="AE35" s="38">
        <f>'User Add-in Location'!B39</f>
        <v>0</v>
      </c>
      <c r="AF35" s="38">
        <f>'User Add-in Location'!C39</f>
        <v>0</v>
      </c>
      <c r="AG35" s="311">
        <v>0.33243328374370629</v>
      </c>
      <c r="AH35" s="311">
        <v>1.067108617183252</v>
      </c>
      <c r="AI35" s="311">
        <v>0.38835059394616639</v>
      </c>
      <c r="AJ35" s="311">
        <v>0.32897810719995435</v>
      </c>
      <c r="AK35" s="311">
        <v>0.56036938732351782</v>
      </c>
      <c r="AL35" s="311">
        <v>0.29923824436958801</v>
      </c>
      <c r="AM35" s="311">
        <v>0.25568468458612864</v>
      </c>
      <c r="AN35" s="311">
        <v>0.92854378174097862</v>
      </c>
      <c r="AO35" s="311">
        <v>0.31968732969177538</v>
      </c>
      <c r="AP35" s="311">
        <v>1.0708585134011868</v>
      </c>
      <c r="AQ35" s="311">
        <v>0.49208085794658374</v>
      </c>
      <c r="AR35" s="311">
        <v>0.50095618676867004</v>
      </c>
      <c r="AS35" s="311">
        <v>0.14810994620391615</v>
      </c>
      <c r="AT35" s="311">
        <v>0.34812474830710899</v>
      </c>
      <c r="AU35" s="311">
        <v>0.95382264826799101</v>
      </c>
      <c r="AV35" s="311">
        <v>0.54760018555353518</v>
      </c>
      <c r="AW35" s="311">
        <v>0.44142841995655957</v>
      </c>
      <c r="AX35" s="311">
        <v>0.53209317190640992</v>
      </c>
      <c r="AY35" s="311">
        <v>0.29856122922856532</v>
      </c>
      <c r="AZ35" s="311">
        <v>0.2971046344928599</v>
      </c>
      <c r="BA35" s="311">
        <v>0.31291799821369032</v>
      </c>
      <c r="BB35" s="311">
        <v>0.5721674995780105</v>
      </c>
      <c r="BC35" s="311">
        <v>0.37365670284948904</v>
      </c>
      <c r="BD35" s="311">
        <v>0.43677169192618093</v>
      </c>
      <c r="BE35" s="311">
        <v>0.35512116352938133</v>
      </c>
      <c r="BF35" s="248"/>
      <c r="BG35" s="248"/>
    </row>
    <row r="36" spans="1:59" ht="16" x14ac:dyDescent="0.2">
      <c r="A36" s="157"/>
      <c r="B36" s="282"/>
      <c r="C36" s="6"/>
      <c r="D36" s="311"/>
      <c r="E36" s="311"/>
      <c r="F36" s="311"/>
      <c r="G36" s="311"/>
      <c r="H36" s="311"/>
      <c r="I36" s="311"/>
      <c r="J36" s="311"/>
      <c r="K36" s="311"/>
      <c r="L36" s="311"/>
      <c r="M36" s="311"/>
      <c r="N36" s="311"/>
      <c r="O36" s="311"/>
      <c r="P36" s="311"/>
      <c r="Q36" s="311"/>
      <c r="R36" s="311"/>
      <c r="S36" s="311"/>
      <c r="T36" s="311"/>
      <c r="U36" s="311"/>
      <c r="V36" s="311"/>
      <c r="W36" s="311"/>
      <c r="X36" s="311"/>
      <c r="Y36" s="311"/>
      <c r="Z36" s="311"/>
      <c r="AA36" s="311"/>
      <c r="AB36" s="311"/>
      <c r="AC36" s="311"/>
      <c r="AD36" s="311"/>
      <c r="AE36" s="38"/>
      <c r="AF36" s="38"/>
      <c r="AG36" s="311"/>
      <c r="AH36" s="311"/>
      <c r="AI36" s="311"/>
      <c r="AJ36" s="311"/>
      <c r="AK36" s="311"/>
      <c r="AL36" s="311"/>
      <c r="AM36" s="311"/>
      <c r="AN36" s="311"/>
      <c r="AO36" s="311"/>
      <c r="AP36" s="311"/>
      <c r="AQ36" s="311"/>
      <c r="AR36" s="311"/>
      <c r="AS36" s="311"/>
      <c r="AT36" s="311"/>
      <c r="AU36" s="311"/>
      <c r="AV36" s="311"/>
      <c r="AW36" s="311"/>
      <c r="AX36" s="311"/>
      <c r="AY36" s="311"/>
      <c r="AZ36" s="311"/>
      <c r="BA36" s="311"/>
      <c r="BB36" s="311"/>
      <c r="BC36" s="311"/>
      <c r="BD36" s="311"/>
      <c r="BE36" s="311"/>
      <c r="BF36" s="248"/>
      <c r="BG36" s="248"/>
    </row>
    <row r="37" spans="1:59" ht="16" x14ac:dyDescent="0.2">
      <c r="A37" s="157"/>
      <c r="B37" s="282"/>
      <c r="C37" s="17" t="s">
        <v>281</v>
      </c>
      <c r="D37" s="311"/>
      <c r="E37" s="311"/>
      <c r="F37" s="311"/>
      <c r="G37" s="311"/>
      <c r="H37" s="311"/>
      <c r="I37" s="311"/>
      <c r="J37" s="311"/>
      <c r="K37" s="311"/>
      <c r="L37" s="311"/>
      <c r="M37" s="311"/>
      <c r="N37" s="311"/>
      <c r="O37" s="311"/>
      <c r="P37" s="311"/>
      <c r="Q37" s="311"/>
      <c r="R37" s="311"/>
      <c r="S37" s="311"/>
      <c r="T37" s="311"/>
      <c r="U37" s="311"/>
      <c r="V37" s="311"/>
      <c r="W37" s="311"/>
      <c r="X37" s="311"/>
      <c r="Y37" s="311"/>
      <c r="Z37" s="311"/>
      <c r="AA37" s="311"/>
      <c r="AB37" s="311"/>
      <c r="AC37" s="311"/>
      <c r="AD37" s="311"/>
      <c r="AE37" s="38"/>
      <c r="AF37" s="38"/>
      <c r="AG37" s="311"/>
      <c r="AH37" s="311"/>
      <c r="AI37" s="311"/>
      <c r="AJ37" s="311"/>
      <c r="AK37" s="311"/>
      <c r="AL37" s="311"/>
      <c r="AM37" s="311"/>
      <c r="AN37" s="311"/>
      <c r="AO37" s="311"/>
      <c r="AP37" s="311"/>
      <c r="AQ37" s="311"/>
      <c r="AR37" s="311"/>
      <c r="AS37" s="311"/>
      <c r="AT37" s="311"/>
      <c r="AU37" s="311"/>
      <c r="AV37" s="311"/>
      <c r="AW37" s="311"/>
      <c r="AX37" s="311"/>
      <c r="AY37" s="311"/>
      <c r="AZ37" s="311"/>
      <c r="BA37" s="311"/>
      <c r="BB37" s="311"/>
      <c r="BC37" s="311"/>
      <c r="BD37" s="311"/>
      <c r="BE37" s="311"/>
      <c r="BF37" s="248"/>
      <c r="BG37" s="248"/>
    </row>
    <row r="38" spans="1:59" ht="16" x14ac:dyDescent="0.2">
      <c r="A38" s="157"/>
      <c r="B38" s="282"/>
      <c r="C38" s="79" t="s">
        <v>287</v>
      </c>
      <c r="D38" s="311" t="s">
        <v>82</v>
      </c>
      <c r="E38" s="311" t="s">
        <v>83</v>
      </c>
      <c r="F38" s="311" t="s">
        <v>84</v>
      </c>
      <c r="G38" s="311" t="s">
        <v>85</v>
      </c>
      <c r="H38" s="311" t="s">
        <v>86</v>
      </c>
      <c r="I38" s="311" t="s">
        <v>87</v>
      </c>
      <c r="J38" s="311" t="s">
        <v>88</v>
      </c>
      <c r="K38" s="311" t="s">
        <v>89</v>
      </c>
      <c r="L38" s="311" t="s">
        <v>90</v>
      </c>
      <c r="M38" s="311" t="s">
        <v>91</v>
      </c>
      <c r="N38" s="311" t="s">
        <v>92</v>
      </c>
      <c r="O38" s="311" t="s">
        <v>93</v>
      </c>
      <c r="P38" s="311" t="s">
        <v>94</v>
      </c>
      <c r="Q38" s="311" t="s">
        <v>95</v>
      </c>
      <c r="R38" s="311" t="s">
        <v>96</v>
      </c>
      <c r="S38" s="311" t="s">
        <v>97</v>
      </c>
      <c r="T38" s="311" t="s">
        <v>98</v>
      </c>
      <c r="U38" s="311" t="s">
        <v>99</v>
      </c>
      <c r="V38" s="311" t="s">
        <v>100</v>
      </c>
      <c r="W38" s="311" t="s">
        <v>101</v>
      </c>
      <c r="X38" s="311" t="s">
        <v>102</v>
      </c>
      <c r="Y38" s="311" t="s">
        <v>103</v>
      </c>
      <c r="Z38" s="311" t="s">
        <v>104</v>
      </c>
      <c r="AA38" s="311" t="s">
        <v>105</v>
      </c>
      <c r="AB38" s="311" t="s">
        <v>106</v>
      </c>
      <c r="AC38" s="311" t="s">
        <v>107</v>
      </c>
      <c r="AD38" s="311" t="s">
        <v>108</v>
      </c>
      <c r="AE38" s="38" t="s">
        <v>322</v>
      </c>
      <c r="AF38" s="38" t="s">
        <v>321</v>
      </c>
      <c r="AG38" s="311" t="s">
        <v>109</v>
      </c>
      <c r="AH38" s="311" t="s">
        <v>110</v>
      </c>
      <c r="AI38" s="311" t="s">
        <v>111</v>
      </c>
      <c r="AJ38" s="311" t="s">
        <v>112</v>
      </c>
      <c r="AK38" s="311" t="s">
        <v>113</v>
      </c>
      <c r="AL38" s="311" t="s">
        <v>114</v>
      </c>
      <c r="AM38" s="311" t="s">
        <v>115</v>
      </c>
      <c r="AN38" s="311" t="s">
        <v>116</v>
      </c>
      <c r="AO38" s="311" t="s">
        <v>117</v>
      </c>
      <c r="AP38" s="311" t="s">
        <v>118</v>
      </c>
      <c r="AQ38" s="311" t="s">
        <v>119</v>
      </c>
      <c r="AR38" s="311" t="s">
        <v>120</v>
      </c>
      <c r="AS38" s="311" t="s">
        <v>121</v>
      </c>
      <c r="AT38" s="311" t="s">
        <v>122</v>
      </c>
      <c r="AU38" s="311" t="s">
        <v>123</v>
      </c>
      <c r="AV38" s="311" t="s">
        <v>124</v>
      </c>
      <c r="AW38" s="311" t="s">
        <v>125</v>
      </c>
      <c r="AX38" s="311" t="s">
        <v>585</v>
      </c>
      <c r="AY38" s="311" t="s">
        <v>126</v>
      </c>
      <c r="AZ38" s="311" t="s">
        <v>127</v>
      </c>
      <c r="BA38" s="311" t="s">
        <v>128</v>
      </c>
      <c r="BB38" s="311" t="s">
        <v>129</v>
      </c>
      <c r="BC38" s="311" t="s">
        <v>130</v>
      </c>
      <c r="BD38" s="311" t="s">
        <v>131</v>
      </c>
      <c r="BE38" s="311" t="s">
        <v>81</v>
      </c>
      <c r="BF38" s="248"/>
      <c r="BG38" s="248"/>
    </row>
    <row r="39" spans="1:59" ht="17" x14ac:dyDescent="0.2">
      <c r="A39" s="157"/>
      <c r="B39" s="282"/>
      <c r="C39" s="6" t="s">
        <v>76</v>
      </c>
      <c r="D39" s="311">
        <v>2.0809163118574543</v>
      </c>
      <c r="E39" s="311">
        <v>1.3432430519287692</v>
      </c>
      <c r="F39" s="311">
        <v>2.9213672198484186</v>
      </c>
      <c r="G39" s="311">
        <v>1.9666484729415312</v>
      </c>
      <c r="H39" s="311">
        <v>2.5856933837783478</v>
      </c>
      <c r="I39" s="311">
        <v>2.4739774924684532</v>
      </c>
      <c r="J39" s="311">
        <v>1.910816211746452</v>
      </c>
      <c r="K39" s="311">
        <v>1.6396018671472239</v>
      </c>
      <c r="L39" s="311">
        <v>1.0071442693337997</v>
      </c>
      <c r="M39" s="311">
        <v>3.4879510109984446</v>
      </c>
      <c r="N39" s="311">
        <v>2.3463472813098383</v>
      </c>
      <c r="O39" s="311">
        <v>2.2464956320167189</v>
      </c>
      <c r="P39" s="311">
        <v>2.5156800604478353</v>
      </c>
      <c r="Q39" s="311">
        <v>1.0471220322325858</v>
      </c>
      <c r="R39" s="311">
        <v>1.4379307922729354</v>
      </c>
      <c r="S39" s="311">
        <v>1.879662755406551</v>
      </c>
      <c r="T39" s="311">
        <v>1.5158448682349364</v>
      </c>
      <c r="U39" s="311">
        <v>1.5725946279890168</v>
      </c>
      <c r="V39" s="311">
        <v>1.6766318558273112</v>
      </c>
      <c r="W39" s="311">
        <v>3.0663439032892592</v>
      </c>
      <c r="X39" s="311">
        <v>1.3445573804269382</v>
      </c>
      <c r="Y39" s="311">
        <v>2.9768215835628231</v>
      </c>
      <c r="Z39" s="311">
        <v>1.941387046495725</v>
      </c>
      <c r="AA39" s="311">
        <v>2.2547826715841923</v>
      </c>
      <c r="AB39" s="311">
        <v>1.7359930926690688</v>
      </c>
      <c r="AC39" s="311">
        <v>1.2532464675036827</v>
      </c>
      <c r="AD39" s="311">
        <v>1.754392166285774</v>
      </c>
      <c r="AE39" s="38">
        <f>'User Add-in Location'!B43</f>
        <v>0</v>
      </c>
      <c r="AF39" s="38">
        <f>'User Add-in Location'!C43</f>
        <v>0</v>
      </c>
      <c r="AG39" s="311">
        <v>2.0243427401722922</v>
      </c>
      <c r="AH39" s="311">
        <v>1.417035399202732</v>
      </c>
      <c r="AI39" s="311">
        <v>2.3057211238666691</v>
      </c>
      <c r="AJ39" s="311">
        <v>2.1153271717973698</v>
      </c>
      <c r="AK39" s="311">
        <v>1.7213832790752803</v>
      </c>
      <c r="AL39" s="311">
        <v>1.4320634515176149</v>
      </c>
      <c r="AM39" s="311">
        <v>2.5652269389978861</v>
      </c>
      <c r="AN39" s="311">
        <v>0.71858443715190623</v>
      </c>
      <c r="AO39" s="311">
        <v>1.7879160123574556</v>
      </c>
      <c r="AP39" s="311">
        <v>2.036034668658484</v>
      </c>
      <c r="AQ39" s="311">
        <v>3.0127981896776976</v>
      </c>
      <c r="AR39" s="311">
        <v>2.15993537969395</v>
      </c>
      <c r="AS39" s="311">
        <v>2.5222602568833765</v>
      </c>
      <c r="AT39" s="311">
        <v>1.3234972932086988</v>
      </c>
      <c r="AU39" s="311">
        <v>1.6174101415843163</v>
      </c>
      <c r="AV39" s="311">
        <v>1.3823910144179918</v>
      </c>
      <c r="AW39" s="311">
        <v>2.3399860717781849</v>
      </c>
      <c r="AX39" s="311">
        <v>4.2068025774212954</v>
      </c>
      <c r="AY39" s="311">
        <v>2.2661676582665686</v>
      </c>
      <c r="AZ39" s="311">
        <v>1.8102422549003541</v>
      </c>
      <c r="BA39" s="311">
        <v>1.3671717753224968</v>
      </c>
      <c r="BB39" s="311">
        <v>2.2862817486217448</v>
      </c>
      <c r="BC39" s="311">
        <v>0.86810449608518425</v>
      </c>
      <c r="BD39" s="311">
        <v>2.1630790422373076</v>
      </c>
      <c r="BE39" s="311">
        <v>0.97386791732901246</v>
      </c>
      <c r="BF39" s="248"/>
      <c r="BG39" s="248"/>
    </row>
    <row r="40" spans="1:59" ht="17" x14ac:dyDescent="0.2">
      <c r="A40" s="157"/>
      <c r="B40" s="282"/>
      <c r="C40" s="6" t="s">
        <v>148</v>
      </c>
      <c r="D40" s="311">
        <v>1.0774931146780056</v>
      </c>
      <c r="E40" s="311">
        <v>1.1543429226369899</v>
      </c>
      <c r="F40" s="311">
        <v>2.1131468250005065</v>
      </c>
      <c r="G40" s="311">
        <v>1.2804572828470533</v>
      </c>
      <c r="H40" s="311">
        <v>2.2045173031519281</v>
      </c>
      <c r="I40" s="311">
        <v>4.4920535342852013</v>
      </c>
      <c r="J40" s="311">
        <v>0.45602229419522256</v>
      </c>
      <c r="K40" s="311">
        <v>-0.43418895460601159</v>
      </c>
      <c r="L40" s="311">
        <v>-5.3913707340478414</v>
      </c>
      <c r="M40" s="311">
        <v>1.3551938923275926</v>
      </c>
      <c r="N40" s="311">
        <v>1.9607525200481606</v>
      </c>
      <c r="O40" s="311">
        <v>1.3734234643349801</v>
      </c>
      <c r="P40" s="311">
        <v>2.2327146979226038</v>
      </c>
      <c r="Q40" s="311">
        <v>2.1697459902384941</v>
      </c>
      <c r="R40" s="311">
        <v>1.3937464839677973</v>
      </c>
      <c r="S40" s="311">
        <v>1.5464263595427952</v>
      </c>
      <c r="T40" s="311">
        <v>3.1928310034378788</v>
      </c>
      <c r="U40" s="311">
        <v>1.2575593247492407</v>
      </c>
      <c r="V40" s="311">
        <v>4.0157138315529002</v>
      </c>
      <c r="W40" s="311">
        <v>1.5024920220248479</v>
      </c>
      <c r="X40" s="311">
        <v>1.1448619412676364</v>
      </c>
      <c r="Y40" s="311">
        <v>3.0830366019924229</v>
      </c>
      <c r="Z40" s="311">
        <v>2.0837653226189174</v>
      </c>
      <c r="AA40" s="311">
        <v>1.7511827276798846</v>
      </c>
      <c r="AB40" s="311">
        <v>2.9575259616486895</v>
      </c>
      <c r="AC40" s="311">
        <v>1.5639092997212376</v>
      </c>
      <c r="AD40" s="311">
        <v>2.1974958325785998</v>
      </c>
      <c r="AE40" s="38">
        <f>'User Add-in Location'!B44</f>
        <v>0</v>
      </c>
      <c r="AF40" s="38">
        <f>'User Add-in Location'!C44</f>
        <v>0</v>
      </c>
      <c r="AG40" s="311">
        <v>1.701092444268355</v>
      </c>
      <c r="AH40" s="311">
        <v>1.7514776165029355</v>
      </c>
      <c r="AI40" s="311">
        <v>1.7811556405138305</v>
      </c>
      <c r="AJ40" s="311">
        <v>1.565274845700001</v>
      </c>
      <c r="AK40" s="311">
        <v>1.5227501787522921</v>
      </c>
      <c r="AL40" s="311">
        <v>2.6634090269883828</v>
      </c>
      <c r="AM40" s="311">
        <v>1.4089599451789616</v>
      </c>
      <c r="AN40" s="311">
        <v>1.7601256276173896</v>
      </c>
      <c r="AO40" s="311">
        <v>1.7343790201500893</v>
      </c>
      <c r="AP40" s="311">
        <v>3.1084828845350523</v>
      </c>
      <c r="AQ40" s="311">
        <v>1.5754901796420211</v>
      </c>
      <c r="AR40" s="311">
        <v>1.7410535705226462</v>
      </c>
      <c r="AS40" s="311">
        <v>1.3006058210491593</v>
      </c>
      <c r="AT40" s="311">
        <v>1.2105676667310479</v>
      </c>
      <c r="AU40" s="311">
        <v>1.3079786448961956</v>
      </c>
      <c r="AV40" s="311">
        <v>1.6606016242518968</v>
      </c>
      <c r="AW40" s="311">
        <v>3.4336463649213318</v>
      </c>
      <c r="AX40" s="311">
        <v>4.5492584876979745</v>
      </c>
      <c r="AY40" s="311">
        <v>1.8792293029587348</v>
      </c>
      <c r="AZ40" s="311">
        <v>1.0103147129093553</v>
      </c>
      <c r="BA40" s="311">
        <v>0.81500494993950334</v>
      </c>
      <c r="BB40" s="311">
        <v>1.9362779153508878</v>
      </c>
      <c r="BC40" s="311">
        <v>1.1858844663406176</v>
      </c>
      <c r="BD40" s="311">
        <v>1.3988192328500684</v>
      </c>
      <c r="BE40" s="311">
        <v>1.069152054824289</v>
      </c>
      <c r="BF40" s="248"/>
      <c r="BG40" s="248"/>
    </row>
    <row r="41" spans="1:59" ht="17" x14ac:dyDescent="0.2">
      <c r="A41" s="157"/>
      <c r="B41" s="282"/>
      <c r="C41" s="6" t="s">
        <v>77</v>
      </c>
      <c r="D41" s="311">
        <v>2.3638160505088828</v>
      </c>
      <c r="E41" s="311">
        <v>2.2128935172245376</v>
      </c>
      <c r="F41" s="311">
        <v>2.9414542980006884</v>
      </c>
      <c r="G41" s="311">
        <v>2.1215407529844859</v>
      </c>
      <c r="H41" s="311">
        <v>2.5517180152611054</v>
      </c>
      <c r="I41" s="311">
        <v>3.0540872078369889</v>
      </c>
      <c r="J41" s="311">
        <v>2.3918019442189373</v>
      </c>
      <c r="K41" s="311">
        <v>1.8643874615435045</v>
      </c>
      <c r="L41" s="311">
        <v>0.55605501807933722</v>
      </c>
      <c r="M41" s="311">
        <v>3.0965047267180821</v>
      </c>
      <c r="N41" s="311">
        <v>2.6222699810551582</v>
      </c>
      <c r="O41" s="311">
        <v>2.1563589822121649</v>
      </c>
      <c r="P41" s="311">
        <v>2.3439646851324891</v>
      </c>
      <c r="Q41" s="311">
        <v>2.8894441578371439</v>
      </c>
      <c r="R41" s="311">
        <v>2.6045567501011346</v>
      </c>
      <c r="S41" s="311">
        <v>2.4269456892806742</v>
      </c>
      <c r="T41" s="311">
        <v>2.3268062873465194</v>
      </c>
      <c r="U41" s="311">
        <v>2.1843525074853671</v>
      </c>
      <c r="V41" s="311">
        <v>2.5785757086981853</v>
      </c>
      <c r="W41" s="311">
        <v>2.9376032144418835</v>
      </c>
      <c r="X41" s="311">
        <v>2.3556739775810618</v>
      </c>
      <c r="Y41" s="311">
        <v>2.6704256170155123</v>
      </c>
      <c r="Z41" s="311">
        <v>2.7301187121263037</v>
      </c>
      <c r="AA41" s="311">
        <v>3.2178056340347143</v>
      </c>
      <c r="AB41" s="311">
        <v>2.0601886290320768</v>
      </c>
      <c r="AC41" s="311">
        <v>2.8633868844231549</v>
      </c>
      <c r="AD41" s="311">
        <v>2.5003706803033445</v>
      </c>
      <c r="AE41" s="38">
        <f>'User Add-in Location'!B45</f>
        <v>0</v>
      </c>
      <c r="AF41" s="38">
        <f>'User Add-in Location'!C45</f>
        <v>0</v>
      </c>
      <c r="AG41" s="311">
        <v>2.7463002383679278</v>
      </c>
      <c r="AH41" s="311">
        <v>2.2404261688936393</v>
      </c>
      <c r="AI41" s="311">
        <v>3.2934858498594335</v>
      </c>
      <c r="AJ41" s="311">
        <v>2.6184829839969841</v>
      </c>
      <c r="AK41" s="311">
        <v>1.9785649899874507</v>
      </c>
      <c r="AL41" s="311">
        <v>1.9737987357092344</v>
      </c>
      <c r="AM41" s="311">
        <v>2.815111646357761</v>
      </c>
      <c r="AN41" s="311">
        <v>2.1233910093838655</v>
      </c>
      <c r="AO41" s="311">
        <v>2.9910569323449763</v>
      </c>
      <c r="AP41" s="311">
        <v>2.6221057398142658</v>
      </c>
      <c r="AQ41" s="311">
        <v>2.8505517758431367</v>
      </c>
      <c r="AR41" s="311">
        <v>2.822212575173352</v>
      </c>
      <c r="AS41" s="311">
        <v>2.526633179530609</v>
      </c>
      <c r="AT41" s="311">
        <v>2.2180696943213878</v>
      </c>
      <c r="AU41" s="311">
        <v>2.2875888368154742</v>
      </c>
      <c r="AV41" s="311">
        <v>3.0248960943810088</v>
      </c>
      <c r="AW41" s="311">
        <v>3.1017476262505417</v>
      </c>
      <c r="AX41" s="311">
        <v>5.060428579372215</v>
      </c>
      <c r="AY41" s="311">
        <v>2.9779845909195726</v>
      </c>
      <c r="AZ41" s="311">
        <v>2.7520405968806569</v>
      </c>
      <c r="BA41" s="311">
        <v>2.2727175685532353</v>
      </c>
      <c r="BB41" s="311">
        <v>2.0417766202252756</v>
      </c>
      <c r="BC41" s="311">
        <v>1.88601747239169</v>
      </c>
      <c r="BD41" s="311">
        <v>2.8097834364592869</v>
      </c>
      <c r="BE41" s="311">
        <v>1.4586694188925535</v>
      </c>
      <c r="BF41" s="248"/>
      <c r="BG41" s="248"/>
    </row>
    <row r="42" spans="1:59" ht="17" x14ac:dyDescent="0.2">
      <c r="A42" s="157"/>
      <c r="B42" s="282"/>
      <c r="C42" s="6" t="s">
        <v>149</v>
      </c>
      <c r="D42" s="311">
        <v>1.2215202703951877</v>
      </c>
      <c r="E42" s="311">
        <v>0.97752867637322027</v>
      </c>
      <c r="F42" s="311">
        <v>2.0837432852338358</v>
      </c>
      <c r="G42" s="311">
        <v>1.2630777423349882</v>
      </c>
      <c r="H42" s="311">
        <v>1.6994322662530696</v>
      </c>
      <c r="I42" s="311">
        <v>2.0903161020694134</v>
      </c>
      <c r="J42" s="311">
        <v>1.6182716135636972</v>
      </c>
      <c r="K42" s="311">
        <v>1.0157519564366111</v>
      </c>
      <c r="L42" s="311">
        <v>0.43316279819381487</v>
      </c>
      <c r="M42" s="311">
        <v>2.1485263171916698</v>
      </c>
      <c r="N42" s="311">
        <v>1.6294464042752721</v>
      </c>
      <c r="O42" s="311">
        <v>1.0495528696562741</v>
      </c>
      <c r="P42" s="311">
        <v>1.4578422319175468</v>
      </c>
      <c r="Q42" s="311">
        <v>1.7575461099284404</v>
      </c>
      <c r="R42" s="311">
        <v>1.2837706448959258</v>
      </c>
      <c r="S42" s="311">
        <v>1.2848057650422828</v>
      </c>
      <c r="T42" s="311">
        <v>1.3346097217583643</v>
      </c>
      <c r="U42" s="311">
        <v>1.088895640739268</v>
      </c>
      <c r="V42" s="311">
        <v>1.0028384506105104</v>
      </c>
      <c r="W42" s="311">
        <v>1.7358031293179121</v>
      </c>
      <c r="X42" s="311">
        <v>1.3609616263076409</v>
      </c>
      <c r="Y42" s="311">
        <v>1.6574021565365398</v>
      </c>
      <c r="Z42" s="311">
        <v>1.6244789432638294</v>
      </c>
      <c r="AA42" s="311">
        <v>1.9995223781819051</v>
      </c>
      <c r="AB42" s="311">
        <v>1.0957570650765482</v>
      </c>
      <c r="AC42" s="311">
        <v>1.4683967268489035</v>
      </c>
      <c r="AD42" s="311">
        <v>1.1020676482341265</v>
      </c>
      <c r="AE42" s="38">
        <f>'User Add-in Location'!B46</f>
        <v>0</v>
      </c>
      <c r="AF42" s="38">
        <f>'User Add-in Location'!C46</f>
        <v>0</v>
      </c>
      <c r="AG42" s="311">
        <v>1.3281335884637939</v>
      </c>
      <c r="AH42" s="311">
        <v>1.3618710902952651</v>
      </c>
      <c r="AI42" s="311">
        <v>1.8530522898138224</v>
      </c>
      <c r="AJ42" s="311">
        <v>1.625781508015667</v>
      </c>
      <c r="AK42" s="311">
        <v>0.84360294135607961</v>
      </c>
      <c r="AL42" s="311">
        <v>1.1923224303951856</v>
      </c>
      <c r="AM42" s="311">
        <v>1.4497622884488168</v>
      </c>
      <c r="AN42" s="311">
        <v>1.0416136390382964</v>
      </c>
      <c r="AO42" s="311">
        <v>1.6873218804265939</v>
      </c>
      <c r="AP42" s="311">
        <v>1.50493435172581</v>
      </c>
      <c r="AQ42" s="311">
        <v>1.7078974927896557</v>
      </c>
      <c r="AR42" s="311">
        <v>1.6942316276340745</v>
      </c>
      <c r="AS42" s="311">
        <v>1.5654852657063141</v>
      </c>
      <c r="AT42" s="311">
        <v>1.2624092576946673</v>
      </c>
      <c r="AU42" s="311">
        <v>1.3229480082536731</v>
      </c>
      <c r="AV42" s="311">
        <v>1.4781931353519027</v>
      </c>
      <c r="AW42" s="311">
        <v>1.7335177766929353</v>
      </c>
      <c r="AX42" s="311">
        <v>3.746308902392276</v>
      </c>
      <c r="AY42" s="311">
        <v>1.8008757988917856</v>
      </c>
      <c r="AZ42" s="311">
        <v>1.4701332394094626</v>
      </c>
      <c r="BA42" s="311">
        <v>1.2384712660366397</v>
      </c>
      <c r="BB42" s="311">
        <v>1.1695621920911781</v>
      </c>
      <c r="BC42" s="311">
        <v>0.90845145612171785</v>
      </c>
      <c r="BD42" s="311">
        <v>1.7172896291766528</v>
      </c>
      <c r="BE42" s="311">
        <v>0.5921910582264579</v>
      </c>
      <c r="BF42" s="248"/>
      <c r="BG42" s="248"/>
    </row>
    <row r="43" spans="1:59" ht="17" x14ac:dyDescent="0.2">
      <c r="A43" s="157"/>
      <c r="B43" s="282"/>
      <c r="C43" s="6" t="s">
        <v>150</v>
      </c>
      <c r="D43" s="311">
        <v>1.7595308684422035</v>
      </c>
      <c r="E43" s="311">
        <v>1.486538583581706</v>
      </c>
      <c r="F43" s="311">
        <v>2.486600671580999</v>
      </c>
      <c r="G43" s="311">
        <v>1.6482207194474952</v>
      </c>
      <c r="H43" s="311">
        <v>2.2700550058273428</v>
      </c>
      <c r="I43" s="311">
        <v>2.4487343026871238</v>
      </c>
      <c r="J43" s="311">
        <v>1.8985713241791646</v>
      </c>
      <c r="K43" s="311">
        <v>1.5143964170227</v>
      </c>
      <c r="L43" s="311">
        <v>0</v>
      </c>
      <c r="M43" s="311">
        <v>2.7194788523574713</v>
      </c>
      <c r="N43" s="311">
        <v>2.171171488902349</v>
      </c>
      <c r="O43" s="311">
        <v>1.842973286992752</v>
      </c>
      <c r="P43" s="311">
        <v>1.8807674912262877</v>
      </c>
      <c r="Q43" s="311">
        <v>2.4853519980711143</v>
      </c>
      <c r="R43" s="311">
        <v>1.9640194133262401</v>
      </c>
      <c r="S43" s="311">
        <v>1.7005718186678931</v>
      </c>
      <c r="T43" s="311">
        <v>1.7269552659252423</v>
      </c>
      <c r="U43" s="311">
        <v>1.8527680792994385</v>
      </c>
      <c r="V43" s="311">
        <v>1.975797724149934</v>
      </c>
      <c r="W43" s="311">
        <v>2.0039807209329656</v>
      </c>
      <c r="X43" s="311">
        <v>1.9246556401305803</v>
      </c>
      <c r="Y43" s="311">
        <v>2.1115607992291521</v>
      </c>
      <c r="Z43" s="311">
        <v>2.4749869685505024</v>
      </c>
      <c r="AA43" s="311">
        <v>2.7643578733338425</v>
      </c>
      <c r="AB43" s="311">
        <v>1.6490031441716513</v>
      </c>
      <c r="AC43" s="311">
        <v>2.3420531887939688</v>
      </c>
      <c r="AD43" s="311">
        <v>1.8072086562858714</v>
      </c>
      <c r="AE43" s="38">
        <f>'User Add-in Location'!B47</f>
        <v>0</v>
      </c>
      <c r="AF43" s="38">
        <f>'User Add-in Location'!C47</f>
        <v>0</v>
      </c>
      <c r="AG43" s="311">
        <v>1.832226167540091</v>
      </c>
      <c r="AH43" s="311">
        <v>1.8376457589290325</v>
      </c>
      <c r="AI43" s="311">
        <v>2.2440140872945133</v>
      </c>
      <c r="AJ43" s="311">
        <v>2.3281853209682137</v>
      </c>
      <c r="AK43" s="311">
        <v>1.402584538762216</v>
      </c>
      <c r="AL43" s="311">
        <v>1.6237538031649119</v>
      </c>
      <c r="AM43" s="311">
        <v>2.1865203175305581</v>
      </c>
      <c r="AN43" s="311">
        <v>1.4579404724046878</v>
      </c>
      <c r="AO43" s="311">
        <v>2.4445254452793166</v>
      </c>
      <c r="AP43" s="311">
        <v>2.0291126828572654</v>
      </c>
      <c r="AQ43" s="311">
        <v>2.2225875807579372</v>
      </c>
      <c r="AR43" s="311">
        <v>2.3806633257838521</v>
      </c>
      <c r="AS43" s="311">
        <v>2.1490669981196033</v>
      </c>
      <c r="AT43" s="311">
        <v>2.0511669180056114</v>
      </c>
      <c r="AU43" s="311">
        <v>1.5708084480068554</v>
      </c>
      <c r="AV43" s="311">
        <v>2.3469122621856311</v>
      </c>
      <c r="AW43" s="311">
        <v>2.5452868150013819</v>
      </c>
      <c r="AX43" s="311">
        <v>4.7174005996554671</v>
      </c>
      <c r="AY43" s="311">
        <v>2.4233039213107666</v>
      </c>
      <c r="AZ43" s="311">
        <v>1.9423330589952683</v>
      </c>
      <c r="BA43" s="311">
        <v>1.9633049228322492</v>
      </c>
      <c r="BB43" s="311">
        <v>1.5673684693293837</v>
      </c>
      <c r="BC43" s="311">
        <v>1.3597593533105168</v>
      </c>
      <c r="BD43" s="311">
        <v>2.4110447011969587</v>
      </c>
      <c r="BE43" s="311">
        <v>1.0138772907463085</v>
      </c>
      <c r="BF43" s="248"/>
      <c r="BG43" s="248"/>
    </row>
    <row r="44" spans="1:59" ht="17" x14ac:dyDescent="0.2">
      <c r="A44" s="157"/>
      <c r="B44" s="282"/>
      <c r="C44" s="6" t="s">
        <v>151</v>
      </c>
      <c r="D44" s="311">
        <v>1.2896902254128904</v>
      </c>
      <c r="E44" s="311">
        <v>1.1869008921344675</v>
      </c>
      <c r="F44" s="311">
        <v>1.9677515239415471</v>
      </c>
      <c r="G44" s="311">
        <v>1.3155934993520169</v>
      </c>
      <c r="H44" s="311">
        <v>1.8743944889876811</v>
      </c>
      <c r="I44" s="311">
        <v>2.1458333867239863</v>
      </c>
      <c r="J44" s="311">
        <v>1.834912970410818</v>
      </c>
      <c r="K44" s="311">
        <v>1.4716732663983174</v>
      </c>
      <c r="L44" s="311">
        <v>0.3866901503733608</v>
      </c>
      <c r="M44" s="311">
        <v>2.2228316160428911</v>
      </c>
      <c r="N44" s="311">
        <v>1.5552167157300354</v>
      </c>
      <c r="O44" s="311">
        <v>0.6351416730553604</v>
      </c>
      <c r="P44" s="311">
        <v>1.4383707440918667</v>
      </c>
      <c r="Q44" s="311">
        <v>1.7930744180853957</v>
      </c>
      <c r="R44" s="311">
        <v>1.3524622038742824</v>
      </c>
      <c r="S44" s="311">
        <v>1.2452840467176851</v>
      </c>
      <c r="T44" s="311">
        <v>1.3921168052688542</v>
      </c>
      <c r="U44" s="311">
        <v>1.3464992878196089</v>
      </c>
      <c r="V44" s="311">
        <v>1.3808613116002544</v>
      </c>
      <c r="W44" s="311">
        <v>2.0163637405571837</v>
      </c>
      <c r="X44" s="311">
        <v>1.2212663386102474</v>
      </c>
      <c r="Y44" s="311">
        <v>2.0020544448999233</v>
      </c>
      <c r="Z44" s="311">
        <v>1.8832441224581027</v>
      </c>
      <c r="AA44" s="311">
        <v>2.1037463867921309</v>
      </c>
      <c r="AB44" s="311">
        <v>0.89475371835846218</v>
      </c>
      <c r="AC44" s="311">
        <v>1.4190888862717066</v>
      </c>
      <c r="AD44" s="311">
        <v>1.2249763175976605</v>
      </c>
      <c r="AE44" s="38">
        <f>'User Add-in Location'!B48</f>
        <v>0</v>
      </c>
      <c r="AF44" s="38">
        <f>'User Add-in Location'!C48</f>
        <v>0</v>
      </c>
      <c r="AG44" s="311">
        <v>1.2881445495711126</v>
      </c>
      <c r="AH44" s="311">
        <v>1.5258002937433826</v>
      </c>
      <c r="AI44" s="311">
        <v>2.1891523429969078</v>
      </c>
      <c r="AJ44" s="311">
        <v>2.3505018715666517</v>
      </c>
      <c r="AK44" s="311">
        <v>1.1088842279267006</v>
      </c>
      <c r="AL44" s="311">
        <v>1.2588669474188992</v>
      </c>
      <c r="AM44" s="311">
        <v>1.7210796764981562</v>
      </c>
      <c r="AN44" s="311">
        <v>0.94614097084697246</v>
      </c>
      <c r="AO44" s="311">
        <v>2.080055834211882</v>
      </c>
      <c r="AP44" s="311">
        <v>1.6861442804209801</v>
      </c>
      <c r="AQ44" s="311">
        <v>1.7127262908736578</v>
      </c>
      <c r="AR44" s="311">
        <v>1.9573822489580588</v>
      </c>
      <c r="AS44" s="311">
        <v>1.9059437896509033</v>
      </c>
      <c r="AT44" s="311">
        <v>1.6327553444399177</v>
      </c>
      <c r="AU44" s="311">
        <v>1.1635844465796081</v>
      </c>
      <c r="AV44" s="311">
        <v>1.5515669983604758</v>
      </c>
      <c r="AW44" s="311">
        <v>1.9190219181196897</v>
      </c>
      <c r="AX44" s="311">
        <v>3.9913797160423097</v>
      </c>
      <c r="AY44" s="311">
        <v>1.7329619974970547</v>
      </c>
      <c r="AZ44" s="311">
        <v>2.1274353410297193</v>
      </c>
      <c r="BA44" s="311">
        <v>1.5660567692760519</v>
      </c>
      <c r="BB44" s="311">
        <v>1.4132174412409029</v>
      </c>
      <c r="BC44" s="311">
        <v>1.5335722348273544</v>
      </c>
      <c r="BD44" s="311">
        <v>1.5708763399211572</v>
      </c>
      <c r="BE44" s="311">
        <v>0.68290810274418068</v>
      </c>
      <c r="BF44" s="248"/>
      <c r="BG44" s="248"/>
    </row>
    <row r="45" spans="1:59" ht="17" x14ac:dyDescent="0.2">
      <c r="A45" s="157"/>
      <c r="B45" s="282"/>
      <c r="C45" s="6" t="s">
        <v>152</v>
      </c>
      <c r="D45" s="311">
        <v>1.713904410681826</v>
      </c>
      <c r="E45" s="311">
        <v>0</v>
      </c>
      <c r="F45" s="311">
        <v>2.7700212232762724</v>
      </c>
      <c r="G45" s="311">
        <v>1.5469770389634365</v>
      </c>
      <c r="H45" s="311">
        <v>2.4663654367076062</v>
      </c>
      <c r="I45" s="311">
        <v>2.2548710349471421</v>
      </c>
      <c r="J45" s="311">
        <v>1.5369585923109252</v>
      </c>
      <c r="K45" s="311">
        <v>1.5331136973741137</v>
      </c>
      <c r="L45" s="311">
        <v>0.41230520541151772</v>
      </c>
      <c r="M45" s="311">
        <v>2.6448910456692629</v>
      </c>
      <c r="N45" s="311">
        <v>1.9264552927388585</v>
      </c>
      <c r="O45" s="311">
        <v>0.93919257023013292</v>
      </c>
      <c r="P45" s="311">
        <v>1.9715484350747559</v>
      </c>
      <c r="Q45" s="311">
        <v>2.2264394166460706</v>
      </c>
      <c r="R45" s="311">
        <v>1.8024156220691849</v>
      </c>
      <c r="S45" s="311">
        <v>1.6635992923481688</v>
      </c>
      <c r="T45" s="311">
        <v>1.6221416726258806</v>
      </c>
      <c r="U45" s="311">
        <v>1.7381168990345819</v>
      </c>
      <c r="V45" s="311">
        <v>2.0462046887015197</v>
      </c>
      <c r="W45" s="311">
        <v>1.8377152115874646</v>
      </c>
      <c r="X45" s="311">
        <v>1.6540045931765481</v>
      </c>
      <c r="Y45" s="311">
        <v>2.0067116471188386</v>
      </c>
      <c r="Z45" s="311">
        <v>1.6017180620286975</v>
      </c>
      <c r="AA45" s="311">
        <v>2.3637939348192374</v>
      </c>
      <c r="AB45" s="311">
        <v>1.2343270888328071</v>
      </c>
      <c r="AC45" s="311">
        <v>2.0107597572234166</v>
      </c>
      <c r="AD45" s="311">
        <v>1.5623981777286613</v>
      </c>
      <c r="AE45" s="38">
        <f>'User Add-in Location'!B49</f>
        <v>0</v>
      </c>
      <c r="AF45" s="38">
        <f>'User Add-in Location'!C49</f>
        <v>0</v>
      </c>
      <c r="AG45" s="311">
        <v>1.9785634985577594</v>
      </c>
      <c r="AH45" s="311">
        <v>1.0443428966142174</v>
      </c>
      <c r="AI45" s="311">
        <v>2.2436635600111678</v>
      </c>
      <c r="AJ45" s="311">
        <v>2.0746469821843116</v>
      </c>
      <c r="AK45" s="311">
        <v>1.7507355761311958</v>
      </c>
      <c r="AL45" s="311">
        <v>1.5490586649507176</v>
      </c>
      <c r="AM45" s="311">
        <v>1.8284762113616131</v>
      </c>
      <c r="AN45" s="311">
        <v>1.5064768888466358</v>
      </c>
      <c r="AO45" s="311">
        <v>2.2368653997587087</v>
      </c>
      <c r="AP45" s="311">
        <v>1.9377854596954851</v>
      </c>
      <c r="AQ45" s="311">
        <v>1.345324113159718</v>
      </c>
      <c r="AR45" s="311">
        <v>2.1397175256364114</v>
      </c>
      <c r="AS45" s="311">
        <v>1.770117441265763</v>
      </c>
      <c r="AT45" s="311">
        <v>1.6878655532096485</v>
      </c>
      <c r="AU45" s="311">
        <v>1.4625198779950435</v>
      </c>
      <c r="AV45" s="311">
        <v>2.0988268361934956</v>
      </c>
      <c r="AW45" s="311">
        <v>2.3831976424541956</v>
      </c>
      <c r="AX45" s="311">
        <v>4.1006393430874191</v>
      </c>
      <c r="AY45" s="311">
        <v>2.275815208282038</v>
      </c>
      <c r="AZ45" s="311">
        <v>2.0107198638692605</v>
      </c>
      <c r="BA45" s="311">
        <v>1.7081060375459469</v>
      </c>
      <c r="BB45" s="311">
        <v>1.3733895262243108</v>
      </c>
      <c r="BC45" s="311">
        <v>1.1758288419052623</v>
      </c>
      <c r="BD45" s="311">
        <v>1.9624799107438387</v>
      </c>
      <c r="BE45" s="311">
        <v>0</v>
      </c>
      <c r="BF45" s="248"/>
      <c r="BG45" s="248"/>
    </row>
    <row r="46" spans="1:59" ht="17" x14ac:dyDescent="0.2">
      <c r="A46" s="157"/>
      <c r="B46" s="282"/>
      <c r="C46" s="6" t="s">
        <v>153</v>
      </c>
      <c r="D46" s="311">
        <v>1.8217216715776843</v>
      </c>
      <c r="E46" s="311">
        <v>1.0152316515520055</v>
      </c>
      <c r="F46" s="311">
        <v>2.5280472216099277</v>
      </c>
      <c r="G46" s="311">
        <v>1.9898016635676927</v>
      </c>
      <c r="H46" s="311">
        <v>2.326807984729502</v>
      </c>
      <c r="I46" s="311">
        <v>3.4378294130401117</v>
      </c>
      <c r="J46" s="311">
        <v>2.3604548533867682</v>
      </c>
      <c r="K46" s="311">
        <v>1.5637294704065547</v>
      </c>
      <c r="L46" s="311">
        <v>0.58625277503467588</v>
      </c>
      <c r="M46" s="311">
        <v>2.6277380980777587</v>
      </c>
      <c r="N46" s="311">
        <v>2.4739223936368373</v>
      </c>
      <c r="O46" s="311">
        <v>1.519633223384919</v>
      </c>
      <c r="P46" s="311">
        <v>2.1333813304268285</v>
      </c>
      <c r="Q46" s="311">
        <v>2.6648385309765201</v>
      </c>
      <c r="R46" s="311">
        <v>2.1462671528635457</v>
      </c>
      <c r="S46" s="311">
        <v>1.9235699494637084</v>
      </c>
      <c r="T46" s="311">
        <v>1.9497879586079669</v>
      </c>
      <c r="U46" s="311">
        <v>1.9136726666224182</v>
      </c>
      <c r="V46" s="311">
        <v>1.9739963321086726</v>
      </c>
      <c r="W46" s="311">
        <v>2.101417012928287</v>
      </c>
      <c r="X46" s="311">
        <v>1.8542904445966555</v>
      </c>
      <c r="Y46" s="311">
        <v>2.1048156158023716</v>
      </c>
      <c r="Z46" s="311">
        <v>2.3488792440713975</v>
      </c>
      <c r="AA46" s="311">
        <v>2.709614145826599</v>
      </c>
      <c r="AB46" s="311">
        <v>1.5884069381260313</v>
      </c>
      <c r="AC46" s="311">
        <v>2.3416505464788848</v>
      </c>
      <c r="AD46" s="311">
        <v>2.1097400112973661</v>
      </c>
      <c r="AE46" s="38">
        <f>'User Add-in Location'!B50</f>
        <v>0</v>
      </c>
      <c r="AF46" s="38">
        <f>'User Add-in Location'!C50</f>
        <v>0</v>
      </c>
      <c r="AG46" s="311">
        <v>2.4676198294586933</v>
      </c>
      <c r="AH46" s="311">
        <v>1.7248208403690206</v>
      </c>
      <c r="AI46" s="311">
        <v>2.0034234519563396</v>
      </c>
      <c r="AJ46" s="311">
        <v>2.2863500205466605</v>
      </c>
      <c r="AK46" s="311">
        <v>1.6627613204730836</v>
      </c>
      <c r="AL46" s="311">
        <v>1.9204599511865357</v>
      </c>
      <c r="AM46" s="311">
        <v>2.2456881450400981</v>
      </c>
      <c r="AN46" s="311">
        <v>1.8707269314718813</v>
      </c>
      <c r="AO46" s="311">
        <v>2.5622411896969917</v>
      </c>
      <c r="AP46" s="311">
        <v>4.2552849119698157</v>
      </c>
      <c r="AQ46" s="311">
        <v>2.197331964776732</v>
      </c>
      <c r="AR46" s="311">
        <v>2.7552475184927707</v>
      </c>
      <c r="AS46" s="311">
        <v>1.9934186580598989</v>
      </c>
      <c r="AT46" s="311">
        <v>1.8025893391186634</v>
      </c>
      <c r="AU46" s="311">
        <v>1.7906349669519019</v>
      </c>
      <c r="AV46" s="311">
        <v>2.4823682836496057</v>
      </c>
      <c r="AW46" s="311">
        <v>2.8678915050632101</v>
      </c>
      <c r="AX46" s="311">
        <v>4.5531654142302278</v>
      </c>
      <c r="AY46" s="311">
        <v>2.8472991617942354</v>
      </c>
      <c r="AZ46" s="311">
        <v>2.114591794853756</v>
      </c>
      <c r="BA46" s="311">
        <v>2.1036553497333061</v>
      </c>
      <c r="BB46" s="311">
        <v>1.6979763910801167</v>
      </c>
      <c r="BC46" s="311">
        <v>1.5695346520792381</v>
      </c>
      <c r="BD46" s="311">
        <v>2.3797954701512536</v>
      </c>
      <c r="BE46" s="311">
        <v>1.3396038781622779</v>
      </c>
      <c r="BF46" s="248"/>
      <c r="BG46" s="248"/>
    </row>
    <row r="47" spans="1:59" ht="17" x14ac:dyDescent="0.2">
      <c r="A47" s="157"/>
      <c r="B47" s="282"/>
      <c r="C47" s="6" t="s">
        <v>78</v>
      </c>
      <c r="D47" s="311">
        <v>2.3909194113314092</v>
      </c>
      <c r="E47" s="311">
        <v>1.4702060652241056</v>
      </c>
      <c r="F47" s="311">
        <v>3.3351566958856238</v>
      </c>
      <c r="G47" s="311">
        <v>2.1061138546081017</v>
      </c>
      <c r="H47" s="311">
        <v>2.4328521028039405</v>
      </c>
      <c r="I47" s="311">
        <v>3.352552700237748</v>
      </c>
      <c r="J47" s="311">
        <v>2.0487798530131598</v>
      </c>
      <c r="K47" s="311">
        <v>2.001568152683987</v>
      </c>
      <c r="L47" s="311">
        <v>0.65224298349852683</v>
      </c>
      <c r="M47" s="311">
        <v>3.4669802974037771</v>
      </c>
      <c r="N47" s="311">
        <v>2.9133814894600456</v>
      </c>
      <c r="O47" s="311">
        <v>2.095437118791915</v>
      </c>
      <c r="P47" s="311">
        <v>2.4670713182673776</v>
      </c>
      <c r="Q47" s="311">
        <v>2.9755777787644386</v>
      </c>
      <c r="R47" s="311">
        <v>2.5803588454703839</v>
      </c>
      <c r="S47" s="311">
        <v>2.3474803878698376</v>
      </c>
      <c r="T47" s="311">
        <v>2.3196042823896903</v>
      </c>
      <c r="U47" s="311">
        <v>2.1286837890926273</v>
      </c>
      <c r="V47" s="311">
        <v>2.2868468150432504</v>
      </c>
      <c r="W47" s="311">
        <v>2.7408423114141205</v>
      </c>
      <c r="X47" s="311">
        <v>2.4235564381886903</v>
      </c>
      <c r="Y47" s="311">
        <v>2.6887041245276704</v>
      </c>
      <c r="Z47" s="311">
        <v>2.8948756793977202</v>
      </c>
      <c r="AA47" s="311">
        <v>3.3265112713938874</v>
      </c>
      <c r="AB47" s="311">
        <v>1.9750544567850468</v>
      </c>
      <c r="AC47" s="311">
        <v>3.006044609614031</v>
      </c>
      <c r="AD47" s="311">
        <v>2.4179028991606395</v>
      </c>
      <c r="AE47" s="38">
        <f>'User Add-in Location'!B51</f>
        <v>0</v>
      </c>
      <c r="AF47" s="38">
        <f>'User Add-in Location'!C51</f>
        <v>0</v>
      </c>
      <c r="AG47" s="311">
        <v>2.5812846670815812</v>
      </c>
      <c r="AH47" s="311">
        <v>2.3009031148903385</v>
      </c>
      <c r="AI47" s="311">
        <v>3.1161799711188349</v>
      </c>
      <c r="AJ47" s="311">
        <v>2.6932522501537091</v>
      </c>
      <c r="AK47" s="311">
        <v>1.8664680156576883</v>
      </c>
      <c r="AL47" s="311">
        <v>2.0542061845383133</v>
      </c>
      <c r="AM47" s="311">
        <v>2.9763327719547545</v>
      </c>
      <c r="AN47" s="311">
        <v>1.8654988606303688</v>
      </c>
      <c r="AO47" s="311">
        <v>3.0788502418450938</v>
      </c>
      <c r="AP47" s="311">
        <v>2.2344552815451708</v>
      </c>
      <c r="AQ47" s="311">
        <v>2.906242323427326</v>
      </c>
      <c r="AR47" s="311">
        <v>2.8863740682126062</v>
      </c>
      <c r="AS47" s="311">
        <v>2.6055172771587451</v>
      </c>
      <c r="AT47" s="311">
        <v>2.3845861347763369</v>
      </c>
      <c r="AU47" s="311">
        <v>2.1032584626139093</v>
      </c>
      <c r="AV47" s="311">
        <v>2.7451138113694618</v>
      </c>
      <c r="AW47" s="311">
        <v>2.7227765699193784</v>
      </c>
      <c r="AX47" s="311">
        <v>4.5214501515841521</v>
      </c>
      <c r="AY47" s="311">
        <v>3.2697954166539276</v>
      </c>
      <c r="AZ47" s="311">
        <v>2.4114982065009416</v>
      </c>
      <c r="BA47" s="311">
        <v>2.481465827994187</v>
      </c>
      <c r="BB47" s="311">
        <v>1.920087869332278</v>
      </c>
      <c r="BC47" s="311">
        <v>1.8478626610219067</v>
      </c>
      <c r="BD47" s="311">
        <v>2.888673444860657</v>
      </c>
      <c r="BE47" s="311">
        <v>1.5683845387672104</v>
      </c>
      <c r="BF47" s="248"/>
      <c r="BG47" s="248"/>
    </row>
    <row r="48" spans="1:59" ht="17" x14ac:dyDescent="0.2">
      <c r="A48" s="157"/>
      <c r="B48" s="282"/>
      <c r="C48" s="6" t="s">
        <v>79</v>
      </c>
      <c r="D48" s="311">
        <v>2.2458822872852471</v>
      </c>
      <c r="E48" s="311">
        <v>2.02395342160127</v>
      </c>
      <c r="F48" s="311">
        <v>3.1815430893708796</v>
      </c>
      <c r="G48" s="311">
        <v>2.2488591319923561</v>
      </c>
      <c r="H48" s="311">
        <v>2.4370410836456617</v>
      </c>
      <c r="I48" s="311">
        <v>3.0668960681295827</v>
      </c>
      <c r="J48" s="311">
        <v>2.3183066094732276</v>
      </c>
      <c r="K48" s="311">
        <v>2.0632711834214521</v>
      </c>
      <c r="L48" s="311">
        <v>0.5459312840950703</v>
      </c>
      <c r="M48" s="311">
        <v>3.5202589329927707</v>
      </c>
      <c r="N48" s="311">
        <v>2.8906630593816796</v>
      </c>
      <c r="O48" s="311">
        <v>2.0028635381398572</v>
      </c>
      <c r="P48" s="311">
        <v>2.6600783580508498</v>
      </c>
      <c r="Q48" s="311">
        <v>2.9763934103599272</v>
      </c>
      <c r="R48" s="311">
        <v>2.5296670105287098</v>
      </c>
      <c r="S48" s="311">
        <v>2.3048279961689797</v>
      </c>
      <c r="T48" s="311">
        <v>2.1696515703254571</v>
      </c>
      <c r="U48" s="311">
        <v>2.3454200418811504</v>
      </c>
      <c r="V48" s="311">
        <v>2.2876334291323865</v>
      </c>
      <c r="W48" s="311">
        <v>2.7833363857339006</v>
      </c>
      <c r="X48" s="311">
        <v>2.3619619992311791</v>
      </c>
      <c r="Y48" s="311">
        <v>2.7470969917888417</v>
      </c>
      <c r="Z48" s="311">
        <v>2.6824433638488192</v>
      </c>
      <c r="AA48" s="311">
        <v>3.0549316503797983</v>
      </c>
      <c r="AB48" s="311">
        <v>2.0913933003132543</v>
      </c>
      <c r="AC48" s="311">
        <v>2.8075426038591589</v>
      </c>
      <c r="AD48" s="311">
        <v>2.8871881168796381</v>
      </c>
      <c r="AE48" s="38">
        <f>'User Add-in Location'!B52</f>
        <v>0</v>
      </c>
      <c r="AF48" s="38">
        <f>'User Add-in Location'!C52</f>
        <v>0</v>
      </c>
      <c r="AG48" s="311">
        <v>2.4287124869060821</v>
      </c>
      <c r="AH48" s="311">
        <v>2.099057973437179</v>
      </c>
      <c r="AI48" s="311">
        <v>3.0556637790926948</v>
      </c>
      <c r="AJ48" s="311">
        <v>2.6408189802146431</v>
      </c>
      <c r="AK48" s="311">
        <v>2.0746410789669256</v>
      </c>
      <c r="AL48" s="311">
        <v>2.0165226789895532</v>
      </c>
      <c r="AM48" s="311">
        <v>2.9974778233255863</v>
      </c>
      <c r="AN48" s="311">
        <v>2.0637206025601209</v>
      </c>
      <c r="AO48" s="311">
        <v>2.7751572890139418</v>
      </c>
      <c r="AP48" s="311">
        <v>2.4891190132534806</v>
      </c>
      <c r="AQ48" s="311">
        <v>3.1052462815529562</v>
      </c>
      <c r="AR48" s="311">
        <v>2.9672991332674643</v>
      </c>
      <c r="AS48" s="311">
        <v>2.847961158927963</v>
      </c>
      <c r="AT48" s="311">
        <v>2.4273703548944185</v>
      </c>
      <c r="AU48" s="311">
        <v>2.2575295222665512</v>
      </c>
      <c r="AV48" s="311">
        <v>2.9356083656357028</v>
      </c>
      <c r="AW48" s="311">
        <v>2.9072544370705509</v>
      </c>
      <c r="AX48" s="311">
        <v>4.4712988528850088</v>
      </c>
      <c r="AY48" s="311">
        <v>3.2062272024705907</v>
      </c>
      <c r="AZ48" s="311">
        <v>2.6440697198364864</v>
      </c>
      <c r="BA48" s="311">
        <v>2.3467415014431268</v>
      </c>
      <c r="BB48" s="311">
        <v>1.7780655597812878</v>
      </c>
      <c r="BC48" s="311">
        <v>1.9659769916012568</v>
      </c>
      <c r="BD48" s="311">
        <v>2.7253262161288987</v>
      </c>
      <c r="BE48" s="311">
        <v>1.3528162231024843</v>
      </c>
      <c r="BF48" s="248"/>
      <c r="BG48" s="248"/>
    </row>
    <row r="49" spans="3:59" ht="17" x14ac:dyDescent="0.2">
      <c r="C49" s="6" t="s">
        <v>154</v>
      </c>
      <c r="D49" s="311">
        <v>1.7694991709682257</v>
      </c>
      <c r="E49" s="311">
        <v>1.1345268863315028</v>
      </c>
      <c r="F49" s="311">
        <v>2.662655105565312</v>
      </c>
      <c r="G49" s="311">
        <v>1.5998965445332261</v>
      </c>
      <c r="H49" s="311">
        <v>1.8537868384683107</v>
      </c>
      <c r="I49" s="311">
        <v>2.5057632621485886</v>
      </c>
      <c r="J49" s="311">
        <v>2.2003492925022679</v>
      </c>
      <c r="K49" s="311">
        <v>1.0086502660409482</v>
      </c>
      <c r="L49" s="311">
        <v>0.41635395727397151</v>
      </c>
      <c r="M49" s="311">
        <v>2.7896934849434283</v>
      </c>
      <c r="N49" s="311">
        <v>1.9743850677270909</v>
      </c>
      <c r="O49" s="311">
        <v>1.2677031044468035</v>
      </c>
      <c r="P49" s="311">
        <v>1.7198919687832492</v>
      </c>
      <c r="Q49" s="311">
        <v>2.431995842380184</v>
      </c>
      <c r="R49" s="311">
        <v>2.2053846984471845</v>
      </c>
      <c r="S49" s="311">
        <v>1.6036305436610916</v>
      </c>
      <c r="T49" s="311">
        <v>1.6241294182059105</v>
      </c>
      <c r="U49" s="311">
        <v>1.7872599567648499</v>
      </c>
      <c r="V49" s="311">
        <v>1.6414991989764756</v>
      </c>
      <c r="W49" s="311">
        <v>1.936073074698899</v>
      </c>
      <c r="X49" s="311">
        <v>1.8380001946883695</v>
      </c>
      <c r="Y49" s="311">
        <v>2.1942891928430792</v>
      </c>
      <c r="Z49" s="311">
        <v>2.1696503767453943</v>
      </c>
      <c r="AA49" s="311">
        <v>2.9319765397600119</v>
      </c>
      <c r="AB49" s="311">
        <v>1.403508713254477</v>
      </c>
      <c r="AC49" s="311">
        <v>2.2159496559178633</v>
      </c>
      <c r="AD49" s="311">
        <v>1.7505708650535399</v>
      </c>
      <c r="AE49" s="38">
        <f>'User Add-in Location'!B53</f>
        <v>0</v>
      </c>
      <c r="AF49" s="38">
        <f>'User Add-in Location'!C53</f>
        <v>0</v>
      </c>
      <c r="AG49" s="311">
        <v>1.787812686963844</v>
      </c>
      <c r="AH49" s="311">
        <v>1.2655239877436064</v>
      </c>
      <c r="AI49" s="311">
        <v>2.072682618787649</v>
      </c>
      <c r="AJ49" s="311">
        <v>2.1906417928905308</v>
      </c>
      <c r="AK49" s="311">
        <v>1.1800825194178906</v>
      </c>
      <c r="AL49" s="311">
        <v>1.6857764761361587</v>
      </c>
      <c r="AM49" s="311">
        <v>2.0708082401588244</v>
      </c>
      <c r="AN49" s="311">
        <v>1.4871502066723605</v>
      </c>
      <c r="AO49" s="311">
        <v>1.9501644131194824</v>
      </c>
      <c r="AP49" s="311">
        <v>1.8050910152291912</v>
      </c>
      <c r="AQ49" s="311">
        <v>1.8382815597336577</v>
      </c>
      <c r="AR49" s="311">
        <v>2.1709634029705462</v>
      </c>
      <c r="AS49" s="311">
        <v>2.044005033339646</v>
      </c>
      <c r="AT49" s="311">
        <v>1.9151303315388253</v>
      </c>
      <c r="AU49" s="311">
        <v>1.4745317794822179</v>
      </c>
      <c r="AV49" s="311">
        <v>2.2872056239623983</v>
      </c>
      <c r="AW49" s="311">
        <v>2.7001919551747635</v>
      </c>
      <c r="AX49" s="311">
        <v>3.6264678787602311</v>
      </c>
      <c r="AY49" s="311">
        <v>2.1737953172841413</v>
      </c>
      <c r="AZ49" s="311">
        <v>1.5577000661982523</v>
      </c>
      <c r="BA49" s="311">
        <v>1.7146694602888608</v>
      </c>
      <c r="BB49" s="311">
        <v>1.3388570522446845</v>
      </c>
      <c r="BC49" s="311">
        <v>1.1988952338037886</v>
      </c>
      <c r="BD49" s="311">
        <v>1.9604626913052112</v>
      </c>
      <c r="BE49" s="311">
        <v>0.83118520307094224</v>
      </c>
      <c r="BF49" s="248"/>
      <c r="BG49" s="248"/>
    </row>
    <row r="50" spans="3:59" ht="17" x14ac:dyDescent="0.2">
      <c r="C50" s="6" t="s">
        <v>155</v>
      </c>
      <c r="D50" s="311">
        <v>2.930164181346695</v>
      </c>
      <c r="E50" s="311">
        <v>2.2038821026410353</v>
      </c>
      <c r="F50" s="311">
        <v>3.9244253836746879</v>
      </c>
      <c r="G50" s="311">
        <v>2.7434562863399998</v>
      </c>
      <c r="H50" s="311">
        <v>3.0083864618442986</v>
      </c>
      <c r="I50" s="311">
        <v>3.6739180812598691</v>
      </c>
      <c r="J50" s="311">
        <v>2.6915366470818807</v>
      </c>
      <c r="K50" s="311">
        <v>2.3193233677440275</v>
      </c>
      <c r="L50" s="311">
        <v>0.75941126842647744</v>
      </c>
      <c r="M50" s="311">
        <v>4.1624984815020385</v>
      </c>
      <c r="N50" s="311">
        <v>3.3540551712435667</v>
      </c>
      <c r="O50" s="311">
        <v>2.4845371205123059</v>
      </c>
      <c r="P50" s="311">
        <v>3.0449401455699476</v>
      </c>
      <c r="Q50" s="311">
        <v>3.6026039733035606</v>
      </c>
      <c r="R50" s="311">
        <v>3.223575985195871</v>
      </c>
      <c r="S50" s="311">
        <v>2.7622499698849015</v>
      </c>
      <c r="T50" s="311">
        <v>2.8055032877526758</v>
      </c>
      <c r="U50" s="311">
        <v>2.8786256423195069</v>
      </c>
      <c r="V50" s="311">
        <v>2.7771328848589119</v>
      </c>
      <c r="W50" s="311">
        <v>3.5429244676443226</v>
      </c>
      <c r="X50" s="311">
        <v>2.9405103401172155</v>
      </c>
      <c r="Y50" s="311">
        <v>3.1665683768822022</v>
      </c>
      <c r="Z50" s="311">
        <v>3.5251636187891058</v>
      </c>
      <c r="AA50" s="311">
        <v>3.8094492286203914</v>
      </c>
      <c r="AB50" s="311">
        <v>2.474377685364856</v>
      </c>
      <c r="AC50" s="311">
        <v>3.3996775960252643</v>
      </c>
      <c r="AD50" s="311">
        <v>3.0641630113397866</v>
      </c>
      <c r="AE50" s="38">
        <f>'User Add-in Location'!B54</f>
        <v>0</v>
      </c>
      <c r="AF50" s="38">
        <f>'User Add-in Location'!C54</f>
        <v>0</v>
      </c>
      <c r="AG50" s="311">
        <v>2.9939761260737119</v>
      </c>
      <c r="AH50" s="311">
        <v>2.5531612680692777</v>
      </c>
      <c r="AI50" s="311">
        <v>3.3716987708923312</v>
      </c>
      <c r="AJ50" s="311">
        <v>3.2192081137771709</v>
      </c>
      <c r="AK50" s="311">
        <v>2.2198974308303216</v>
      </c>
      <c r="AL50" s="311">
        <v>2.372750031262282</v>
      </c>
      <c r="AM50" s="311">
        <v>3.4937714418537755</v>
      </c>
      <c r="AN50" s="311">
        <v>2.412370748523708</v>
      </c>
      <c r="AO50" s="311">
        <v>3.6828030039782385</v>
      </c>
      <c r="AP50" s="311">
        <v>2.8949075372427897</v>
      </c>
      <c r="AQ50" s="311">
        <v>3.4377157616509835</v>
      </c>
      <c r="AR50" s="311">
        <v>3.5487232891732718</v>
      </c>
      <c r="AS50" s="311">
        <v>3.2324157433282341</v>
      </c>
      <c r="AT50" s="311">
        <v>2.9151226373871348</v>
      </c>
      <c r="AU50" s="311">
        <v>2.7053537876212812</v>
      </c>
      <c r="AV50" s="311">
        <v>3.6585732409313065</v>
      </c>
      <c r="AW50" s="311">
        <v>3.5041801765621421</v>
      </c>
      <c r="AX50" s="311">
        <v>5.5205584237699048</v>
      </c>
      <c r="AY50" s="311">
        <v>3.6052183427412259</v>
      </c>
      <c r="AZ50" s="311">
        <v>3.1480393518551018</v>
      </c>
      <c r="BA50" s="311">
        <v>3.0498041657165702</v>
      </c>
      <c r="BB50" s="311">
        <v>2.2921413490106262</v>
      </c>
      <c r="BC50" s="311">
        <v>2.5720437278218471</v>
      </c>
      <c r="BD50" s="311">
        <v>3.389952280728711</v>
      </c>
      <c r="BE50" s="311">
        <v>1.6209543878743564</v>
      </c>
      <c r="BF50" s="248"/>
      <c r="BG50" s="248"/>
    </row>
    <row r="51" spans="3:59" ht="17" x14ac:dyDescent="0.2">
      <c r="C51" s="6" t="s">
        <v>156</v>
      </c>
      <c r="D51" s="311">
        <v>3.2514849451146075</v>
      </c>
      <c r="E51" s="311">
        <v>2.5528735143180823</v>
      </c>
      <c r="F51" s="311">
        <v>4.3962118911470283</v>
      </c>
      <c r="G51" s="311">
        <v>2.956025786612082</v>
      </c>
      <c r="H51" s="311">
        <v>3.4520497406967778</v>
      </c>
      <c r="I51" s="311">
        <v>4.3961718332394044</v>
      </c>
      <c r="J51" s="311">
        <v>3.0953465676120508</v>
      </c>
      <c r="K51" s="311">
        <v>2.5665661614307389</v>
      </c>
      <c r="L51" s="311">
        <v>0.83206128260569412</v>
      </c>
      <c r="M51" s="311">
        <v>4.7657216981612285</v>
      </c>
      <c r="N51" s="311">
        <v>3.9806393372342459</v>
      </c>
      <c r="O51" s="311">
        <v>2.6989129784500112</v>
      </c>
      <c r="P51" s="311">
        <v>3.1531768791658803</v>
      </c>
      <c r="Q51" s="311">
        <v>4.1274652796946887</v>
      </c>
      <c r="R51" s="311">
        <v>2.8799507228769898</v>
      </c>
      <c r="S51" s="311">
        <v>2.9134930985139609</v>
      </c>
      <c r="T51" s="311">
        <v>3.1685161985548884</v>
      </c>
      <c r="U51" s="311">
        <v>3.0588954695494945</v>
      </c>
      <c r="V51" s="311">
        <v>3.2440885084850994</v>
      </c>
      <c r="W51" s="311">
        <v>3.7642334163406805</v>
      </c>
      <c r="X51" s="311">
        <v>3.2493437035441981</v>
      </c>
      <c r="Y51" s="311">
        <v>3.4531381065569748</v>
      </c>
      <c r="Z51" s="311">
        <v>3.9796849266748304</v>
      </c>
      <c r="AA51" s="311">
        <v>4.2138703823139645</v>
      </c>
      <c r="AB51" s="311">
        <v>2.7476048264436166</v>
      </c>
      <c r="AC51" s="311">
        <v>3.7675860015869191</v>
      </c>
      <c r="AD51" s="311">
        <v>3.3452685006460823</v>
      </c>
      <c r="AE51" s="38">
        <f>'User Add-in Location'!B55</f>
        <v>0</v>
      </c>
      <c r="AF51" s="38">
        <f>'User Add-in Location'!C55</f>
        <v>0</v>
      </c>
      <c r="AG51" s="311">
        <v>3.1108589152018116</v>
      </c>
      <c r="AH51" s="311">
        <v>3.1606291378610214</v>
      </c>
      <c r="AI51" s="311">
        <v>3.6304881639008575</v>
      </c>
      <c r="AJ51" s="311">
        <v>3.6064056824301729</v>
      </c>
      <c r="AK51" s="311">
        <v>2.6585176076028638</v>
      </c>
      <c r="AL51" s="311">
        <v>2.6756179207357178</v>
      </c>
      <c r="AM51" s="311">
        <v>3.6479923830884884</v>
      </c>
      <c r="AN51" s="311">
        <v>2.6385948555415513</v>
      </c>
      <c r="AO51" s="311">
        <v>3.9741332689358835</v>
      </c>
      <c r="AP51" s="311">
        <v>3.2448664461819554</v>
      </c>
      <c r="AQ51" s="311">
        <v>3.3257780086234296</v>
      </c>
      <c r="AR51" s="311">
        <v>3.7750289173327003</v>
      </c>
      <c r="AS51" s="311">
        <v>3.318844984005624</v>
      </c>
      <c r="AT51" s="311">
        <v>3.3423754376847969</v>
      </c>
      <c r="AU51" s="311">
        <v>2.7414316836207471</v>
      </c>
      <c r="AV51" s="311">
        <v>3.8798859847440603</v>
      </c>
      <c r="AW51" s="311">
        <v>4.0609266880694825</v>
      </c>
      <c r="AX51" s="311">
        <v>6.0564775913437208</v>
      </c>
      <c r="AY51" s="311">
        <v>4.082257734054501</v>
      </c>
      <c r="AZ51" s="311">
        <v>3.4543372245263919</v>
      </c>
      <c r="BA51" s="311">
        <v>3.4805921794931529</v>
      </c>
      <c r="BB51" s="311">
        <v>2.5541758271826027</v>
      </c>
      <c r="BC51" s="311">
        <v>2.567671441685988</v>
      </c>
      <c r="BD51" s="311">
        <v>3.5890164520323107</v>
      </c>
      <c r="BE51" s="311">
        <v>1.9280822878047763</v>
      </c>
      <c r="BF51" s="248"/>
      <c r="BG51" s="248"/>
    </row>
    <row r="52" spans="3:59" ht="17" x14ac:dyDescent="0.2">
      <c r="C52" s="6" t="s">
        <v>80</v>
      </c>
      <c r="D52" s="311">
        <v>3.0103637394252689</v>
      </c>
      <c r="E52" s="311">
        <v>2.9455769916734025</v>
      </c>
      <c r="F52" s="311">
        <v>4.046341860846808</v>
      </c>
      <c r="G52" s="311">
        <v>3.410110275089993</v>
      </c>
      <c r="H52" s="311">
        <v>3.2276215776675747</v>
      </c>
      <c r="I52" s="311">
        <v>4.2427386593336269</v>
      </c>
      <c r="J52" s="311">
        <v>2.599129259218921</v>
      </c>
      <c r="K52" s="311">
        <v>2.7103774743735722</v>
      </c>
      <c r="L52" s="311">
        <v>0.65485109282817078</v>
      </c>
      <c r="M52" s="311">
        <v>4.5779987377830338</v>
      </c>
      <c r="N52" s="311">
        <v>4.2763483169368799</v>
      </c>
      <c r="O52" s="311">
        <v>3.0948862717843832</v>
      </c>
      <c r="P52" s="311">
        <v>3.7193390823682524</v>
      </c>
      <c r="Q52" s="311">
        <v>4.2663341334626583</v>
      </c>
      <c r="R52" s="311">
        <v>3.6256086606358346</v>
      </c>
      <c r="S52" s="311">
        <v>3.3723324299966508</v>
      </c>
      <c r="T52" s="311">
        <v>3.4174411163659779</v>
      </c>
      <c r="U52" s="311">
        <v>3.4651887101593162</v>
      </c>
      <c r="V52" s="311">
        <v>3.6218579086992642</v>
      </c>
      <c r="W52" s="311">
        <v>4.0792368116264566</v>
      </c>
      <c r="X52" s="311">
        <v>2.7625343397072779</v>
      </c>
      <c r="Y52" s="311">
        <v>2.6733574796558361</v>
      </c>
      <c r="Z52" s="311">
        <v>4.058091766040052</v>
      </c>
      <c r="AA52" s="311">
        <v>3.9690340998009819</v>
      </c>
      <c r="AB52" s="311">
        <v>3.3021366280091593</v>
      </c>
      <c r="AC52" s="311">
        <v>4.011872052174847</v>
      </c>
      <c r="AD52" s="311">
        <v>3.7528260748839029</v>
      </c>
      <c r="AE52" s="38">
        <f>'User Add-in Location'!B56</f>
        <v>0</v>
      </c>
      <c r="AF52" s="38">
        <f>'User Add-in Location'!C56</f>
        <v>0</v>
      </c>
      <c r="AG52" s="311">
        <v>3.6649275675737192</v>
      </c>
      <c r="AH52" s="311">
        <v>3.1640748578360465</v>
      </c>
      <c r="AI52" s="311">
        <v>3.0195249741921946</v>
      </c>
      <c r="AJ52" s="311">
        <v>3.4732236820948654</v>
      </c>
      <c r="AK52" s="311">
        <v>2.19422380166109</v>
      </c>
      <c r="AL52" s="311">
        <v>2.6295840251115279</v>
      </c>
      <c r="AM52" s="311">
        <v>4.2367826274092417</v>
      </c>
      <c r="AN52" s="311">
        <v>2.8599033312771693</v>
      </c>
      <c r="AO52" s="311">
        <v>4.0823534166322482</v>
      </c>
      <c r="AP52" s="311">
        <v>3.0620804555484726</v>
      </c>
      <c r="AQ52" s="311">
        <v>3.8652650478957855</v>
      </c>
      <c r="AR52" s="311">
        <v>3.7760615889191125</v>
      </c>
      <c r="AS52" s="311">
        <v>3.1635805743424839</v>
      </c>
      <c r="AT52" s="311">
        <v>3.5769295170672728</v>
      </c>
      <c r="AU52" s="311">
        <v>3.0517436576792321</v>
      </c>
      <c r="AV52" s="311">
        <v>3.8533016790986863</v>
      </c>
      <c r="AW52" s="311">
        <v>3.8401161189527206</v>
      </c>
      <c r="AX52" s="311">
        <v>5.5631058963114084</v>
      </c>
      <c r="AY52" s="311">
        <v>4.0619380474157065</v>
      </c>
      <c r="AZ52" s="311">
        <v>3.962673844320002</v>
      </c>
      <c r="BA52" s="311">
        <v>2.9942289598913918</v>
      </c>
      <c r="BB52" s="311">
        <v>2.5232961225212494</v>
      </c>
      <c r="BC52" s="311">
        <v>2.9012733045349997</v>
      </c>
      <c r="BD52" s="311">
        <v>3.9389008502376024</v>
      </c>
      <c r="BE52" s="311">
        <v>2.3133612173544282</v>
      </c>
      <c r="BF52" s="248"/>
      <c r="BG52" s="248"/>
    </row>
    <row r="53" spans="3:59" ht="16" x14ac:dyDescent="0.2">
      <c r="C53" s="6"/>
      <c r="D53" s="311"/>
      <c r="E53" s="311"/>
      <c r="F53" s="311"/>
      <c r="G53" s="311"/>
      <c r="H53" s="311"/>
      <c r="I53" s="311"/>
      <c r="J53" s="311"/>
      <c r="K53" s="311"/>
      <c r="L53" s="311"/>
      <c r="M53" s="311"/>
      <c r="N53" s="311"/>
      <c r="O53" s="311"/>
      <c r="P53" s="311"/>
      <c r="Q53" s="311"/>
      <c r="R53" s="311"/>
      <c r="S53" s="311"/>
      <c r="T53" s="311"/>
      <c r="U53" s="311"/>
      <c r="V53" s="311"/>
      <c r="W53" s="311"/>
      <c r="X53" s="311"/>
      <c r="Y53" s="311"/>
      <c r="Z53" s="311"/>
      <c r="AA53" s="311"/>
      <c r="AB53" s="311"/>
      <c r="AC53" s="311"/>
      <c r="AD53" s="311"/>
      <c r="AE53" s="38"/>
      <c r="AF53" s="38"/>
      <c r="AG53" s="311"/>
      <c r="AH53" s="311"/>
      <c r="AI53" s="311"/>
      <c r="AJ53" s="311"/>
      <c r="AK53" s="311"/>
      <c r="AL53" s="311"/>
      <c r="AM53" s="311"/>
      <c r="AN53" s="311"/>
      <c r="AO53" s="311"/>
      <c r="AP53" s="311"/>
      <c r="AQ53" s="311"/>
      <c r="AR53" s="311"/>
      <c r="AS53" s="311"/>
      <c r="AT53" s="311"/>
      <c r="AU53" s="311"/>
      <c r="AV53" s="311"/>
      <c r="AW53" s="311"/>
      <c r="AX53" s="311"/>
      <c r="AY53" s="311"/>
      <c r="AZ53" s="311"/>
      <c r="BA53" s="311"/>
      <c r="BB53" s="311"/>
      <c r="BC53" s="311"/>
      <c r="BD53" s="311"/>
      <c r="BE53" s="311"/>
      <c r="BF53" s="248"/>
      <c r="BG53" s="248"/>
    </row>
    <row r="54" spans="3:59" ht="12.75" customHeight="1" x14ac:dyDescent="0.2">
      <c r="C54" s="17" t="s">
        <v>282</v>
      </c>
      <c r="D54" s="311"/>
      <c r="E54" s="311"/>
      <c r="F54" s="311"/>
      <c r="G54" s="311"/>
      <c r="H54" s="311"/>
      <c r="I54" s="311"/>
      <c r="J54" s="311"/>
      <c r="K54" s="311"/>
      <c r="L54" s="311"/>
      <c r="M54" s="311"/>
      <c r="N54" s="311"/>
      <c r="O54" s="311"/>
      <c r="P54" s="311"/>
      <c r="Q54" s="311"/>
      <c r="R54" s="311"/>
      <c r="S54" s="311"/>
      <c r="T54" s="311"/>
      <c r="U54" s="311"/>
      <c r="V54" s="311"/>
      <c r="W54" s="311"/>
      <c r="X54" s="311"/>
      <c r="Y54" s="311"/>
      <c r="Z54" s="311"/>
      <c r="AA54" s="311"/>
      <c r="AB54" s="311"/>
      <c r="AC54" s="311"/>
      <c r="AD54" s="311"/>
      <c r="AE54" s="38"/>
      <c r="AF54" s="38"/>
      <c r="AG54" s="311"/>
      <c r="AH54" s="311"/>
      <c r="AI54" s="311"/>
      <c r="AJ54" s="311"/>
      <c r="AK54" s="311"/>
      <c r="AL54" s="311"/>
      <c r="AM54" s="311"/>
      <c r="AN54" s="311"/>
      <c r="AO54" s="311"/>
      <c r="AP54" s="311"/>
      <c r="AQ54" s="311"/>
      <c r="AR54" s="311"/>
      <c r="AS54" s="311"/>
      <c r="AT54" s="311"/>
      <c r="AU54" s="311"/>
      <c r="AV54" s="311"/>
      <c r="AW54" s="311"/>
      <c r="AX54" s="311"/>
      <c r="AY54" s="311"/>
      <c r="AZ54" s="311"/>
      <c r="BA54" s="311"/>
      <c r="BB54" s="311"/>
      <c r="BC54" s="311"/>
      <c r="BD54" s="311"/>
      <c r="BE54" s="311"/>
      <c r="BF54" s="248"/>
      <c r="BG54" s="248"/>
    </row>
    <row r="55" spans="3:59" ht="16" x14ac:dyDescent="0.2">
      <c r="C55" s="78" t="s">
        <v>197</v>
      </c>
      <c r="D55" s="311" t="s">
        <v>82</v>
      </c>
      <c r="E55" s="311" t="s">
        <v>83</v>
      </c>
      <c r="F55" s="311" t="s">
        <v>84</v>
      </c>
      <c r="G55" s="311" t="s">
        <v>85</v>
      </c>
      <c r="H55" s="311" t="s">
        <v>86</v>
      </c>
      <c r="I55" s="311" t="s">
        <v>87</v>
      </c>
      <c r="J55" s="311" t="s">
        <v>88</v>
      </c>
      <c r="K55" s="311" t="s">
        <v>89</v>
      </c>
      <c r="L55" s="311" t="s">
        <v>90</v>
      </c>
      <c r="M55" s="311" t="s">
        <v>91</v>
      </c>
      <c r="N55" s="311" t="s">
        <v>92</v>
      </c>
      <c r="O55" s="311" t="s">
        <v>93</v>
      </c>
      <c r="P55" s="311" t="s">
        <v>94</v>
      </c>
      <c r="Q55" s="311" t="s">
        <v>95</v>
      </c>
      <c r="R55" s="311" t="s">
        <v>96</v>
      </c>
      <c r="S55" s="311" t="s">
        <v>97</v>
      </c>
      <c r="T55" s="311" t="s">
        <v>98</v>
      </c>
      <c r="U55" s="311" t="s">
        <v>99</v>
      </c>
      <c r="V55" s="311" t="s">
        <v>100</v>
      </c>
      <c r="W55" s="311" t="s">
        <v>101</v>
      </c>
      <c r="X55" s="311" t="s">
        <v>102</v>
      </c>
      <c r="Y55" s="311" t="s">
        <v>103</v>
      </c>
      <c r="Z55" s="311" t="s">
        <v>104</v>
      </c>
      <c r="AA55" s="311" t="s">
        <v>105</v>
      </c>
      <c r="AB55" s="311" t="s">
        <v>106</v>
      </c>
      <c r="AC55" s="311" t="s">
        <v>107</v>
      </c>
      <c r="AD55" s="311" t="s">
        <v>108</v>
      </c>
      <c r="AE55" s="38" t="s">
        <v>322</v>
      </c>
      <c r="AF55" s="38" t="s">
        <v>321</v>
      </c>
      <c r="AG55" s="311" t="s">
        <v>109</v>
      </c>
      <c r="AH55" s="311" t="s">
        <v>110</v>
      </c>
      <c r="AI55" s="311" t="s">
        <v>111</v>
      </c>
      <c r="AJ55" s="311" t="s">
        <v>112</v>
      </c>
      <c r="AK55" s="311" t="s">
        <v>113</v>
      </c>
      <c r="AL55" s="311" t="s">
        <v>114</v>
      </c>
      <c r="AM55" s="311" t="s">
        <v>115</v>
      </c>
      <c r="AN55" s="311" t="s">
        <v>116</v>
      </c>
      <c r="AO55" s="311" t="s">
        <v>117</v>
      </c>
      <c r="AP55" s="311" t="s">
        <v>118</v>
      </c>
      <c r="AQ55" s="311" t="s">
        <v>119</v>
      </c>
      <c r="AR55" s="311" t="s">
        <v>120</v>
      </c>
      <c r="AS55" s="311" t="s">
        <v>121</v>
      </c>
      <c r="AT55" s="311" t="s">
        <v>122</v>
      </c>
      <c r="AU55" s="311" t="s">
        <v>123</v>
      </c>
      <c r="AV55" s="311" t="s">
        <v>124</v>
      </c>
      <c r="AW55" s="311" t="s">
        <v>125</v>
      </c>
      <c r="AX55" s="311" t="s">
        <v>585</v>
      </c>
      <c r="AY55" s="311" t="s">
        <v>126</v>
      </c>
      <c r="AZ55" s="311" t="s">
        <v>127</v>
      </c>
      <c r="BA55" s="311" t="s">
        <v>128</v>
      </c>
      <c r="BB55" s="311" t="s">
        <v>129</v>
      </c>
      <c r="BC55" s="311" t="s">
        <v>130</v>
      </c>
      <c r="BD55" s="311" t="s">
        <v>131</v>
      </c>
      <c r="BE55" s="311" t="s">
        <v>81</v>
      </c>
      <c r="BF55" s="248"/>
      <c r="BG55" s="248"/>
    </row>
    <row r="56" spans="3:59" ht="17" x14ac:dyDescent="0.2">
      <c r="C56" s="6" t="s">
        <v>76</v>
      </c>
      <c r="D56" s="311">
        <v>0.33655727536326496</v>
      </c>
      <c r="E56" s="311">
        <v>0.29647381547337426</v>
      </c>
      <c r="F56" s="311">
        <v>0.35839041908395686</v>
      </c>
      <c r="G56" s="311">
        <v>0.27372847170964454</v>
      </c>
      <c r="H56" s="311">
        <v>0.46939265736539115</v>
      </c>
      <c r="I56" s="311">
        <v>0.25769924714524906</v>
      </c>
      <c r="J56" s="311">
        <v>0.40061273012721826</v>
      </c>
      <c r="K56" s="311">
        <v>0.30556576490063608</v>
      </c>
      <c r="L56" s="311">
        <v>0.45603143886431063</v>
      </c>
      <c r="M56" s="311">
        <v>0.45327414121235687</v>
      </c>
      <c r="N56" s="311">
        <v>0.30659914728454396</v>
      </c>
      <c r="O56" s="311">
        <v>0.46034184871703132</v>
      </c>
      <c r="P56" s="311">
        <v>0.33509959986694804</v>
      </c>
      <c r="Q56" s="311">
        <v>5.9258175177708428E-2</v>
      </c>
      <c r="R56" s="311">
        <v>0.19331171934787361</v>
      </c>
      <c r="S56" s="311">
        <v>0.25253503161868801</v>
      </c>
      <c r="T56" s="311">
        <v>0.18115003952677827</v>
      </c>
      <c r="U56" s="311">
        <v>0.25183579563473146</v>
      </c>
      <c r="V56" s="311">
        <v>0.28462257345982472</v>
      </c>
      <c r="W56" s="311">
        <v>0.45587307960207812</v>
      </c>
      <c r="X56" s="311">
        <v>0.20924567360436097</v>
      </c>
      <c r="Y56" s="311">
        <v>0.63976461267657436</v>
      </c>
      <c r="Z56" s="311">
        <v>0.25975999373213049</v>
      </c>
      <c r="AA56" s="311">
        <v>0.23836476632287448</v>
      </c>
      <c r="AB56" s="311">
        <v>0.2769549730942038</v>
      </c>
      <c r="AC56" s="311">
        <v>0.12436351902308267</v>
      </c>
      <c r="AD56" s="311">
        <v>0.23546609780293076</v>
      </c>
      <c r="AE56" s="38">
        <f>'User Add-in Location'!B60</f>
        <v>0</v>
      </c>
      <c r="AF56" s="38">
        <f>'User Add-in Location'!C60</f>
        <v>0</v>
      </c>
      <c r="AG56" s="311">
        <v>0.24385061525132995</v>
      </c>
      <c r="AH56" s="311">
        <v>0.23537416253154136</v>
      </c>
      <c r="AI56" s="311">
        <v>0.38243385732217672</v>
      </c>
      <c r="AJ56" s="311">
        <v>0.39262797209436584</v>
      </c>
      <c r="AK56" s="311">
        <v>0.30089179221235052</v>
      </c>
      <c r="AL56" s="311">
        <v>0.28855539173826522</v>
      </c>
      <c r="AM56" s="311">
        <v>0.34351836931200413</v>
      </c>
      <c r="AN56" s="311">
        <v>6.8329483060956431E-2</v>
      </c>
      <c r="AO56" s="311">
        <v>0.21064738589361887</v>
      </c>
      <c r="AP56" s="311">
        <v>0.31306353033410139</v>
      </c>
      <c r="AQ56" s="311">
        <v>0.45795746184307495</v>
      </c>
      <c r="AR56" s="311">
        <v>0.31786765834483444</v>
      </c>
      <c r="AS56" s="311">
        <v>0.47575958949776198</v>
      </c>
      <c r="AT56" s="311">
        <v>0.18170504859852596</v>
      </c>
      <c r="AU56" s="311">
        <v>0.23249557699593143</v>
      </c>
      <c r="AV56" s="311">
        <v>0.16585992402716448</v>
      </c>
      <c r="AW56" s="311">
        <v>0.31396716976853695</v>
      </c>
      <c r="AX56" s="311">
        <v>0.29514286797772138</v>
      </c>
      <c r="AY56" s="311">
        <v>0.28030322389301865</v>
      </c>
      <c r="AZ56" s="311">
        <v>0.23397028608804415</v>
      </c>
      <c r="BA56" s="311">
        <v>0.20220737783961779</v>
      </c>
      <c r="BB56" s="311">
        <v>0.5138310091601106</v>
      </c>
      <c r="BC56" s="311">
        <v>0.13829885873187245</v>
      </c>
      <c r="BD56" s="311">
        <v>0.26579810803128556</v>
      </c>
      <c r="BE56" s="311">
        <v>0.23127741209632596</v>
      </c>
      <c r="BF56" s="248"/>
      <c r="BG56" s="248"/>
    </row>
    <row r="57" spans="3:59" ht="17" x14ac:dyDescent="0.2">
      <c r="C57" s="6" t="s">
        <v>148</v>
      </c>
      <c r="D57" s="311">
        <v>0.12937673111767892</v>
      </c>
      <c r="E57" s="311">
        <v>0.2351963506325723</v>
      </c>
      <c r="F57" s="311">
        <v>0.2048186224599573</v>
      </c>
      <c r="G57" s="311">
        <v>0.1720763083923238</v>
      </c>
      <c r="H57" s="311">
        <v>0.34462536909548042</v>
      </c>
      <c r="I57" s="311">
        <v>0.61571740827932264</v>
      </c>
      <c r="J57" s="311">
        <v>-1.5172010100938535E-2</v>
      </c>
      <c r="K57" s="311">
        <v>-0.26233676344902579</v>
      </c>
      <c r="L57" s="311">
        <v>-2.4645728784539926</v>
      </c>
      <c r="M57" s="311">
        <v>4.7406500905843474E-2</v>
      </c>
      <c r="N57" s="311">
        <v>0.23719550636389933</v>
      </c>
      <c r="O57" s="311">
        <v>0.21152814945489123</v>
      </c>
      <c r="P57" s="311">
        <v>0.31150306068542266</v>
      </c>
      <c r="Q57" s="311">
        <v>0.21957760803323528</v>
      </c>
      <c r="R57" s="311">
        <v>0.15255879569983269</v>
      </c>
      <c r="S57" s="311">
        <v>0.20792923892906567</v>
      </c>
      <c r="T57" s="311">
        <v>0.4176211137094199</v>
      </c>
      <c r="U57" s="311">
        <v>0.14747760077534175</v>
      </c>
      <c r="V57" s="311">
        <v>0.63989435397443306</v>
      </c>
      <c r="W57" s="311">
        <v>0.11340565879369323</v>
      </c>
      <c r="X57" s="311">
        <v>0.10999452975873317</v>
      </c>
      <c r="Y57" s="311">
        <v>0.45066547754762465</v>
      </c>
      <c r="Z57" s="311">
        <v>0.23722988962491043</v>
      </c>
      <c r="AA57" s="311">
        <v>0.18236005946008216</v>
      </c>
      <c r="AB57" s="311">
        <v>0.44172160847378583</v>
      </c>
      <c r="AC57" s="311">
        <v>0.15649631893053187</v>
      </c>
      <c r="AD57" s="311">
        <v>0.27880036168895489</v>
      </c>
      <c r="AE57" s="38">
        <f>'User Add-in Location'!B61</f>
        <v>0</v>
      </c>
      <c r="AF57" s="38">
        <f>'User Add-in Location'!C61</f>
        <v>0</v>
      </c>
      <c r="AG57" s="311">
        <v>0.20842028773341731</v>
      </c>
      <c r="AH57" s="311">
        <v>0.25073033641020881</v>
      </c>
      <c r="AI57" s="311">
        <v>0.17890267886456962</v>
      </c>
      <c r="AJ57" s="311">
        <v>0.15729686737944806</v>
      </c>
      <c r="AK57" s="311">
        <v>0.24937773522420154</v>
      </c>
      <c r="AL57" s="311">
        <v>0.49618983183861454</v>
      </c>
      <c r="AM57" s="311">
        <v>0.12311333583529219</v>
      </c>
      <c r="AN57" s="311">
        <v>0.32461213897004559</v>
      </c>
      <c r="AO57" s="311">
        <v>0.20022200449663058</v>
      </c>
      <c r="AP57" s="311">
        <v>0.46648633732884376</v>
      </c>
      <c r="AQ57" s="311">
        <v>0.14269408343158085</v>
      </c>
      <c r="AR57" s="311">
        <v>0.22323049434698</v>
      </c>
      <c r="AS57" s="311">
        <v>0.13939559106334756</v>
      </c>
      <c r="AT57" s="311">
        <v>0.14149967974521385</v>
      </c>
      <c r="AU57" s="311">
        <v>0.16722459373456988</v>
      </c>
      <c r="AV57" s="311">
        <v>0.16519897743007841</v>
      </c>
      <c r="AW57" s="311">
        <v>0.49715276502428007</v>
      </c>
      <c r="AX57" s="311">
        <v>0.38442559994371817</v>
      </c>
      <c r="AY57" s="311">
        <v>0.18807213918682741</v>
      </c>
      <c r="AZ57" s="311">
        <v>0.12594466688839837</v>
      </c>
      <c r="BA57" s="311">
        <v>5.1506917874416344E-2</v>
      </c>
      <c r="BB57" s="311">
        <v>0.32782717468793976</v>
      </c>
      <c r="BC57" s="311">
        <v>0.16842876702569823</v>
      </c>
      <c r="BD57" s="311">
        <v>0.16423435761928293</v>
      </c>
      <c r="BE57" s="311">
        <v>0.22901579648252285</v>
      </c>
      <c r="BF57" s="248"/>
      <c r="BG57" s="248"/>
    </row>
    <row r="58" spans="3:59" ht="17" x14ac:dyDescent="0.2">
      <c r="C58" s="6" t="s">
        <v>77</v>
      </c>
      <c r="D58" s="311">
        <v>0.32430651703852476</v>
      </c>
      <c r="E58" s="311">
        <v>0.44858204898311155</v>
      </c>
      <c r="F58" s="311">
        <v>0.30655846983695195</v>
      </c>
      <c r="G58" s="311">
        <v>0.28974787731930574</v>
      </c>
      <c r="H58" s="311">
        <v>0.36699116848767094</v>
      </c>
      <c r="I58" s="311">
        <v>0.34877858694309871</v>
      </c>
      <c r="J58" s="311">
        <v>0.41723553934119123</v>
      </c>
      <c r="K58" s="311">
        <v>0.34309176866406432</v>
      </c>
      <c r="L58" s="311">
        <v>0.38337147589920251</v>
      </c>
      <c r="M58" s="311">
        <v>0.29358139814623319</v>
      </c>
      <c r="N58" s="311">
        <v>0.29972795884699599</v>
      </c>
      <c r="O58" s="311">
        <v>0.37993995966787419</v>
      </c>
      <c r="P58" s="311">
        <v>0.29969059817043875</v>
      </c>
      <c r="Q58" s="311">
        <v>0.35373058838740079</v>
      </c>
      <c r="R58" s="311">
        <v>0.3493971283098628</v>
      </c>
      <c r="S58" s="311">
        <v>0.36608180006289043</v>
      </c>
      <c r="T58" s="311">
        <v>0.3364606463689524</v>
      </c>
      <c r="U58" s="311">
        <v>0.31240760906600662</v>
      </c>
      <c r="V58" s="311">
        <v>0.37882883803601541</v>
      </c>
      <c r="W58" s="311">
        <v>0.33055288139952865</v>
      </c>
      <c r="X58" s="311">
        <v>0.36568936598643037</v>
      </c>
      <c r="Y58" s="311">
        <v>0.41193295352456322</v>
      </c>
      <c r="Z58" s="311">
        <v>0.32832267739724086</v>
      </c>
      <c r="AA58" s="311">
        <v>0.37916065619444872</v>
      </c>
      <c r="AB58" s="311">
        <v>0.29729140533335091</v>
      </c>
      <c r="AC58" s="311">
        <v>0.33988219526349217</v>
      </c>
      <c r="AD58" s="311">
        <v>0.32808114832372298</v>
      </c>
      <c r="AE58" s="38">
        <f>'User Add-in Location'!B62</f>
        <v>0</v>
      </c>
      <c r="AF58" s="38">
        <f>'User Add-in Location'!C62</f>
        <v>0</v>
      </c>
      <c r="AG58" s="311">
        <v>0.38419078438471821</v>
      </c>
      <c r="AH58" s="311">
        <v>0.34483359133656294</v>
      </c>
      <c r="AI58" s="311">
        <v>0.44071182441778789</v>
      </c>
      <c r="AJ58" s="311">
        <v>0.39311701730533505</v>
      </c>
      <c r="AK58" s="311">
        <v>0.31440271949351462</v>
      </c>
      <c r="AL58" s="311">
        <v>0.37786524238987829</v>
      </c>
      <c r="AM58" s="311">
        <v>0.32294884143488173</v>
      </c>
      <c r="AN58" s="311">
        <v>0.39367678423576402</v>
      </c>
      <c r="AO58" s="311">
        <v>0.34370750831498609</v>
      </c>
      <c r="AP58" s="311">
        <v>0.36426959543744941</v>
      </c>
      <c r="AQ58" s="311">
        <v>0.36457654965013159</v>
      </c>
      <c r="AR58" s="311">
        <v>0.35889977369646464</v>
      </c>
      <c r="AS58" s="311">
        <v>0.35236643614186608</v>
      </c>
      <c r="AT58" s="311">
        <v>0.29668244370989999</v>
      </c>
      <c r="AU58" s="311">
        <v>0.35934345616247776</v>
      </c>
      <c r="AV58" s="311">
        <v>0.3714082439589631</v>
      </c>
      <c r="AW58" s="311">
        <v>0.37893412687248906</v>
      </c>
      <c r="AX58" s="311">
        <v>0.35380718220444779</v>
      </c>
      <c r="AY58" s="311">
        <v>0.33317317230555066</v>
      </c>
      <c r="AZ58" s="311">
        <v>0.35687519931822864</v>
      </c>
      <c r="BA58" s="311">
        <v>0.33528209220611571</v>
      </c>
      <c r="BB58" s="311">
        <v>0.37787519947071324</v>
      </c>
      <c r="BC58" s="311">
        <v>0.3207240416864871</v>
      </c>
      <c r="BD58" s="311">
        <v>0.35411050185238863</v>
      </c>
      <c r="BE58" s="311">
        <v>0.34507251009498341</v>
      </c>
      <c r="BF58" s="38"/>
      <c r="BG58" s="248"/>
    </row>
    <row r="59" spans="3:59" ht="17" x14ac:dyDescent="0.2">
      <c r="C59" s="6" t="s">
        <v>149</v>
      </c>
      <c r="D59" s="311">
        <v>0.12999633171124547</v>
      </c>
      <c r="E59" s="311">
        <v>0.13385401863107904</v>
      </c>
      <c r="F59" s="311">
        <v>0.18492425507953156</v>
      </c>
      <c r="G59" s="311">
        <v>0.13155632294505448</v>
      </c>
      <c r="H59" s="311">
        <v>0.18238393744389564</v>
      </c>
      <c r="I59" s="311">
        <v>0.17730790879552924</v>
      </c>
      <c r="J59" s="311">
        <v>0.26590548954019266</v>
      </c>
      <c r="K59" s="311">
        <v>0.14590830522708348</v>
      </c>
      <c r="L59" s="311">
        <v>0.25626409606999856</v>
      </c>
      <c r="M59" s="311">
        <v>0.16895174614400604</v>
      </c>
      <c r="N59" s="311">
        <v>0.14878936243230503</v>
      </c>
      <c r="O59" s="311">
        <v>0.1163090897598397</v>
      </c>
      <c r="P59" s="311">
        <v>0.13531062962367552</v>
      </c>
      <c r="Q59" s="311">
        <v>0.16601210941939643</v>
      </c>
      <c r="R59" s="311">
        <v>0.1354829587087267</v>
      </c>
      <c r="S59" s="311">
        <v>0.14421162909657481</v>
      </c>
      <c r="T59" s="311">
        <v>0.13739100234258439</v>
      </c>
      <c r="U59" s="311">
        <v>0.11751679021311655</v>
      </c>
      <c r="V59" s="311">
        <v>8.1349204327147401E-2</v>
      </c>
      <c r="W59" s="311">
        <v>0.16735592456304535</v>
      </c>
      <c r="X59" s="311">
        <v>0.18781132711861545</v>
      </c>
      <c r="Y59" s="311">
        <v>0.22424025751859758</v>
      </c>
      <c r="Z59" s="311">
        <v>0.15481589754539093</v>
      </c>
      <c r="AA59" s="311">
        <v>0.1832727635983995</v>
      </c>
      <c r="AB59" s="311">
        <v>0.12072485282137016</v>
      </c>
      <c r="AC59" s="311">
        <v>0.13112401469541329</v>
      </c>
      <c r="AD59" s="311">
        <v>8.5757321421277705E-2</v>
      </c>
      <c r="AE59" s="38">
        <f>'User Add-in Location'!B63</f>
        <v>0</v>
      </c>
      <c r="AF59" s="38">
        <f>'User Add-in Location'!C63</f>
        <v>0</v>
      </c>
      <c r="AG59" s="311">
        <v>0.12031348366906244</v>
      </c>
      <c r="AH59" s="311">
        <v>0.18292598470944571</v>
      </c>
      <c r="AI59" s="311">
        <v>0.22815679358261229</v>
      </c>
      <c r="AJ59" s="311">
        <v>0.20068645779192659</v>
      </c>
      <c r="AK59" s="311">
        <v>7.4960548329118817E-2</v>
      </c>
      <c r="AL59" s="311">
        <v>0.18382856329112388</v>
      </c>
      <c r="AM59" s="311">
        <v>0.1313807311220542</v>
      </c>
      <c r="AN59" s="311">
        <v>0.12234025304683623</v>
      </c>
      <c r="AO59" s="311">
        <v>0.1479250335013329</v>
      </c>
      <c r="AP59" s="311">
        <v>0.13811734511484208</v>
      </c>
      <c r="AQ59" s="311">
        <v>0.16648734980039306</v>
      </c>
      <c r="AR59" s="311">
        <v>0.16380076743571345</v>
      </c>
      <c r="AS59" s="311">
        <v>0.19128771947327608</v>
      </c>
      <c r="AT59" s="311">
        <v>0.1422898225204271</v>
      </c>
      <c r="AU59" s="311">
        <v>0.16338369061950556</v>
      </c>
      <c r="AV59" s="311">
        <v>0.13927799745135813</v>
      </c>
      <c r="AW59" s="311">
        <v>0.12342272030776208</v>
      </c>
      <c r="AX59" s="311">
        <v>0.15321108348706078</v>
      </c>
      <c r="AY59" s="311">
        <v>0.14946367878543115</v>
      </c>
      <c r="AZ59" s="311">
        <v>0.15201469007863577</v>
      </c>
      <c r="BA59" s="311">
        <v>0.15002665654162259</v>
      </c>
      <c r="BB59" s="311">
        <v>0.15500329351588757</v>
      </c>
      <c r="BC59" s="311">
        <v>0.11487635579292248</v>
      </c>
      <c r="BD59" s="311">
        <v>0.16826104757043406</v>
      </c>
      <c r="BE59" s="311">
        <v>8.0061831855365209E-2</v>
      </c>
      <c r="BF59" s="248"/>
      <c r="BG59" s="248"/>
    </row>
    <row r="60" spans="3:59" ht="17" x14ac:dyDescent="0.2">
      <c r="C60" s="6" t="s">
        <v>150</v>
      </c>
      <c r="D60" s="311">
        <v>0.23056007387568248</v>
      </c>
      <c r="E60" s="311">
        <v>0.26723979269824938</v>
      </c>
      <c r="F60" s="311">
        <v>0.23768784822743461</v>
      </c>
      <c r="G60" s="311">
        <v>0.22697065824187193</v>
      </c>
      <c r="H60" s="311">
        <v>0.27707478759414994</v>
      </c>
      <c r="I60" s="311">
        <v>0.24527599671184247</v>
      </c>
      <c r="J60" s="311">
        <v>0.30922876002258265</v>
      </c>
      <c r="K60" s="311">
        <v>0.26819304436854713</v>
      </c>
      <c r="L60" s="311">
        <v>0</v>
      </c>
      <c r="M60" s="311">
        <v>0.24215524548277798</v>
      </c>
      <c r="N60" s="311">
        <v>0.23623041159991603</v>
      </c>
      <c r="O60" s="311">
        <v>0.29857968159768827</v>
      </c>
      <c r="P60" s="311">
        <v>0.22788726829305311</v>
      </c>
      <c r="Q60" s="311">
        <v>0.27633824026150039</v>
      </c>
      <c r="R60" s="311">
        <v>0.24683012863855899</v>
      </c>
      <c r="S60" s="311">
        <v>0.23464919191187009</v>
      </c>
      <c r="T60" s="311">
        <v>0.23246168150754581</v>
      </c>
      <c r="U60" s="311">
        <v>0.26457366336215238</v>
      </c>
      <c r="V60" s="311">
        <v>0.2807503660060075</v>
      </c>
      <c r="W60" s="311">
        <v>0.21873257558859052</v>
      </c>
      <c r="X60" s="311">
        <v>0.27997110094824745</v>
      </c>
      <c r="Y60" s="311">
        <v>0.30751187479378905</v>
      </c>
      <c r="Z60" s="311">
        <v>0.28803349805691558</v>
      </c>
      <c r="AA60" s="311">
        <v>0.30424950552314278</v>
      </c>
      <c r="AB60" s="311">
        <v>0.2372285997333293</v>
      </c>
      <c r="AC60" s="311">
        <v>0.27352359512722052</v>
      </c>
      <c r="AD60" s="311">
        <v>0.22189943942947571</v>
      </c>
      <c r="AE60" s="38">
        <f>'User Add-in Location'!B64</f>
        <v>0</v>
      </c>
      <c r="AF60" s="38">
        <f>'User Add-in Location'!C64</f>
        <v>0</v>
      </c>
      <c r="AG60" s="311">
        <v>0.23292750169188095</v>
      </c>
      <c r="AH60" s="311">
        <v>0.27480072483694395</v>
      </c>
      <c r="AI60" s="311">
        <v>0.28687185775744983</v>
      </c>
      <c r="AJ60" s="311">
        <v>0.32504096474242733</v>
      </c>
      <c r="AK60" s="311">
        <v>0.20695333984513423</v>
      </c>
      <c r="AL60" s="311">
        <v>0.28581594988037307</v>
      </c>
      <c r="AM60" s="311">
        <v>0.23303676754372768</v>
      </c>
      <c r="AN60" s="311">
        <v>0.24060996838233742</v>
      </c>
      <c r="AO60" s="311">
        <v>0.26337191578825758</v>
      </c>
      <c r="AP60" s="311">
        <v>0.2747366814622702</v>
      </c>
      <c r="AQ60" s="311">
        <v>0.25956265260372863</v>
      </c>
      <c r="AR60" s="311">
        <v>0.27541800153442797</v>
      </c>
      <c r="AS60" s="311">
        <v>0.27644199959113669</v>
      </c>
      <c r="AT60" s="311">
        <v>0.28798696538375418</v>
      </c>
      <c r="AU60" s="311">
        <v>0.23008900893349082</v>
      </c>
      <c r="AV60" s="311">
        <v>0.27726295224824343</v>
      </c>
      <c r="AW60" s="311">
        <v>0.27613979414841883</v>
      </c>
      <c r="AX60" s="311">
        <v>0.26807673406894511</v>
      </c>
      <c r="AY60" s="311">
        <v>0.23749638273141616</v>
      </c>
      <c r="AZ60" s="311">
        <v>0.24920928557092234</v>
      </c>
      <c r="BA60" s="311">
        <v>0.28518952408112902</v>
      </c>
      <c r="BB60" s="311">
        <v>0.25456919498828934</v>
      </c>
      <c r="BC60" s="311">
        <v>0.20890627774961179</v>
      </c>
      <c r="BD60" s="311">
        <v>0.28834127898584222</v>
      </c>
      <c r="BE60" s="311">
        <v>0.2237206131291985</v>
      </c>
      <c r="BF60" s="248"/>
      <c r="BG60" s="248"/>
    </row>
    <row r="61" spans="3:59" ht="17" x14ac:dyDescent="0.2">
      <c r="C61" s="6" t="s">
        <v>151</v>
      </c>
      <c r="D61" s="311">
        <v>0.13803383192983401</v>
      </c>
      <c r="E61" s="311">
        <v>0.21256209382334473</v>
      </c>
      <c r="F61" s="311">
        <v>0.17541821076001649</v>
      </c>
      <c r="G61" s="311">
        <v>0.15295609760529616</v>
      </c>
      <c r="H61" s="311">
        <v>0.21815580912917126</v>
      </c>
      <c r="I61" s="311">
        <v>0.19325181402071573</v>
      </c>
      <c r="J61" s="311">
        <v>0.29607308917709035</v>
      </c>
      <c r="K61" s="311">
        <v>0.27341619236785702</v>
      </c>
      <c r="L61" s="311">
        <v>0.24853387953175168</v>
      </c>
      <c r="M61" s="311">
        <v>0.17196328696734403</v>
      </c>
      <c r="N61" s="311">
        <v>0.14129197873959976</v>
      </c>
      <c r="O61" s="311">
        <v>2.1042655315917383E-2</v>
      </c>
      <c r="P61" s="311">
        <v>0.1474566187124971</v>
      </c>
      <c r="Q61" s="311">
        <v>0.17639106645222249</v>
      </c>
      <c r="R61" s="311">
        <v>0.13045931964860502</v>
      </c>
      <c r="S61" s="311">
        <v>0.15438928302957478</v>
      </c>
      <c r="T61" s="311">
        <v>0.16532523876696012</v>
      </c>
      <c r="U61" s="311">
        <v>0.1639681743345788</v>
      </c>
      <c r="V61" s="311">
        <v>0.17228358912422181</v>
      </c>
      <c r="W61" s="311">
        <v>0.21403120675944759</v>
      </c>
      <c r="X61" s="311">
        <v>0.12679962783647436</v>
      </c>
      <c r="Y61" s="311">
        <v>0.28160858974437081</v>
      </c>
      <c r="Z61" s="311">
        <v>0.19821697720912243</v>
      </c>
      <c r="AA61" s="311">
        <v>0.19838682891901094</v>
      </c>
      <c r="AB61" s="311">
        <v>9.0301888701030508E-2</v>
      </c>
      <c r="AC61" s="311">
        <v>0.10888172045350104</v>
      </c>
      <c r="AD61" s="311">
        <v>0.11106499182826514</v>
      </c>
      <c r="AE61" s="38">
        <f>'User Add-in Location'!B65</f>
        <v>0</v>
      </c>
      <c r="AF61" s="38">
        <f>'User Add-in Location'!C65</f>
        <v>0</v>
      </c>
      <c r="AG61" s="311">
        <v>0.1363835277641329</v>
      </c>
      <c r="AH61" s="311">
        <v>0.21014597099665414</v>
      </c>
      <c r="AI61" s="311">
        <v>0.28500503949719974</v>
      </c>
      <c r="AJ61" s="311">
        <v>0.33436801125128435</v>
      </c>
      <c r="AK61" s="311">
        <v>0.1481727171528377</v>
      </c>
      <c r="AL61" s="311">
        <v>0.19871928831161903</v>
      </c>
      <c r="AM61" s="311">
        <v>0.17101053405935557</v>
      </c>
      <c r="AN61" s="311">
        <v>0.13295789810930639</v>
      </c>
      <c r="AO61" s="311">
        <v>0.20755987144629698</v>
      </c>
      <c r="AP61" s="311">
        <v>0.20665076952792369</v>
      </c>
      <c r="AQ61" s="311">
        <v>0.17784616901479919</v>
      </c>
      <c r="AR61" s="311">
        <v>0.20699998267900688</v>
      </c>
      <c r="AS61" s="311">
        <v>0.25503759010048055</v>
      </c>
      <c r="AT61" s="311">
        <v>0.2026312153094969</v>
      </c>
      <c r="AU61" s="311">
        <v>0.1384382230069936</v>
      </c>
      <c r="AV61" s="311">
        <v>0.1454721946250532</v>
      </c>
      <c r="AW61" s="311">
        <v>0.19016226954028936</v>
      </c>
      <c r="AX61" s="311">
        <v>0.17416960304080506</v>
      </c>
      <c r="AY61" s="311">
        <v>0.12687030922163209</v>
      </c>
      <c r="AZ61" s="311">
        <v>0.28979813898088413</v>
      </c>
      <c r="BA61" s="311">
        <v>0.2029874519465539</v>
      </c>
      <c r="BB61" s="311">
        <v>0.21641064296036011</v>
      </c>
      <c r="BC61" s="311">
        <v>0.25370490028596432</v>
      </c>
      <c r="BD61" s="311">
        <v>0.14185685468134535</v>
      </c>
      <c r="BE61" s="311">
        <v>0.11749253296421486</v>
      </c>
      <c r="BF61" s="248"/>
      <c r="BG61" s="248"/>
    </row>
    <row r="62" spans="3:59" ht="17" x14ac:dyDescent="0.2">
      <c r="C62" s="6" t="s">
        <v>152</v>
      </c>
      <c r="D62" s="311">
        <v>0.2141394596356278</v>
      </c>
      <c r="E62" s="311">
        <v>0</v>
      </c>
      <c r="F62" s="311">
        <v>0.27357765015704366</v>
      </c>
      <c r="G62" s="311">
        <v>0.19462293011878515</v>
      </c>
      <c r="H62" s="311">
        <v>0.31847796955651847</v>
      </c>
      <c r="I62" s="311">
        <v>0.19622940879045439</v>
      </c>
      <c r="J62" s="311">
        <v>0.21429126275599911</v>
      </c>
      <c r="K62" s="311">
        <v>0.271416075702475</v>
      </c>
      <c r="L62" s="311">
        <v>0.28669787220331139</v>
      </c>
      <c r="M62" s="311">
        <v>0.22317677964233137</v>
      </c>
      <c r="N62" s="311">
        <v>0.18350915484216843</v>
      </c>
      <c r="O62" s="311">
        <v>7.9105354877911108E-2</v>
      </c>
      <c r="P62" s="311">
        <v>0.23076090381967229</v>
      </c>
      <c r="Q62" s="311">
        <v>0.22890394807488632</v>
      </c>
      <c r="R62" s="311">
        <v>0.22339455488055102</v>
      </c>
      <c r="S62" s="311">
        <v>0.22229071650912116</v>
      </c>
      <c r="T62" s="311">
        <v>0.19838158970020048</v>
      </c>
      <c r="U62" s="311">
        <v>0.23058327654561106</v>
      </c>
      <c r="V62" s="311">
        <v>0.27997730416992422</v>
      </c>
      <c r="W62" s="311">
        <v>0.19160647499203687</v>
      </c>
      <c r="X62" s="311">
        <v>0.21914681096819913</v>
      </c>
      <c r="Y62" s="311">
        <v>0.24778202254317189</v>
      </c>
      <c r="Z62" s="311">
        <v>0.12443031173837625</v>
      </c>
      <c r="AA62" s="311">
        <v>0.21137474023727262</v>
      </c>
      <c r="AB62" s="311">
        <v>0.14296648943660303</v>
      </c>
      <c r="AC62" s="311">
        <v>0.23585835261932292</v>
      </c>
      <c r="AD62" s="311">
        <v>0.16406248427182063</v>
      </c>
      <c r="AE62" s="38">
        <f>'User Add-in Location'!B66</f>
        <v>0</v>
      </c>
      <c r="AF62" s="38">
        <f>'User Add-in Location'!C66</f>
        <v>0</v>
      </c>
      <c r="AG62" s="311">
        <v>0.25037071623845392</v>
      </c>
      <c r="AH62" s="311">
        <v>9.9242411592030524E-2</v>
      </c>
      <c r="AI62" s="311">
        <v>0.26152865075698034</v>
      </c>
      <c r="AJ62" s="311">
        <v>0.26096055681416946</v>
      </c>
      <c r="AK62" s="311">
        <v>0.27266824520965377</v>
      </c>
      <c r="AL62" s="311">
        <v>0.2417734985110932</v>
      </c>
      <c r="AM62" s="311">
        <v>0.17781761813283317</v>
      </c>
      <c r="AN62" s="311">
        <v>0.23072271555568585</v>
      </c>
      <c r="AO62" s="311">
        <v>0.21203820987719296</v>
      </c>
      <c r="AP62" s="311">
        <v>0.23356410785782361</v>
      </c>
      <c r="AQ62" s="311">
        <v>0.15946522551267894</v>
      </c>
      <c r="AR62" s="311">
        <v>0.23457560062743163</v>
      </c>
      <c r="AS62" s="311">
        <v>0.20147736945183956</v>
      </c>
      <c r="AT62" s="311">
        <v>0.22825323555525023</v>
      </c>
      <c r="AU62" s="311">
        <v>0.18543554980934537</v>
      </c>
      <c r="AV62" s="311">
        <v>0.22854531111703014</v>
      </c>
      <c r="AW62" s="311">
        <v>0.25531295632017331</v>
      </c>
      <c r="AX62" s="311">
        <v>0.2431223101975046</v>
      </c>
      <c r="AY62" s="311">
        <v>0.2071646000754272</v>
      </c>
      <c r="AZ62" s="311">
        <v>0.22746024264355652</v>
      </c>
      <c r="BA62" s="311">
        <v>0.20854428880697193</v>
      </c>
      <c r="BB62" s="311">
        <v>0.19231604716655135</v>
      </c>
      <c r="BC62" s="311">
        <v>0.15000464718365303</v>
      </c>
      <c r="BD62" s="311">
        <v>0.19511791810358187</v>
      </c>
      <c r="BE62" s="311">
        <v>0</v>
      </c>
      <c r="BF62" s="248"/>
      <c r="BG62" s="248"/>
    </row>
    <row r="63" spans="3:59" ht="17" x14ac:dyDescent="0.2">
      <c r="C63" s="6" t="s">
        <v>153</v>
      </c>
      <c r="D63" s="311">
        <v>0.18576517647419793</v>
      </c>
      <c r="E63" s="311">
        <v>0.15096704950135847</v>
      </c>
      <c r="F63" s="311">
        <v>0.20680126167773527</v>
      </c>
      <c r="G63" s="311">
        <v>0.22986087761514265</v>
      </c>
      <c r="H63" s="311">
        <v>0.28979514724230682</v>
      </c>
      <c r="I63" s="311">
        <v>0.35621944682127155</v>
      </c>
      <c r="J63" s="311">
        <v>0.38885765924423288</v>
      </c>
      <c r="K63" s="311">
        <v>0.23239519209890006</v>
      </c>
      <c r="L63" s="311">
        <v>0.40554668269889071</v>
      </c>
      <c r="M63" s="311">
        <v>0.19825351844037731</v>
      </c>
      <c r="N63" s="311">
        <v>0.24169227560432605</v>
      </c>
      <c r="O63" s="311">
        <v>0.19265785982680875</v>
      </c>
      <c r="P63" s="311">
        <v>0.22769396238704004</v>
      </c>
      <c r="Q63" s="311">
        <v>0.26456075075440944</v>
      </c>
      <c r="R63" s="311">
        <v>0.22949854301038533</v>
      </c>
      <c r="S63" s="311">
        <v>0.23167625104695894</v>
      </c>
      <c r="T63" s="311">
        <v>0.22310110000325323</v>
      </c>
      <c r="U63" s="311">
        <v>0.2194581706420437</v>
      </c>
      <c r="V63" s="311">
        <v>0.19123405587204922</v>
      </c>
      <c r="W63" s="311">
        <v>0.19374045177368687</v>
      </c>
      <c r="X63" s="311">
        <v>0.22374424025863998</v>
      </c>
      <c r="Y63" s="311">
        <v>0.25658975814411283</v>
      </c>
      <c r="Z63" s="311">
        <v>0.22271852313425103</v>
      </c>
      <c r="AA63" s="311">
        <v>0.24428844087153664</v>
      </c>
      <c r="AB63" s="311">
        <v>0.16902513898217714</v>
      </c>
      <c r="AC63" s="311">
        <v>0.22961308456011567</v>
      </c>
      <c r="AD63" s="311">
        <v>0.21592676182058324</v>
      </c>
      <c r="AE63" s="38">
        <f>'User Add-in Location'!B67</f>
        <v>0</v>
      </c>
      <c r="AF63" s="38">
        <f>'User Add-in Location'!C67</f>
        <v>0</v>
      </c>
      <c r="AG63" s="311">
        <v>0.33124994269132252</v>
      </c>
      <c r="AH63" s="311">
        <v>0.21847688233904927</v>
      </c>
      <c r="AI63" s="311">
        <v>0.21210502626241962</v>
      </c>
      <c r="AJ63" s="311">
        <v>0.28918198801936545</v>
      </c>
      <c r="AK63" s="311">
        <v>0.20963779770490384</v>
      </c>
      <c r="AL63" s="311">
        <v>0.29673372364229494</v>
      </c>
      <c r="AM63" s="311">
        <v>0.21508250768843551</v>
      </c>
      <c r="AN63" s="311">
        <v>0.25932709948628013</v>
      </c>
      <c r="AO63" s="311">
        <v>0.24705261148881921</v>
      </c>
      <c r="AP63" s="311">
        <v>0.58410022817359075</v>
      </c>
      <c r="AQ63" s="311">
        <v>0.22453991737155382</v>
      </c>
      <c r="AR63" s="311">
        <v>0.29380941274839883</v>
      </c>
      <c r="AS63" s="311">
        <v>0.22336322378932758</v>
      </c>
      <c r="AT63" s="311">
        <v>0.19186601453897978</v>
      </c>
      <c r="AU63" s="311">
        <v>0.22215248653559125</v>
      </c>
      <c r="AV63" s="311">
        <v>0.23733628965024742</v>
      </c>
      <c r="AW63" s="311">
        <v>0.27135798819556906</v>
      </c>
      <c r="AX63" s="311">
        <v>0.25773022772300813</v>
      </c>
      <c r="AY63" s="311">
        <v>0.26382489572152706</v>
      </c>
      <c r="AZ63" s="311">
        <v>0.22370524271198935</v>
      </c>
      <c r="BA63" s="311">
        <v>0.25626290977655192</v>
      </c>
      <c r="BB63" s="311">
        <v>0.25035005247786501</v>
      </c>
      <c r="BC63" s="311">
        <v>0.20083542137766713</v>
      </c>
      <c r="BD63" s="311">
        <v>0.24853939366588867</v>
      </c>
      <c r="BE63" s="311">
        <v>0.26186104142989119</v>
      </c>
      <c r="BF63" s="248"/>
      <c r="BG63" s="248"/>
    </row>
    <row r="64" spans="3:59" ht="17" x14ac:dyDescent="0.2">
      <c r="C64" s="6" t="s">
        <v>78</v>
      </c>
      <c r="D64" s="311">
        <v>0.32684582247590332</v>
      </c>
      <c r="E64" s="311">
        <v>0.25473903315507646</v>
      </c>
      <c r="F64" s="311">
        <v>0.34805624234985111</v>
      </c>
      <c r="G64" s="311">
        <v>0.29834600199688927</v>
      </c>
      <c r="H64" s="311">
        <v>0.33136790756091211</v>
      </c>
      <c r="I64" s="311">
        <v>0.37609494668544829</v>
      </c>
      <c r="J64" s="311">
        <v>0.34424630152304769</v>
      </c>
      <c r="K64" s="311">
        <v>0.3678288764735434</v>
      </c>
      <c r="L64" s="311">
        <v>0.46774444212604821</v>
      </c>
      <c r="M64" s="311">
        <v>0.32826170016495454</v>
      </c>
      <c r="N64" s="311">
        <v>0.34594996335380335</v>
      </c>
      <c r="O64" s="311">
        <v>0.30974101488199834</v>
      </c>
      <c r="P64" s="311">
        <v>0.30962420209080688</v>
      </c>
      <c r="Q64" s="311">
        <v>0.35640442418500096</v>
      </c>
      <c r="R64" s="311">
        <v>0.33514544394169121</v>
      </c>
      <c r="S64" s="311">
        <v>0.34025960174893799</v>
      </c>
      <c r="T64" s="311">
        <v>0.32868757542417787</v>
      </c>
      <c r="U64" s="311">
        <v>0.29981015137713352</v>
      </c>
      <c r="V64" s="311">
        <v>0.32104860034793692</v>
      </c>
      <c r="W64" s="311">
        <v>0.30172732469838121</v>
      </c>
      <c r="X64" s="311">
        <v>0.35232598687314065</v>
      </c>
      <c r="Y64" s="311">
        <v>0.40240613834536654</v>
      </c>
      <c r="Z64" s="311">
        <v>0.35135046498794859</v>
      </c>
      <c r="AA64" s="311">
        <v>0.38465056930053476</v>
      </c>
      <c r="AB64" s="311">
        <v>0.28473661787687515</v>
      </c>
      <c r="AC64" s="311">
        <v>0.35864657871690925</v>
      </c>
      <c r="AD64" s="311">
        <v>0.30501352156570027</v>
      </c>
      <c r="AE64" s="38">
        <f>'User Add-in Location'!B68</f>
        <v>0</v>
      </c>
      <c r="AF64" s="38">
        <f>'User Add-in Location'!C68</f>
        <v>0</v>
      </c>
      <c r="AG64" s="311">
        <v>0.36055756441171338</v>
      </c>
      <c r="AH64" s="311">
        <v>0.33388428838957834</v>
      </c>
      <c r="AI64" s="311">
        <v>0.41831946231827516</v>
      </c>
      <c r="AJ64" s="311">
        <v>0.38719667053662682</v>
      </c>
      <c r="AK64" s="311">
        <v>0.27408781280984823</v>
      </c>
      <c r="AL64" s="311">
        <v>0.37488244865794301</v>
      </c>
      <c r="AM64" s="311">
        <v>0.34463459228723636</v>
      </c>
      <c r="AN64" s="311">
        <v>0.32558323054720445</v>
      </c>
      <c r="AO64" s="311">
        <v>0.3475478562131562</v>
      </c>
      <c r="AP64" s="311">
        <v>0.29968653133605339</v>
      </c>
      <c r="AQ64" s="311">
        <v>0.35405956001462424</v>
      </c>
      <c r="AR64" s="311">
        <v>0.35710877102635663</v>
      </c>
      <c r="AS64" s="311">
        <v>0.34849775584519099</v>
      </c>
      <c r="AT64" s="311">
        <v>0.31422493768151144</v>
      </c>
      <c r="AU64" s="311">
        <v>0.32110596422150056</v>
      </c>
      <c r="AV64" s="311">
        <v>0.32742635272562676</v>
      </c>
      <c r="AW64" s="311">
        <v>0.33279337732786918</v>
      </c>
      <c r="AX64" s="311">
        <v>0.34524115440688263</v>
      </c>
      <c r="AY64" s="311">
        <v>0.34952419285493541</v>
      </c>
      <c r="AZ64" s="311">
        <v>0.30548131156044533</v>
      </c>
      <c r="BA64" s="311">
        <v>0.35430171860694942</v>
      </c>
      <c r="BB64" s="311">
        <v>0.33539581919957018</v>
      </c>
      <c r="BC64" s="311">
        <v>0.29142921709708014</v>
      </c>
      <c r="BD64" s="311">
        <v>0.34908435281401834</v>
      </c>
      <c r="BE64" s="311">
        <v>0.37406386096678595</v>
      </c>
      <c r="BF64" s="248"/>
      <c r="BG64" s="248"/>
    </row>
    <row r="65" spans="3:59" ht="17" x14ac:dyDescent="0.2">
      <c r="C65" s="6" t="s">
        <v>79</v>
      </c>
      <c r="D65" s="311">
        <v>0.35889267386889695</v>
      </c>
      <c r="E65" s="311">
        <v>0.44416574590865049</v>
      </c>
      <c r="F65" s="311">
        <v>0.38842103196867533</v>
      </c>
      <c r="G65" s="311">
        <v>0.36853912854810855</v>
      </c>
      <c r="H65" s="311">
        <v>0.4127524476419403</v>
      </c>
      <c r="I65" s="311">
        <v>0.39063709060699764</v>
      </c>
      <c r="J65" s="311">
        <v>0.44879421014938298</v>
      </c>
      <c r="K65" s="311">
        <v>0.42897948771483663</v>
      </c>
      <c r="L65" s="311">
        <v>0.44769320148989583</v>
      </c>
      <c r="M65" s="311">
        <v>0.39503667653739472</v>
      </c>
      <c r="N65" s="311">
        <v>0.3922947472949504</v>
      </c>
      <c r="O65" s="311">
        <v>0.37981348626525241</v>
      </c>
      <c r="P65" s="311">
        <v>0.41291496818459161</v>
      </c>
      <c r="Q65" s="311">
        <v>0.40114972309302155</v>
      </c>
      <c r="R65" s="311">
        <v>0.37564842996778164</v>
      </c>
      <c r="S65" s="311">
        <v>0.3746999816719559</v>
      </c>
      <c r="T65" s="311">
        <v>0.3493194881990217</v>
      </c>
      <c r="U65" s="311">
        <v>0.38326879290801247</v>
      </c>
      <c r="V65" s="311">
        <v>0.37918200830368942</v>
      </c>
      <c r="W65" s="311">
        <v>0.36489936472724033</v>
      </c>
      <c r="X65" s="311">
        <v>0.39800242526717933</v>
      </c>
      <c r="Y65" s="311">
        <v>0.46502035020542659</v>
      </c>
      <c r="Z65" s="311">
        <v>0.37034873065952445</v>
      </c>
      <c r="AA65" s="311">
        <v>0.39354447763357536</v>
      </c>
      <c r="AB65" s="311">
        <v>0.36233336244155773</v>
      </c>
      <c r="AC65" s="311">
        <v>0.37741966118648834</v>
      </c>
      <c r="AD65" s="311">
        <v>0.44229673168880007</v>
      </c>
      <c r="AE65" s="38">
        <f>'User Add-in Location'!B69</f>
        <v>0</v>
      </c>
      <c r="AF65" s="38">
        <f>'User Add-in Location'!C69</f>
        <v>0</v>
      </c>
      <c r="AG65" s="311">
        <v>0.36255969298903934</v>
      </c>
      <c r="AH65" s="311">
        <v>0.36088301818126811</v>
      </c>
      <c r="AI65" s="311">
        <v>0.46568222362930234</v>
      </c>
      <c r="AJ65" s="311">
        <v>0.43292996352120638</v>
      </c>
      <c r="AK65" s="311">
        <v>0.38863532723771627</v>
      </c>
      <c r="AL65" s="311">
        <v>0.43113730772612718</v>
      </c>
      <c r="AM65" s="311">
        <v>0.40111790488289767</v>
      </c>
      <c r="AN65" s="311">
        <v>0.41885821853065663</v>
      </c>
      <c r="AO65" s="311">
        <v>0.35922211701661083</v>
      </c>
      <c r="AP65" s="311">
        <v>0.3920709731084861</v>
      </c>
      <c r="AQ65" s="311">
        <v>0.44868250692590439</v>
      </c>
      <c r="AR65" s="311">
        <v>0.41646682087267028</v>
      </c>
      <c r="AS65" s="311">
        <v>0.45023761296789344</v>
      </c>
      <c r="AT65" s="311">
        <v>0.375516808261602</v>
      </c>
      <c r="AU65" s="311">
        <v>0.40651441252336407</v>
      </c>
      <c r="AV65" s="311">
        <v>0.41597451217857773</v>
      </c>
      <c r="AW65" s="311">
        <v>0.40729048218771324</v>
      </c>
      <c r="AX65" s="311">
        <v>0.40013294850712317</v>
      </c>
      <c r="AY65" s="311">
        <v>0.40745149996335939</v>
      </c>
      <c r="AZ65" s="311">
        <v>0.40696446966907818</v>
      </c>
      <c r="BA65" s="311">
        <v>0.37899359634623414</v>
      </c>
      <c r="BB65" s="311">
        <v>0.38720177343801726</v>
      </c>
      <c r="BC65" s="311">
        <v>0.36883607337879687</v>
      </c>
      <c r="BD65" s="311">
        <v>0.37634508513627313</v>
      </c>
      <c r="BE65" s="311">
        <v>0.35762465684437422</v>
      </c>
      <c r="BF65" s="248"/>
      <c r="BG65" s="248"/>
    </row>
    <row r="66" spans="3:59" ht="17" x14ac:dyDescent="0.2">
      <c r="C66" s="6" t="s">
        <v>154</v>
      </c>
      <c r="D66" s="311">
        <v>0.20066120998483494</v>
      </c>
      <c r="E66" s="311">
        <v>0.17999065682295989</v>
      </c>
      <c r="F66" s="311">
        <v>0.21670284571977025</v>
      </c>
      <c r="G66" s="311">
        <v>0.18749400377036313</v>
      </c>
      <c r="H66" s="311">
        <v>0.23448271549349373</v>
      </c>
      <c r="I66" s="311">
        <v>0.20948087620928291</v>
      </c>
      <c r="J66" s="311">
        <v>0.32861213589047455</v>
      </c>
      <c r="K66" s="311">
        <v>0.17037657286596464</v>
      </c>
      <c r="L66" s="311">
        <v>0.28378464531114223</v>
      </c>
      <c r="M66" s="311">
        <v>0.19785660286932957</v>
      </c>
      <c r="N66" s="311">
        <v>0.19112653197441717</v>
      </c>
      <c r="O66" s="311">
        <v>0.17522631194129318</v>
      </c>
      <c r="P66" s="311">
        <v>0.16845621330554475</v>
      </c>
      <c r="Q66" s="311">
        <v>0.24902637693634422</v>
      </c>
      <c r="R66" s="311">
        <v>0.26333470856056646</v>
      </c>
      <c r="S66" s="311">
        <v>0.19759913128042572</v>
      </c>
      <c r="T66" s="311">
        <v>0.18858957243517957</v>
      </c>
      <c r="U66" s="311">
        <v>0.21402923741474536</v>
      </c>
      <c r="V66" s="311">
        <v>0.18303451089810197</v>
      </c>
      <c r="W66" s="311">
        <v>0.17754906536437334</v>
      </c>
      <c r="X66" s="311">
        <v>0.23771709968319868</v>
      </c>
      <c r="Y66" s="311">
        <v>0.28714907297277692</v>
      </c>
      <c r="Z66" s="311">
        <v>0.2138575812989601</v>
      </c>
      <c r="AA66" s="311">
        <v>0.28228965181466931</v>
      </c>
      <c r="AB66" s="311">
        <v>0.16740704873135429</v>
      </c>
      <c r="AC66" s="311">
        <v>0.21692237071650283</v>
      </c>
      <c r="AD66" s="311">
        <v>0.18195208860775672</v>
      </c>
      <c r="AE66" s="38">
        <f>'User Add-in Location'!B70</f>
        <v>0</v>
      </c>
      <c r="AF66" s="38">
        <f>'User Add-in Location'!C70</f>
        <v>0</v>
      </c>
      <c r="AG66" s="311">
        <v>0.19251298304795572</v>
      </c>
      <c r="AH66" s="311">
        <v>0.11593132562958872</v>
      </c>
      <c r="AI66" s="311">
        <v>0.23069754095177195</v>
      </c>
      <c r="AJ66" s="311">
        <v>0.25837385615492264</v>
      </c>
      <c r="AK66" s="311">
        <v>0.15155027758348738</v>
      </c>
      <c r="AL66" s="311">
        <v>0.31004865437382123</v>
      </c>
      <c r="AM66" s="311">
        <v>0.21044845580538724</v>
      </c>
      <c r="AN66" s="311">
        <v>0.20776231290878117</v>
      </c>
      <c r="AO66" s="311">
        <v>0.17909076884642061</v>
      </c>
      <c r="AP66" s="311">
        <v>0.18569811366441732</v>
      </c>
      <c r="AQ66" s="311">
        <v>0.18547195332010216</v>
      </c>
      <c r="AR66" s="311">
        <v>0.21496842410014921</v>
      </c>
      <c r="AS66" s="311">
        <v>0.23117747119326185</v>
      </c>
      <c r="AT66" s="311">
        <v>0.21176845150583856</v>
      </c>
      <c r="AU66" s="311">
        <v>0.1954208667958878</v>
      </c>
      <c r="AV66" s="311">
        <v>0.23275764068234447</v>
      </c>
      <c r="AW66" s="311">
        <v>0.25589566007829945</v>
      </c>
      <c r="AX66" s="311">
        <v>0.23381786000256535</v>
      </c>
      <c r="AY66" s="311">
        <v>0.17484275341001659</v>
      </c>
      <c r="AZ66" s="311">
        <v>0.16660534804568383</v>
      </c>
      <c r="BA66" s="311">
        <v>0.20550638666511828</v>
      </c>
      <c r="BB66" s="311">
        <v>0.19721219561857983</v>
      </c>
      <c r="BC66" s="311">
        <v>0.16381980559101139</v>
      </c>
      <c r="BD66" s="311">
        <v>0.19751158254589635</v>
      </c>
      <c r="BE66" s="311">
        <v>0.1364701354779595</v>
      </c>
      <c r="BF66" s="248"/>
      <c r="BG66" s="248"/>
    </row>
    <row r="67" spans="3:59" ht="17" x14ac:dyDescent="0.2">
      <c r="C67" s="6" t="s">
        <v>155</v>
      </c>
      <c r="D67" s="311">
        <v>0.43134458680849869</v>
      </c>
      <c r="E67" s="311">
        <v>0.43517998290003562</v>
      </c>
      <c r="F67" s="311">
        <v>0.42993199657390141</v>
      </c>
      <c r="G67" s="311">
        <v>0.41167372385026241</v>
      </c>
      <c r="H67" s="311">
        <v>0.45831344438996724</v>
      </c>
      <c r="I67" s="311">
        <v>0.43190386540208431</v>
      </c>
      <c r="J67" s="311">
        <v>0.47549836257929756</v>
      </c>
      <c r="K67" s="311">
        <v>0.45652903882148138</v>
      </c>
      <c r="L67" s="311">
        <v>0.56882953606449027</v>
      </c>
      <c r="M67" s="311">
        <v>0.42551144655960937</v>
      </c>
      <c r="N67" s="311">
        <v>0.41314585069805954</v>
      </c>
      <c r="O67" s="311">
        <v>0.42746522846329438</v>
      </c>
      <c r="P67" s="311">
        <v>0.415948056466313</v>
      </c>
      <c r="Q67" s="311">
        <v>0.45377315137409252</v>
      </c>
      <c r="R67" s="311">
        <v>0.45268150556589032</v>
      </c>
      <c r="S67" s="311">
        <v>0.42472836484865134</v>
      </c>
      <c r="T67" s="311">
        <v>0.42167235176596346</v>
      </c>
      <c r="U67" s="311">
        <v>0.43900080776137473</v>
      </c>
      <c r="V67" s="311">
        <v>0.41705628432118569</v>
      </c>
      <c r="W67" s="311">
        <v>0.43244144346570201</v>
      </c>
      <c r="X67" s="311">
        <v>0.465377713069139</v>
      </c>
      <c r="Y67" s="311">
        <v>0.50470329703346339</v>
      </c>
      <c r="Z67" s="311">
        <v>0.45278067164591029</v>
      </c>
      <c r="AA67" s="311">
        <v>0.4712686652626159</v>
      </c>
      <c r="AB67" s="311">
        <v>0.37824505886773652</v>
      </c>
      <c r="AC67" s="311">
        <v>0.42235688161258922</v>
      </c>
      <c r="AD67" s="311">
        <v>0.42369538852365268</v>
      </c>
      <c r="AE67" s="38">
        <f>'User Add-in Location'!B71</f>
        <v>0</v>
      </c>
      <c r="AF67" s="38">
        <f>'User Add-in Location'!C71</f>
        <v>0</v>
      </c>
      <c r="AG67" s="311">
        <v>0.42349305297566775</v>
      </c>
      <c r="AH67" s="311">
        <v>0.40548124789286116</v>
      </c>
      <c r="AI67" s="311">
        <v>0.47725911503311247</v>
      </c>
      <c r="AJ67" s="311">
        <v>0.49144014164617938</v>
      </c>
      <c r="AK67" s="311">
        <v>0.35688255202264169</v>
      </c>
      <c r="AL67" s="311">
        <v>0.46964021510221043</v>
      </c>
      <c r="AM67" s="311">
        <v>0.43070813242729278</v>
      </c>
      <c r="AN67" s="311">
        <v>0.45284963315817994</v>
      </c>
      <c r="AO67" s="311">
        <v>0.45183187661351659</v>
      </c>
      <c r="AP67" s="311">
        <v>0.41832216650532378</v>
      </c>
      <c r="AQ67" s="311">
        <v>0.46072544940240734</v>
      </c>
      <c r="AR67" s="311">
        <v>0.48629259704578209</v>
      </c>
      <c r="AS67" s="311">
        <v>0.46201358556547845</v>
      </c>
      <c r="AT67" s="311">
        <v>0.4064351094613784</v>
      </c>
      <c r="AU67" s="311">
        <v>0.44405902645240841</v>
      </c>
      <c r="AV67" s="311">
        <v>0.47750658259207152</v>
      </c>
      <c r="AW67" s="311">
        <v>0.44334245369696412</v>
      </c>
      <c r="AX67" s="311">
        <v>0.45100178441093586</v>
      </c>
      <c r="AY67" s="311">
        <v>0.40711192287711828</v>
      </c>
      <c r="AZ67" s="311">
        <v>0.43919420971827339</v>
      </c>
      <c r="BA67" s="311">
        <v>0.47618800218508406</v>
      </c>
      <c r="BB67" s="311">
        <v>0.42923295263329775</v>
      </c>
      <c r="BC67" s="311">
        <v>0.4477656605077952</v>
      </c>
      <c r="BD67" s="311">
        <v>0.44603876773771128</v>
      </c>
      <c r="BE67" s="311">
        <v>0.38768277235867371</v>
      </c>
      <c r="BF67" s="248"/>
      <c r="BG67" s="248"/>
    </row>
    <row r="68" spans="3:59" ht="17" x14ac:dyDescent="0.2">
      <c r="C68" s="6" t="s">
        <v>156</v>
      </c>
      <c r="D68" s="311">
        <v>0.47615459915117175</v>
      </c>
      <c r="E68" s="311">
        <v>0.50552180605216579</v>
      </c>
      <c r="F68" s="311">
        <v>0.48871536435703938</v>
      </c>
      <c r="G68" s="311">
        <v>0.43278573818233573</v>
      </c>
      <c r="H68" s="311">
        <v>0.54054090446423397</v>
      </c>
      <c r="I68" s="311">
        <v>0.52963739845017588</v>
      </c>
      <c r="J68" s="311">
        <v>0.54988949673293097</v>
      </c>
      <c r="K68" s="311">
        <v>0.50886614313058642</v>
      </c>
      <c r="L68" s="311">
        <v>0.59126032346624913</v>
      </c>
      <c r="M68" s="311">
        <v>0.50275456054630696</v>
      </c>
      <c r="N68" s="311">
        <v>0.51448504107934145</v>
      </c>
      <c r="O68" s="311">
        <v>0.45990980031345102</v>
      </c>
      <c r="P68" s="311">
        <v>0.41854371178831273</v>
      </c>
      <c r="Q68" s="311">
        <v>0.54915978380933927</v>
      </c>
      <c r="R68" s="311">
        <v>0.39422959389575207</v>
      </c>
      <c r="S68" s="311">
        <v>0.44059279537572388</v>
      </c>
      <c r="T68" s="311">
        <v>0.47240258880243596</v>
      </c>
      <c r="U68" s="311">
        <v>0.46059289456936214</v>
      </c>
      <c r="V68" s="311">
        <v>0.49845870469790177</v>
      </c>
      <c r="W68" s="311">
        <v>0.44576745999825268</v>
      </c>
      <c r="X68" s="311">
        <v>0.50812646979679288</v>
      </c>
      <c r="Y68" s="311">
        <v>0.54605924715636311</v>
      </c>
      <c r="Z68" s="311">
        <v>0.50941908769041422</v>
      </c>
      <c r="AA68" s="311">
        <v>0.52427335641740314</v>
      </c>
      <c r="AB68" s="311">
        <v>0.4232875179866476</v>
      </c>
      <c r="AC68" s="311">
        <v>0.48049219933505227</v>
      </c>
      <c r="AD68" s="311">
        <v>0.45782933320177394</v>
      </c>
      <c r="AE68" s="38">
        <f>'User Add-in Location'!B72</f>
        <v>0</v>
      </c>
      <c r="AF68" s="38">
        <f>'User Add-in Location'!C72</f>
        <v>0</v>
      </c>
      <c r="AG68" s="311">
        <v>0.43872550960144224</v>
      </c>
      <c r="AH68" s="311">
        <v>0.50474807532640487</v>
      </c>
      <c r="AI68" s="311">
        <v>0.50144520510600199</v>
      </c>
      <c r="AJ68" s="311">
        <v>0.55972048368002814</v>
      </c>
      <c r="AK68" s="311">
        <v>0.43841268949951306</v>
      </c>
      <c r="AL68" s="311">
        <v>0.54552838957320882</v>
      </c>
      <c r="AM68" s="311">
        <v>0.45263853833435674</v>
      </c>
      <c r="AN68" s="311">
        <v>0.48867488005770354</v>
      </c>
      <c r="AO68" s="311">
        <v>0.47992615126443627</v>
      </c>
      <c r="AP68" s="311">
        <v>0.47885815464785819</v>
      </c>
      <c r="AQ68" s="311">
        <v>0.43741818697319818</v>
      </c>
      <c r="AR68" s="311">
        <v>0.50294295734645655</v>
      </c>
      <c r="AS68" s="311">
        <v>0.45005135794837381</v>
      </c>
      <c r="AT68" s="311">
        <v>0.47318771064987664</v>
      </c>
      <c r="AU68" s="311">
        <v>0.43384463785774408</v>
      </c>
      <c r="AV68" s="311">
        <v>0.50515815494207472</v>
      </c>
      <c r="AW68" s="311">
        <v>0.54087231372352007</v>
      </c>
      <c r="AX68" s="311">
        <v>0.51649012635501079</v>
      </c>
      <c r="AY68" s="311">
        <v>0.45103489318310369</v>
      </c>
      <c r="AZ68" s="311">
        <v>0.46553076804882465</v>
      </c>
      <c r="BA68" s="311">
        <v>0.55408726371728756</v>
      </c>
      <c r="BB68" s="311">
        <v>0.47565392986107435</v>
      </c>
      <c r="BC68" s="311">
        <v>0.43724001874543827</v>
      </c>
      <c r="BD68" s="311">
        <v>0.46230339233882201</v>
      </c>
      <c r="BE68" s="311">
        <v>0.46605606537598726</v>
      </c>
      <c r="BF68" s="248"/>
      <c r="BG68" s="248"/>
    </row>
    <row r="69" spans="3:59" ht="17" x14ac:dyDescent="0.2">
      <c r="C69" s="6" t="s">
        <v>80</v>
      </c>
      <c r="D69" s="311">
        <v>0.62740052680591274</v>
      </c>
      <c r="E69" s="311">
        <v>0.82890471425792789</v>
      </c>
      <c r="F69" s="311">
        <v>0.65716012774474031</v>
      </c>
      <c r="G69" s="311">
        <v>0.73507788046803579</v>
      </c>
      <c r="H69" s="311">
        <v>0.72853443711036148</v>
      </c>
      <c r="I69" s="311">
        <v>0.77829668689273146</v>
      </c>
      <c r="J69" s="311">
        <v>0.64462681367229635</v>
      </c>
      <c r="K69" s="311">
        <v>0.76565548581965426</v>
      </c>
      <c r="L69" s="311">
        <v>0.75940136877242737</v>
      </c>
      <c r="M69" s="311">
        <v>0.71915229181213625</v>
      </c>
      <c r="N69" s="311">
        <v>0.81481177908043245</v>
      </c>
      <c r="O69" s="311">
        <v>0.76417057638637853</v>
      </c>
      <c r="P69" s="311">
        <v>0.73932247182141642</v>
      </c>
      <c r="Q69" s="311">
        <v>0.8318921587593805</v>
      </c>
      <c r="R69" s="311">
        <v>0.73922919947312993</v>
      </c>
      <c r="S69" s="311">
        <v>0.74581846753604497</v>
      </c>
      <c r="T69" s="311">
        <v>0.75023828663503989</v>
      </c>
      <c r="U69" s="311">
        <v>0.75924853145323323</v>
      </c>
      <c r="V69" s="311">
        <v>0.76432532196522562</v>
      </c>
      <c r="W69" s="311">
        <v>0.73157386536066504</v>
      </c>
      <c r="X69" s="311">
        <v>0.65153084808549055</v>
      </c>
      <c r="Y69" s="311">
        <v>0.64529511133770279</v>
      </c>
      <c r="Z69" s="311">
        <v>0.77655291869463405</v>
      </c>
      <c r="AA69" s="311">
        <v>0.72048244777308168</v>
      </c>
      <c r="AB69" s="311">
        <v>0.73116212627366739</v>
      </c>
      <c r="AC69" s="311">
        <v>0.75604745710518284</v>
      </c>
      <c r="AD69" s="311">
        <v>0.75305444884409711</v>
      </c>
      <c r="AE69" s="38">
        <f>'User Add-in Location'!B73</f>
        <v>0</v>
      </c>
      <c r="AF69" s="38">
        <f>'User Add-in Location'!C73</f>
        <v>0</v>
      </c>
      <c r="AG69" s="311">
        <v>0.77142755032550192</v>
      </c>
      <c r="AH69" s="311">
        <v>0.66585168227721181</v>
      </c>
      <c r="AI69" s="311">
        <v>0.60777159621937071</v>
      </c>
      <c r="AJ69" s="311">
        <v>0.77962164025858238</v>
      </c>
      <c r="AK69" s="311">
        <v>0.50483539802717037</v>
      </c>
      <c r="AL69" s="311">
        <v>0.77190138440321954</v>
      </c>
      <c r="AM69" s="311">
        <v>0.7944389382414343</v>
      </c>
      <c r="AN69" s="311">
        <v>0.71677164384890302</v>
      </c>
      <c r="AO69" s="311">
        <v>0.74410657984739259</v>
      </c>
      <c r="AP69" s="311">
        <v>0.60613545094517562</v>
      </c>
      <c r="AQ69" s="311">
        <v>0.75161633231291691</v>
      </c>
      <c r="AR69" s="311">
        <v>0.7359965271064316</v>
      </c>
      <c r="AS69" s="311">
        <v>0.67765837485801306</v>
      </c>
      <c r="AT69" s="311">
        <v>0.73611545816633916</v>
      </c>
      <c r="AU69" s="311">
        <v>0.67645498181681762</v>
      </c>
      <c r="AV69" s="311">
        <v>0.72480825830841655</v>
      </c>
      <c r="AW69" s="311">
        <v>0.73223780396125049</v>
      </c>
      <c r="AX69" s="311">
        <v>0.72801561265325065</v>
      </c>
      <c r="AY69" s="311">
        <v>0.71425100102641093</v>
      </c>
      <c r="AZ69" s="311">
        <v>0.81199354118448552</v>
      </c>
      <c r="BA69" s="311">
        <v>0.66961231101341123</v>
      </c>
      <c r="BB69" s="311">
        <v>0.66810947856457092</v>
      </c>
      <c r="BC69" s="311">
        <v>0.70176827407289744</v>
      </c>
      <c r="BD69" s="311">
        <v>0.75677889309294955</v>
      </c>
      <c r="BE69" s="311">
        <v>0.7731955719720951</v>
      </c>
      <c r="BF69" s="248"/>
      <c r="BG69" s="248"/>
    </row>
    <row r="70" spans="3:59" ht="16" x14ac:dyDescent="0.2">
      <c r="C70" s="5"/>
      <c r="D70" s="311"/>
      <c r="E70" s="311"/>
      <c r="F70" s="311"/>
      <c r="G70" s="311"/>
      <c r="H70" s="311"/>
      <c r="I70" s="311"/>
      <c r="J70" s="311"/>
      <c r="K70" s="311"/>
      <c r="L70" s="311"/>
      <c r="M70" s="311"/>
      <c r="N70" s="311"/>
      <c r="O70" s="311"/>
      <c r="P70" s="311"/>
      <c r="Q70" s="311"/>
      <c r="R70" s="311"/>
      <c r="S70" s="311"/>
      <c r="T70" s="311"/>
      <c r="U70" s="311"/>
      <c r="V70" s="311"/>
      <c r="W70" s="311"/>
      <c r="X70" s="311"/>
      <c r="Y70" s="311"/>
      <c r="Z70" s="311"/>
      <c r="AA70" s="311"/>
      <c r="AB70" s="311"/>
      <c r="AC70" s="311"/>
      <c r="AD70" s="311"/>
      <c r="AE70" s="152">
        <f>AE58/$N58</f>
        <v>0</v>
      </c>
      <c r="AF70" s="152">
        <f>AF58/$N58</f>
        <v>0</v>
      </c>
      <c r="AG70" s="311"/>
      <c r="AH70" s="311"/>
      <c r="AI70" s="311"/>
      <c r="AJ70" s="311"/>
      <c r="AK70" s="311"/>
      <c r="AL70" s="311"/>
      <c r="AM70" s="311"/>
      <c r="AN70" s="311"/>
      <c r="AO70" s="311"/>
      <c r="AP70" s="311"/>
      <c r="AQ70" s="311"/>
      <c r="AR70" s="311"/>
      <c r="AS70" s="311"/>
      <c r="AT70" s="311"/>
      <c r="AU70" s="311"/>
      <c r="AV70" s="311"/>
      <c r="AW70" s="311"/>
      <c r="AX70" s="311"/>
      <c r="AY70" s="311"/>
      <c r="AZ70" s="311"/>
      <c r="BA70" s="311"/>
      <c r="BB70" s="311"/>
      <c r="BC70" s="311"/>
      <c r="BD70" s="311"/>
      <c r="BE70" s="311"/>
      <c r="BF70" s="248"/>
      <c r="BG70" s="248"/>
    </row>
    <row r="71" spans="3:59" ht="13.5" customHeight="1" x14ac:dyDescent="0.2">
      <c r="C71" s="17" t="s">
        <v>282</v>
      </c>
      <c r="D71" s="311"/>
      <c r="E71" s="311"/>
      <c r="F71" s="311"/>
      <c r="G71" s="311"/>
      <c r="H71" s="311"/>
      <c r="I71" s="311"/>
      <c r="J71" s="311"/>
      <c r="K71" s="311"/>
      <c r="L71" s="311"/>
      <c r="M71" s="311"/>
      <c r="N71" s="311"/>
      <c r="O71" s="311"/>
      <c r="P71" s="311"/>
      <c r="Q71" s="311"/>
      <c r="R71" s="311"/>
      <c r="S71" s="311"/>
      <c r="T71" s="311"/>
      <c r="U71" s="311"/>
      <c r="V71" s="311"/>
      <c r="W71" s="311"/>
      <c r="X71" s="311"/>
      <c r="Y71" s="311"/>
      <c r="Z71" s="311"/>
      <c r="AA71" s="311"/>
      <c r="AB71" s="311"/>
      <c r="AC71" s="311"/>
      <c r="AD71" s="311"/>
      <c r="AE71" s="38"/>
      <c r="AF71" s="38"/>
      <c r="AG71" s="311"/>
      <c r="AH71" s="311"/>
      <c r="AI71" s="311"/>
      <c r="AJ71" s="311"/>
      <c r="AK71" s="311"/>
      <c r="AL71" s="311"/>
      <c r="AM71" s="311"/>
      <c r="AN71" s="311"/>
      <c r="AO71" s="311"/>
      <c r="AP71" s="311"/>
      <c r="AQ71" s="311"/>
      <c r="AR71" s="311"/>
      <c r="AS71" s="311"/>
      <c r="AT71" s="311"/>
      <c r="AU71" s="311"/>
      <c r="AV71" s="311"/>
      <c r="AW71" s="311"/>
      <c r="AX71" s="311"/>
      <c r="AY71" s="311"/>
      <c r="AZ71" s="311"/>
      <c r="BA71" s="311"/>
      <c r="BB71" s="311"/>
      <c r="BC71" s="311"/>
      <c r="BD71" s="311"/>
      <c r="BE71" s="311"/>
      <c r="BF71" s="248"/>
      <c r="BG71" s="248"/>
    </row>
    <row r="72" spans="3:59" ht="12.75" customHeight="1" x14ac:dyDescent="0.2">
      <c r="C72" s="77" t="s">
        <v>288</v>
      </c>
      <c r="D72" s="311" t="s">
        <v>82</v>
      </c>
      <c r="E72" s="311" t="s">
        <v>83</v>
      </c>
      <c r="F72" s="311" t="s">
        <v>84</v>
      </c>
      <c r="G72" s="311" t="s">
        <v>85</v>
      </c>
      <c r="H72" s="311" t="s">
        <v>86</v>
      </c>
      <c r="I72" s="311" t="s">
        <v>87</v>
      </c>
      <c r="J72" s="311" t="s">
        <v>88</v>
      </c>
      <c r="K72" s="311" t="s">
        <v>89</v>
      </c>
      <c r="L72" s="311" t="s">
        <v>90</v>
      </c>
      <c r="M72" s="311" t="s">
        <v>91</v>
      </c>
      <c r="N72" s="311" t="s">
        <v>92</v>
      </c>
      <c r="O72" s="311" t="s">
        <v>93</v>
      </c>
      <c r="P72" s="311" t="s">
        <v>94</v>
      </c>
      <c r="Q72" s="311" t="s">
        <v>95</v>
      </c>
      <c r="R72" s="311" t="s">
        <v>96</v>
      </c>
      <c r="S72" s="311" t="s">
        <v>97</v>
      </c>
      <c r="T72" s="311" t="s">
        <v>98</v>
      </c>
      <c r="U72" s="311" t="s">
        <v>99</v>
      </c>
      <c r="V72" s="311" t="s">
        <v>100</v>
      </c>
      <c r="W72" s="311" t="s">
        <v>101</v>
      </c>
      <c r="X72" s="311" t="s">
        <v>102</v>
      </c>
      <c r="Y72" s="311" t="s">
        <v>103</v>
      </c>
      <c r="Z72" s="311" t="s">
        <v>104</v>
      </c>
      <c r="AA72" s="311" t="s">
        <v>105</v>
      </c>
      <c r="AB72" s="311" t="s">
        <v>106</v>
      </c>
      <c r="AC72" s="311" t="s">
        <v>107</v>
      </c>
      <c r="AD72" s="311" t="s">
        <v>108</v>
      </c>
      <c r="AE72" s="38" t="s">
        <v>322</v>
      </c>
      <c r="AF72" s="38" t="s">
        <v>321</v>
      </c>
      <c r="AG72" s="311" t="s">
        <v>109</v>
      </c>
      <c r="AH72" s="311" t="s">
        <v>110</v>
      </c>
      <c r="AI72" s="311" t="s">
        <v>111</v>
      </c>
      <c r="AJ72" s="311" t="s">
        <v>112</v>
      </c>
      <c r="AK72" s="311" t="s">
        <v>113</v>
      </c>
      <c r="AL72" s="311" t="s">
        <v>114</v>
      </c>
      <c r="AM72" s="311" t="s">
        <v>115</v>
      </c>
      <c r="AN72" s="311" t="s">
        <v>116</v>
      </c>
      <c r="AO72" s="311" t="s">
        <v>117</v>
      </c>
      <c r="AP72" s="311" t="s">
        <v>118</v>
      </c>
      <c r="AQ72" s="311" t="s">
        <v>119</v>
      </c>
      <c r="AR72" s="311" t="s">
        <v>120</v>
      </c>
      <c r="AS72" s="311" t="s">
        <v>121</v>
      </c>
      <c r="AT72" s="311" t="s">
        <v>122</v>
      </c>
      <c r="AU72" s="311" t="s">
        <v>123</v>
      </c>
      <c r="AV72" s="311" t="s">
        <v>124</v>
      </c>
      <c r="AW72" s="311" t="s">
        <v>125</v>
      </c>
      <c r="AX72" s="311" t="s">
        <v>585</v>
      </c>
      <c r="AY72" s="311" t="s">
        <v>126</v>
      </c>
      <c r="AZ72" s="311" t="s">
        <v>127</v>
      </c>
      <c r="BA72" s="311" t="s">
        <v>128</v>
      </c>
      <c r="BB72" s="311" t="s">
        <v>129</v>
      </c>
      <c r="BC72" s="311" t="s">
        <v>130</v>
      </c>
      <c r="BD72" s="311" t="s">
        <v>131</v>
      </c>
      <c r="BE72" s="311" t="s">
        <v>81</v>
      </c>
      <c r="BF72" s="248"/>
      <c r="BG72" s="248"/>
    </row>
    <row r="73" spans="3:59" ht="17" x14ac:dyDescent="0.2">
      <c r="C73" s="6" t="s">
        <v>76</v>
      </c>
      <c r="D73" s="311">
        <v>9.8485943961515998E-2</v>
      </c>
      <c r="E73" s="311">
        <v>8.0878923455222781E-2</v>
      </c>
      <c r="F73" s="311">
        <v>0.12779694526327762</v>
      </c>
      <c r="G73" s="311">
        <v>0.14410525266423099</v>
      </c>
      <c r="H73" s="311">
        <v>0.12544292218768074</v>
      </c>
      <c r="I73" s="311">
        <v>0.19369360291136922</v>
      </c>
      <c r="J73" s="311">
        <v>9.5296988226094378E-2</v>
      </c>
      <c r="K73" s="311">
        <v>0.12260616027841562</v>
      </c>
      <c r="L73" s="311">
        <v>5.1871518470037778E-2</v>
      </c>
      <c r="M73" s="311">
        <v>9.7291051380664545E-2</v>
      </c>
      <c r="N73" s="311">
        <v>0.13211817855200586</v>
      </c>
      <c r="O73" s="311">
        <v>7.9016760732302363E-2</v>
      </c>
      <c r="P73" s="311">
        <v>0.16005040141288321</v>
      </c>
      <c r="Q73" s="311">
        <v>0.13784930280981939</v>
      </c>
      <c r="R73" s="311">
        <v>9.5602500504997509E-2</v>
      </c>
      <c r="S73" s="311">
        <v>0.15941025737152023</v>
      </c>
      <c r="T73" s="311">
        <v>0.15260176974534184</v>
      </c>
      <c r="U73" s="311">
        <v>8.2857739385123114E-2</v>
      </c>
      <c r="V73" s="311">
        <v>7.5225256516473493E-2</v>
      </c>
      <c r="W73" s="311">
        <v>8.771532695911477E-2</v>
      </c>
      <c r="X73" s="311">
        <v>9.820856242050352E-2</v>
      </c>
      <c r="Y73" s="311">
        <v>6.1590929405221762E-2</v>
      </c>
      <c r="Z73" s="311">
        <v>0.10403476958358697</v>
      </c>
      <c r="AA73" s="311">
        <v>0.17917583837754822</v>
      </c>
      <c r="AB73" s="311">
        <v>9.7060223923371297E-2</v>
      </c>
      <c r="AC73" s="311">
        <v>0.10783378826068166</v>
      </c>
      <c r="AD73" s="311">
        <v>0.11167354618124413</v>
      </c>
      <c r="AE73" s="38">
        <f>'User Add-in Location'!B77</f>
        <v>0</v>
      </c>
      <c r="AF73" s="38">
        <f>'User Add-in Location'!C77</f>
        <v>0</v>
      </c>
      <c r="AG73" s="311">
        <v>0.18319680500201041</v>
      </c>
      <c r="AH73" s="311">
        <v>7.6520928624617943E-2</v>
      </c>
      <c r="AI73" s="311">
        <v>8.6972855699965657E-2</v>
      </c>
      <c r="AJ73" s="311">
        <v>8.0143815841219782E-2</v>
      </c>
      <c r="AK73" s="311">
        <v>0.10026032939966661</v>
      </c>
      <c r="AL73" s="311">
        <v>0.12075706822952735</v>
      </c>
      <c r="AM73" s="311">
        <v>0.12933808197032615</v>
      </c>
      <c r="AN73" s="311">
        <v>0.11819244888421207</v>
      </c>
      <c r="AO73" s="311">
        <v>0.11022062123737349</v>
      </c>
      <c r="AP73" s="311">
        <v>0.12723905171709152</v>
      </c>
      <c r="AQ73" s="311">
        <v>0.12207536011843376</v>
      </c>
      <c r="AR73" s="311">
        <v>0.1117423403590202</v>
      </c>
      <c r="AS73" s="311">
        <v>4.7691445464746934E-2</v>
      </c>
      <c r="AT73" s="311">
        <v>8.34394562413803E-2</v>
      </c>
      <c r="AU73" s="311">
        <v>0.14690114133683749</v>
      </c>
      <c r="AV73" s="311">
        <v>9.5149046367539639E-2</v>
      </c>
      <c r="AW73" s="311">
        <v>0.14051010900475558</v>
      </c>
      <c r="AX73" s="311">
        <v>0.26709775396993218</v>
      </c>
      <c r="AY73" s="311">
        <v>0.11224947229109378</v>
      </c>
      <c r="AZ73" s="311">
        <v>0.1266940589027078</v>
      </c>
      <c r="BA73" s="311">
        <v>0.10010082844024745</v>
      </c>
      <c r="BB73" s="311">
        <v>0.10776403081207037</v>
      </c>
      <c r="BC73" s="311">
        <v>6.6690796388880133E-2</v>
      </c>
      <c r="BD73" s="311">
        <v>0.14756480235994834</v>
      </c>
      <c r="BE73" s="311">
        <v>8.4960825297258721E-2</v>
      </c>
      <c r="BF73" s="248"/>
      <c r="BG73" s="248"/>
    </row>
    <row r="74" spans="3:59" ht="17" x14ac:dyDescent="0.2">
      <c r="C74" s="6" t="s">
        <v>148</v>
      </c>
      <c r="D74" s="311">
        <v>6.502747143812973E-2</v>
      </c>
      <c r="E74" s="311">
        <v>3.6980053517065556E-2</v>
      </c>
      <c r="F74" s="311">
        <v>9.9859522021160413E-2</v>
      </c>
      <c r="G74" s="311">
        <v>6.3717156326421137E-2</v>
      </c>
      <c r="H74" s="311">
        <v>9.3884851481954787E-2</v>
      </c>
      <c r="I74" s="311">
        <v>0.10594371750827583</v>
      </c>
      <c r="J74" s="311">
        <v>0.10847578925098492</v>
      </c>
      <c r="K74" s="311">
        <v>0.17920613656155601</v>
      </c>
      <c r="L74" s="311">
        <v>0.48837668882234708</v>
      </c>
      <c r="M74" s="311">
        <v>0.13355958293614914</v>
      </c>
      <c r="N74" s="311">
        <v>7.8080986557407472E-2</v>
      </c>
      <c r="O74" s="311">
        <v>7.685457910531665E-2</v>
      </c>
      <c r="P74" s="311">
        <v>7.0960381946923168E-2</v>
      </c>
      <c r="Q74" s="311">
        <v>0.13950501595096484</v>
      </c>
      <c r="R74" s="311">
        <v>8.8951160025686538E-2</v>
      </c>
      <c r="S74" s="311">
        <v>8.1932101199369708E-2</v>
      </c>
      <c r="T74" s="311">
        <v>0.19667678834171481</v>
      </c>
      <c r="U74" s="311">
        <v>8.7309988127413529E-2</v>
      </c>
      <c r="V74" s="311">
        <v>0.11568668244636993</v>
      </c>
      <c r="W74" s="311">
        <v>0.11731766530747287</v>
      </c>
      <c r="X74" s="311">
        <v>0.11557911153668377</v>
      </c>
      <c r="Y74" s="311">
        <v>0.18529591907072868</v>
      </c>
      <c r="Z74" s="311">
        <v>0.10333052965313462</v>
      </c>
      <c r="AA74" s="311">
        <v>9.7693716051738225E-2</v>
      </c>
      <c r="AB74" s="311">
        <v>0.11287486988113385</v>
      </c>
      <c r="AC74" s="311">
        <v>9.5234926876640966E-2</v>
      </c>
      <c r="AD74" s="311">
        <v>9.9489975737440103E-2</v>
      </c>
      <c r="AE74" s="38">
        <f>'User Add-in Location'!B78</f>
        <v>0</v>
      </c>
      <c r="AF74" s="38">
        <f>'User Add-in Location'!C78</f>
        <v>0</v>
      </c>
      <c r="AG74" s="311">
        <v>9.9343092536394798E-2</v>
      </c>
      <c r="AH74" s="311">
        <v>8.2562793164478981E-2</v>
      </c>
      <c r="AI74" s="311">
        <v>0.13204994056172864</v>
      </c>
      <c r="AJ74" s="311">
        <v>0.14442955134669455</v>
      </c>
      <c r="AK74" s="311">
        <v>5.8866015390801649E-2</v>
      </c>
      <c r="AL74" s="311">
        <v>0.16078324881132691</v>
      </c>
      <c r="AM74" s="311">
        <v>9.9219157531208177E-2</v>
      </c>
      <c r="AN74" s="311">
        <v>7.3516262100619734E-2</v>
      </c>
      <c r="AO74" s="311">
        <v>7.0768014968368737E-2</v>
      </c>
      <c r="AP74" s="311">
        <v>0.11461955406330326</v>
      </c>
      <c r="AQ74" s="311">
        <v>0.12078106714461273</v>
      </c>
      <c r="AR74" s="311">
        <v>7.554277574681037E-2</v>
      </c>
      <c r="AS74" s="311">
        <v>9.4370970464893608E-2</v>
      </c>
      <c r="AT74" s="311">
        <v>6.9675023609743883E-2</v>
      </c>
      <c r="AU74" s="311">
        <v>9.4130256027535886E-2</v>
      </c>
      <c r="AV74" s="311">
        <v>0.10725768338812934</v>
      </c>
      <c r="AW74" s="311">
        <v>8.6554239044186715E-2</v>
      </c>
      <c r="AX74" s="311">
        <v>0.14599272003792266</v>
      </c>
      <c r="AY74" s="311">
        <v>9.1237762373266029E-2</v>
      </c>
      <c r="AZ74" s="311">
        <v>4.8689636055282176E-2</v>
      </c>
      <c r="BA74" s="311">
        <v>9.9842455725984353E-2</v>
      </c>
      <c r="BB74" s="311">
        <v>0.13165027754514963</v>
      </c>
      <c r="BC74" s="311">
        <v>7.5336658614021723E-2</v>
      </c>
      <c r="BD74" s="311">
        <v>6.6958393021967877E-2</v>
      </c>
      <c r="BE74" s="311">
        <v>7.3491054396777389E-2</v>
      </c>
      <c r="BF74" s="248"/>
      <c r="BG74" s="248"/>
    </row>
    <row r="75" spans="3:59" ht="17" x14ac:dyDescent="0.2">
      <c r="C75" s="6" t="s">
        <v>77</v>
      </c>
      <c r="D75" s="311">
        <v>0.10311820800381326</v>
      </c>
      <c r="E75" s="311">
        <v>7.8627131736575581E-2</v>
      </c>
      <c r="F75" s="311">
        <v>0.11669150806728312</v>
      </c>
      <c r="G75" s="311">
        <v>0.10074130060718733</v>
      </c>
      <c r="H75" s="311">
        <v>0.13994466173553438</v>
      </c>
      <c r="I75" s="311">
        <v>0.13184975909280278</v>
      </c>
      <c r="J75" s="311">
        <v>0.13108753648059765</v>
      </c>
      <c r="K75" s="311">
        <v>9.0330006346529948E-2</v>
      </c>
      <c r="L75" s="311">
        <v>6.7896429833256278E-2</v>
      </c>
      <c r="M75" s="311">
        <v>0.12651525560329047</v>
      </c>
      <c r="N75" s="311">
        <v>0.12189084693927298</v>
      </c>
      <c r="O75" s="311">
        <v>7.2878446098174857E-2</v>
      </c>
      <c r="P75" s="311">
        <v>0.10096628489680405</v>
      </c>
      <c r="Q75" s="311">
        <v>0.12285874567340388</v>
      </c>
      <c r="R75" s="311">
        <v>0.1028639889518607</v>
      </c>
      <c r="S75" s="311">
        <v>9.1075006911938983E-2</v>
      </c>
      <c r="T75" s="311">
        <v>0.10371912234734533</v>
      </c>
      <c r="U75" s="311">
        <v>9.3665521120157719E-2</v>
      </c>
      <c r="V75" s="311">
        <v>9.7330484453910307E-2</v>
      </c>
      <c r="W75" s="311">
        <v>0.12162043474593293</v>
      </c>
      <c r="X75" s="311">
        <v>0.10032767924366531</v>
      </c>
      <c r="Y75" s="311">
        <v>0.1337123161446572</v>
      </c>
      <c r="Z75" s="311">
        <v>0.11636846603136361</v>
      </c>
      <c r="AA75" s="311">
        <v>0.13606508630124342</v>
      </c>
      <c r="AB75" s="311">
        <v>8.8632451274234178E-2</v>
      </c>
      <c r="AC75" s="311">
        <v>0.12140466606013234</v>
      </c>
      <c r="AD75" s="311">
        <v>0.1019141117941839</v>
      </c>
      <c r="AE75" s="38">
        <f>'User Add-in Location'!B79</f>
        <v>0</v>
      </c>
      <c r="AF75" s="38">
        <f>'User Add-in Location'!C79</f>
        <v>0</v>
      </c>
      <c r="AG75" s="311">
        <v>0.11221422369494827</v>
      </c>
      <c r="AH75" s="311">
        <v>8.2904549904314132E-2</v>
      </c>
      <c r="AI75" s="311">
        <v>0.14554030827444456</v>
      </c>
      <c r="AJ75" s="311">
        <v>0.11877553652019784</v>
      </c>
      <c r="AK75" s="311">
        <v>8.5422798796177382E-2</v>
      </c>
      <c r="AL75" s="311">
        <v>0.11427386718396564</v>
      </c>
      <c r="AM75" s="311">
        <v>0.12448815804562509</v>
      </c>
      <c r="AN75" s="311">
        <v>8.6354285541463349E-2</v>
      </c>
      <c r="AO75" s="311">
        <v>0.12176475877869615</v>
      </c>
      <c r="AP75" s="311">
        <v>0.1215915564202158</v>
      </c>
      <c r="AQ75" s="311">
        <v>0.11233342956232188</v>
      </c>
      <c r="AR75" s="311">
        <v>0.12443489976550212</v>
      </c>
      <c r="AS75" s="311">
        <v>0.10338773811530505</v>
      </c>
      <c r="AT75" s="311">
        <v>9.0974746650990576E-2</v>
      </c>
      <c r="AU75" s="311">
        <v>0.10087551878873813</v>
      </c>
      <c r="AV75" s="311">
        <v>0.1269139572569554</v>
      </c>
      <c r="AW75" s="311">
        <v>0.14048720640020521</v>
      </c>
      <c r="AX75" s="311">
        <v>0.22948787810707588</v>
      </c>
      <c r="AY75" s="311">
        <v>0.11309802272452436</v>
      </c>
      <c r="AZ75" s="311">
        <v>0.12006091499040025</v>
      </c>
      <c r="BA75" s="311">
        <v>0.10395889549330828</v>
      </c>
      <c r="BB75" s="311">
        <v>0.10199794341990724</v>
      </c>
      <c r="BC75" s="311">
        <v>6.6297261150710732E-2</v>
      </c>
      <c r="BD75" s="311">
        <v>0.1104623654753086</v>
      </c>
      <c r="BE75" s="311">
        <v>6.7163876147382243E-2</v>
      </c>
      <c r="BF75" s="248"/>
      <c r="BG75" s="248"/>
    </row>
    <row r="76" spans="3:59" ht="17" x14ac:dyDescent="0.2">
      <c r="C76" s="6" t="s">
        <v>149</v>
      </c>
      <c r="D76" s="311">
        <v>9.503754792994526E-2</v>
      </c>
      <c r="E76" s="311">
        <v>0.10246454765683793</v>
      </c>
      <c r="F76" s="311">
        <v>0.12105211090551496</v>
      </c>
      <c r="G76" s="311">
        <v>0.10554621234773293</v>
      </c>
      <c r="H76" s="311">
        <v>0.1593315266312047</v>
      </c>
      <c r="I76" s="311">
        <v>0.15702158928969054</v>
      </c>
      <c r="J76" s="311">
        <v>0.1060108048433928</v>
      </c>
      <c r="K76" s="311">
        <v>9.7906884362446489E-2</v>
      </c>
      <c r="L76" s="311">
        <v>6.6993163345358736E-2</v>
      </c>
      <c r="M76" s="311">
        <v>0.1275137882085815</v>
      </c>
      <c r="N76" s="311">
        <v>0.11732051955371017</v>
      </c>
      <c r="O76" s="311">
        <v>0.10798543097405225</v>
      </c>
      <c r="P76" s="311">
        <v>0.11924889599951496</v>
      </c>
      <c r="Q76" s="311">
        <v>0.1280270870381455</v>
      </c>
      <c r="R76" s="311">
        <v>9.1589309502493985E-2</v>
      </c>
      <c r="S76" s="311">
        <v>0.10262212154597845</v>
      </c>
      <c r="T76" s="311">
        <v>0.11986716489488791</v>
      </c>
      <c r="U76" s="311">
        <v>9.044347921536286E-2</v>
      </c>
      <c r="V76" s="311">
        <v>0.10723747875814076</v>
      </c>
      <c r="W76" s="311">
        <v>0.1052457534814159</v>
      </c>
      <c r="X76" s="311">
        <v>8.5452240605170954E-2</v>
      </c>
      <c r="Y76" s="311">
        <v>0.12033179120277104</v>
      </c>
      <c r="Z76" s="311">
        <v>0.11466236858165778</v>
      </c>
      <c r="AA76" s="311">
        <v>0.14328861379365798</v>
      </c>
      <c r="AB76" s="311">
        <v>8.904271723158444E-2</v>
      </c>
      <c r="AC76" s="311">
        <v>0.11045730407051961</v>
      </c>
      <c r="AD76" s="311">
        <v>0.10758780558332355</v>
      </c>
      <c r="AE76" s="38">
        <f>'User Add-in Location'!B80</f>
        <v>0</v>
      </c>
      <c r="AF76" s="38">
        <f>'User Add-in Location'!C80</f>
        <v>0</v>
      </c>
      <c r="AG76" s="311">
        <v>0.12388221291747782</v>
      </c>
      <c r="AH76" s="311">
        <v>8.1957154732706164E-2</v>
      </c>
      <c r="AI76" s="311">
        <v>0.10252184377828491</v>
      </c>
      <c r="AJ76" s="311">
        <v>0.1205969027226638</v>
      </c>
      <c r="AK76" s="311">
        <v>9.8475090473289464E-2</v>
      </c>
      <c r="AL76" s="311">
        <v>0.1214297723498958</v>
      </c>
      <c r="AM76" s="311">
        <v>0.10293428293721213</v>
      </c>
      <c r="AN76" s="311">
        <v>0.11795988948586686</v>
      </c>
      <c r="AO76" s="311">
        <v>0.11926074021490425</v>
      </c>
      <c r="AP76" s="311">
        <v>0.14488568856211753</v>
      </c>
      <c r="AQ76" s="311">
        <v>0.12571879971756025</v>
      </c>
      <c r="AR76" s="311">
        <v>0.13032800028296798</v>
      </c>
      <c r="AS76" s="311">
        <v>9.6170501357113206E-2</v>
      </c>
      <c r="AT76" s="311">
        <v>8.2788692506574516E-2</v>
      </c>
      <c r="AU76" s="311">
        <v>0.10768992411706513</v>
      </c>
      <c r="AV76" s="311">
        <v>0.10787611095201811</v>
      </c>
      <c r="AW76" s="311">
        <v>0.17139746809220557</v>
      </c>
      <c r="AX76" s="311">
        <v>0.28598677946933992</v>
      </c>
      <c r="AY76" s="311">
        <v>0.12486622070276759</v>
      </c>
      <c r="AZ76" s="311">
        <v>0.10753513023426799</v>
      </c>
      <c r="BA76" s="311">
        <v>9.218431371452504E-2</v>
      </c>
      <c r="BB76" s="311">
        <v>0.12444744713023392</v>
      </c>
      <c r="BC76" s="311">
        <v>7.6030601672136128E-2</v>
      </c>
      <c r="BD76" s="311">
        <v>0.12105510251040799</v>
      </c>
      <c r="BE76" s="311">
        <v>9.0762625080096734E-2</v>
      </c>
      <c r="BF76" s="248"/>
      <c r="BG76" s="248"/>
    </row>
    <row r="77" spans="3:59" ht="17" x14ac:dyDescent="0.2">
      <c r="C77" s="6" t="s">
        <v>150</v>
      </c>
      <c r="D77" s="311">
        <v>8.7586911103115034E-2</v>
      </c>
      <c r="E77" s="311">
        <v>8.7468152474312402E-2</v>
      </c>
      <c r="F77" s="311">
        <v>0.1201292343142138</v>
      </c>
      <c r="G77" s="311">
        <v>7.6585290484921867E-2</v>
      </c>
      <c r="H77" s="311">
        <v>0.17014724874098858</v>
      </c>
      <c r="I77" s="311">
        <v>0.13748254058504561</v>
      </c>
      <c r="J77" s="311">
        <v>0.11457150024188445</v>
      </c>
      <c r="K77" s="311">
        <v>8.9903995325931629E-2</v>
      </c>
      <c r="L77" s="311">
        <v>0</v>
      </c>
      <c r="M77" s="311">
        <v>0.12527233945638147</v>
      </c>
      <c r="N77" s="311">
        <v>0.11126209491204142</v>
      </c>
      <c r="O77" s="311">
        <v>8.7655413829998988E-2</v>
      </c>
      <c r="P77" s="311">
        <v>9.4265171724746619E-2</v>
      </c>
      <c r="Q77" s="311">
        <v>0.13088515546576066</v>
      </c>
      <c r="R77" s="311">
        <v>9.4234496042384805E-2</v>
      </c>
      <c r="S77" s="311">
        <v>8.4933600662948597E-2</v>
      </c>
      <c r="T77" s="311">
        <v>9.2204200726191718E-2</v>
      </c>
      <c r="U77" s="311">
        <v>8.3038621369964011E-2</v>
      </c>
      <c r="V77" s="311">
        <v>8.2849810835404089E-2</v>
      </c>
      <c r="W77" s="311">
        <v>9.0023404069171448E-2</v>
      </c>
      <c r="X77" s="311">
        <v>9.9619041055470189E-2</v>
      </c>
      <c r="Y77" s="311">
        <v>0.1227774011278292</v>
      </c>
      <c r="Z77" s="311">
        <v>0.11485301142696139</v>
      </c>
      <c r="AA77" s="311">
        <v>0.13813607526375671</v>
      </c>
      <c r="AB77" s="311">
        <v>7.282393989471321E-2</v>
      </c>
      <c r="AC77" s="311">
        <v>0.10473751397153332</v>
      </c>
      <c r="AD77" s="311">
        <v>8.9566424317555751E-2</v>
      </c>
      <c r="AE77" s="38">
        <f>'User Add-in Location'!B81</f>
        <v>0</v>
      </c>
      <c r="AF77" s="38">
        <f>'User Add-in Location'!C81</f>
        <v>0</v>
      </c>
      <c r="AG77" s="311">
        <v>9.5645103286731287E-2</v>
      </c>
      <c r="AH77" s="311">
        <v>7.6332895520757352E-2</v>
      </c>
      <c r="AI77" s="311">
        <v>0.10582547449584032</v>
      </c>
      <c r="AJ77" s="311">
        <v>0.12487994962344566</v>
      </c>
      <c r="AK77" s="311">
        <v>7.6940352426245306E-2</v>
      </c>
      <c r="AL77" s="311">
        <v>0.12257332894212122</v>
      </c>
      <c r="AM77" s="311">
        <v>0.11340538029099587</v>
      </c>
      <c r="AN77" s="311">
        <v>8.9348827799802036E-2</v>
      </c>
      <c r="AO77" s="311">
        <v>0.11637431444204774</v>
      </c>
      <c r="AP77" s="311">
        <v>9.7902725913831437E-2</v>
      </c>
      <c r="AQ77" s="311">
        <v>0.11349158612417738</v>
      </c>
      <c r="AR77" s="311">
        <v>0.12946000447812289</v>
      </c>
      <c r="AS77" s="311">
        <v>0.111044276205954</v>
      </c>
      <c r="AT77" s="311">
        <v>7.1054016422666497E-2</v>
      </c>
      <c r="AU77" s="311">
        <v>8.3633898655498473E-2</v>
      </c>
      <c r="AV77" s="311">
        <v>0.10777903993132013</v>
      </c>
      <c r="AW77" s="311">
        <v>0.14618305712964827</v>
      </c>
      <c r="AX77" s="311">
        <v>0.27293074804001738</v>
      </c>
      <c r="AY77" s="311">
        <v>0.12445574094986611</v>
      </c>
      <c r="AZ77" s="311">
        <v>8.7443284946263647E-2</v>
      </c>
      <c r="BA77" s="311">
        <v>9.1158733101805695E-2</v>
      </c>
      <c r="BB77" s="311">
        <v>0.11251816543903323</v>
      </c>
      <c r="BC77" s="311">
        <v>7.1798993967585517E-2</v>
      </c>
      <c r="BD77" s="311">
        <v>0.10995611502320843</v>
      </c>
      <c r="BE77" s="311">
        <v>6.3956014849135628E-2</v>
      </c>
      <c r="BF77" s="248"/>
      <c r="BG77" s="248"/>
    </row>
    <row r="78" spans="3:59" ht="17" x14ac:dyDescent="0.2">
      <c r="C78" s="6" t="s">
        <v>151</v>
      </c>
      <c r="D78" s="311">
        <v>9.4274487714014879E-2</v>
      </c>
      <c r="E78" s="311">
        <v>6.7393145624312603E-2</v>
      </c>
      <c r="F78" s="311">
        <v>0.10686079073303147</v>
      </c>
      <c r="G78" s="311">
        <v>8.8549730271600832E-2</v>
      </c>
      <c r="H78" s="311">
        <v>0.14989789037616716</v>
      </c>
      <c r="I78" s="311">
        <v>0.14100818570419835</v>
      </c>
      <c r="J78" s="311">
        <v>0.1121448691482369</v>
      </c>
      <c r="K78" s="311">
        <v>7.313645696749263E-2</v>
      </c>
      <c r="L78" s="311">
        <v>8.5833471816490883E-2</v>
      </c>
      <c r="M78" s="311">
        <v>0.12841836625447356</v>
      </c>
      <c r="N78" s="311">
        <v>0.10690178872131885</v>
      </c>
      <c r="O78" s="311">
        <v>0.11150335752625239</v>
      </c>
      <c r="P78" s="311">
        <v>9.8118393376330881E-2</v>
      </c>
      <c r="Q78" s="311">
        <v>0.11671408247605053</v>
      </c>
      <c r="R78" s="311">
        <v>0.10335284903801804</v>
      </c>
      <c r="S78" s="311">
        <v>7.8876977698264489E-2</v>
      </c>
      <c r="T78" s="311">
        <v>9.5609519139869273E-2</v>
      </c>
      <c r="U78" s="311">
        <v>8.7962565790704592E-2</v>
      </c>
      <c r="V78" s="311">
        <v>8.1142353043114734E-2</v>
      </c>
      <c r="W78" s="311">
        <v>9.5693620384450659E-2</v>
      </c>
      <c r="X78" s="311">
        <v>0.1128786276568</v>
      </c>
      <c r="Y78" s="311">
        <v>0.12530958415671928</v>
      </c>
      <c r="Z78" s="311">
        <v>0.1073447870955079</v>
      </c>
      <c r="AA78" s="311">
        <v>0.13726389132438513</v>
      </c>
      <c r="AB78" s="311">
        <v>7.7150564265810101E-2</v>
      </c>
      <c r="AC78" s="311">
        <v>0.11940481615007885</v>
      </c>
      <c r="AD78" s="311">
        <v>9.931557435689245E-2</v>
      </c>
      <c r="AE78" s="38">
        <f>'User Add-in Location'!B82</f>
        <v>0</v>
      </c>
      <c r="AF78" s="38">
        <f>'User Add-in Location'!C82</f>
        <v>0</v>
      </c>
      <c r="AG78" s="311">
        <v>9.4076973211200787E-2</v>
      </c>
      <c r="AH78" s="311">
        <v>7.9976010729538916E-2</v>
      </c>
      <c r="AI78" s="311">
        <v>9.6615164292994521E-2</v>
      </c>
      <c r="AJ78" s="311">
        <v>0.1211627075634801</v>
      </c>
      <c r="AK78" s="311">
        <v>7.5558072210236679E-2</v>
      </c>
      <c r="AL78" s="311">
        <v>0.11700475489205384</v>
      </c>
      <c r="AM78" s="311">
        <v>0.10102350498223099</v>
      </c>
      <c r="AN78" s="311">
        <v>8.0633286072952795E-2</v>
      </c>
      <c r="AO78" s="311">
        <v>0.11459725684765071</v>
      </c>
      <c r="AP78" s="311">
        <v>0.10225884862884066</v>
      </c>
      <c r="AQ78" s="311">
        <v>0.10871280305129739</v>
      </c>
      <c r="AR78" s="311">
        <v>0.1250364922316051</v>
      </c>
      <c r="AS78" s="311">
        <v>8.7326254061196512E-2</v>
      </c>
      <c r="AT78" s="311">
        <v>8.2243587915296262E-2</v>
      </c>
      <c r="AU78" s="311">
        <v>9.331236524198136E-2</v>
      </c>
      <c r="AV78" s="311">
        <v>0.10820852514322069</v>
      </c>
      <c r="AW78" s="311">
        <v>0.12758176287408277</v>
      </c>
      <c r="AX78" s="311">
        <v>0.28229694914941938</v>
      </c>
      <c r="AY78" s="311">
        <v>0.1310004143503703</v>
      </c>
      <c r="AZ78" s="311">
        <v>7.7862174571291992E-2</v>
      </c>
      <c r="BA78" s="311">
        <v>9.6346128430894296E-2</v>
      </c>
      <c r="BB78" s="311">
        <v>0.11395171266002284</v>
      </c>
      <c r="BC78" s="311">
        <v>6.222928225883316E-2</v>
      </c>
      <c r="BD78" s="311">
        <v>0.11664887705312531</v>
      </c>
      <c r="BE78" s="311">
        <v>7.5377429451800315E-2</v>
      </c>
      <c r="BF78" s="248"/>
      <c r="BG78" s="248"/>
    </row>
    <row r="79" spans="3:59" ht="17" x14ac:dyDescent="0.2">
      <c r="C79" s="6" t="s">
        <v>152</v>
      </c>
      <c r="D79" s="311">
        <v>9.2902100290131573E-2</v>
      </c>
      <c r="E79" s="311">
        <v>0</v>
      </c>
      <c r="F79" s="311">
        <v>0.12180052151258841</v>
      </c>
      <c r="G79" s="311">
        <v>8.770809137050524E-2</v>
      </c>
      <c r="H79" s="311">
        <v>0.16261210367263104</v>
      </c>
      <c r="I79" s="311">
        <v>0.15283339677828886</v>
      </c>
      <c r="J79" s="311">
        <v>0.12466920256433647</v>
      </c>
      <c r="K79" s="311">
        <v>8.7974182244025048E-2</v>
      </c>
      <c r="L79" s="311">
        <v>9.9052609136441996E-2</v>
      </c>
      <c r="M79" s="311">
        <v>0.13120281853240459</v>
      </c>
      <c r="N79" s="311">
        <v>0.12199070383164858</v>
      </c>
      <c r="O79" s="311">
        <v>0.11557335873252704</v>
      </c>
      <c r="P79" s="311">
        <v>0.10405582666124417</v>
      </c>
      <c r="Q79" s="311">
        <v>0.13274947155170189</v>
      </c>
      <c r="R79" s="311">
        <v>8.6600457986091145E-2</v>
      </c>
      <c r="S79" s="311">
        <v>8.7536153984727361E-2</v>
      </c>
      <c r="T79" s="311">
        <v>0.10348382037744155</v>
      </c>
      <c r="U79" s="311">
        <v>9.296858756444798E-2</v>
      </c>
      <c r="V79" s="311">
        <v>9.2302239749974396E-2</v>
      </c>
      <c r="W79" s="311">
        <v>8.9063176332621022E-2</v>
      </c>
      <c r="X79" s="311">
        <v>0.1036767087132822</v>
      </c>
      <c r="Y79" s="311">
        <v>0.15710947938604056</v>
      </c>
      <c r="Z79" s="311">
        <v>0.13140248291677142</v>
      </c>
      <c r="AA79" s="311">
        <v>0.16347244634222216</v>
      </c>
      <c r="AB79" s="311">
        <v>8.6724333794215347E-2</v>
      </c>
      <c r="AC79" s="311">
        <v>8.6172454012407668E-2</v>
      </c>
      <c r="AD79" s="311">
        <v>0.10266350626674103</v>
      </c>
      <c r="AE79" s="38">
        <f>'User Add-in Location'!B83</f>
        <v>0</v>
      </c>
      <c r="AF79" s="38">
        <f>'User Add-in Location'!C83</f>
        <v>0</v>
      </c>
      <c r="AG79" s="311">
        <v>0.10144095380566148</v>
      </c>
      <c r="AH79" s="311">
        <v>9.5192053207915253E-2</v>
      </c>
      <c r="AI79" s="311">
        <v>0.12756139679245848</v>
      </c>
      <c r="AJ79" s="311">
        <v>0.13600925559782198</v>
      </c>
      <c r="AK79" s="311">
        <v>7.8779076858820601E-2</v>
      </c>
      <c r="AL79" s="311">
        <v>0.14452482888523555</v>
      </c>
      <c r="AM79" s="311">
        <v>0.10936645772377848</v>
      </c>
      <c r="AN79" s="311">
        <v>0.10717630036902988</v>
      </c>
      <c r="AO79" s="311">
        <v>0.13212823633583304</v>
      </c>
      <c r="AP79" s="311">
        <v>0.11886365717658287</v>
      </c>
      <c r="AQ79" s="311">
        <v>6.45251784185773E-2</v>
      </c>
      <c r="AR79" s="311">
        <v>0.12613454099271082</v>
      </c>
      <c r="AS79" s="311">
        <v>0.11449644665952362</v>
      </c>
      <c r="AT79" s="311">
        <v>6.4709715486077429E-2</v>
      </c>
      <c r="AU79" s="311">
        <v>0.1039930017023518</v>
      </c>
      <c r="AV79" s="311">
        <v>0.11257243773314454</v>
      </c>
      <c r="AW79" s="311">
        <v>0.13594862999804644</v>
      </c>
      <c r="AX79" s="311">
        <v>0.22271153008437422</v>
      </c>
      <c r="AY79" s="311">
        <v>0.12968846935487616</v>
      </c>
      <c r="AZ79" s="311">
        <v>0.11781984246408567</v>
      </c>
      <c r="BA79" s="311">
        <v>0.11595731594393995</v>
      </c>
      <c r="BB79" s="311">
        <v>0.12638645582833019</v>
      </c>
      <c r="BC79" s="311">
        <v>9.0296141927604656E-2</v>
      </c>
      <c r="BD79" s="311">
        <v>0.12602099005421233</v>
      </c>
      <c r="BE79" s="311">
        <v>0</v>
      </c>
      <c r="BF79" s="248"/>
      <c r="BG79" s="248"/>
    </row>
    <row r="80" spans="3:59" ht="17" x14ac:dyDescent="0.2">
      <c r="C80" s="6" t="s">
        <v>153</v>
      </c>
      <c r="D80" s="311">
        <v>0.14068770942807107</v>
      </c>
      <c r="E80" s="311">
        <v>8.8386673759286383E-2</v>
      </c>
      <c r="F80" s="311">
        <v>0.15452701353151657</v>
      </c>
      <c r="G80" s="311">
        <v>0.13379421720433332</v>
      </c>
      <c r="H80" s="311">
        <v>0.16896161211643923</v>
      </c>
      <c r="I80" s="311">
        <v>0.18757413029296255</v>
      </c>
      <c r="J80" s="311">
        <v>0.15137308045614173</v>
      </c>
      <c r="K80" s="311">
        <v>0.13263594459445729</v>
      </c>
      <c r="L80" s="311">
        <v>0.12830905140086052</v>
      </c>
      <c r="M80" s="311">
        <v>0.15562140902410501</v>
      </c>
      <c r="N80" s="311">
        <v>0.15202743491296641</v>
      </c>
      <c r="O80" s="311">
        <v>0.12334535982104758</v>
      </c>
      <c r="P80" s="311">
        <v>0.13500068122347958</v>
      </c>
      <c r="Q80" s="311">
        <v>0.17165783458798059</v>
      </c>
      <c r="R80" s="311">
        <v>0.14051547992711602</v>
      </c>
      <c r="S80" s="311">
        <v>0.12783016154881799</v>
      </c>
      <c r="T80" s="311">
        <v>0.14239066452922108</v>
      </c>
      <c r="U80" s="311">
        <v>0.13591119798254844</v>
      </c>
      <c r="V80" s="311">
        <v>0.17038567273492808</v>
      </c>
      <c r="W80" s="311">
        <v>0.12746681644130647</v>
      </c>
      <c r="X80" s="311">
        <v>0.1398714951396598</v>
      </c>
      <c r="Y80" s="311">
        <v>0.16994954324912384</v>
      </c>
      <c r="Z80" s="311">
        <v>0.15662676964615349</v>
      </c>
      <c r="AA80" s="311">
        <v>0.18669102113929381</v>
      </c>
      <c r="AB80" s="311">
        <v>0.12673068647468105</v>
      </c>
      <c r="AC80" s="311">
        <v>0.14577059093101691</v>
      </c>
      <c r="AD80" s="311">
        <v>0.14493538691510191</v>
      </c>
      <c r="AE80" s="38">
        <f>'User Add-in Location'!B84</f>
        <v>0</v>
      </c>
      <c r="AF80" s="38">
        <f>'User Add-in Location'!C84</f>
        <v>0</v>
      </c>
      <c r="AG80" s="311">
        <v>0.11382513523693275</v>
      </c>
      <c r="AH80" s="311">
        <v>0.10891888858732815</v>
      </c>
      <c r="AI80" s="311">
        <v>0.13653279308646571</v>
      </c>
      <c r="AJ80" s="311">
        <v>0.15275386965264226</v>
      </c>
      <c r="AK80" s="311">
        <v>0.12445726735864274</v>
      </c>
      <c r="AL80" s="311">
        <v>0.18124596061662945</v>
      </c>
      <c r="AM80" s="311">
        <v>0.1387975847137807</v>
      </c>
      <c r="AN80" s="311">
        <v>0.16153318863592944</v>
      </c>
      <c r="AO80" s="311">
        <v>0.14896119395648269</v>
      </c>
      <c r="AP80" s="311">
        <v>0.21293341601951354</v>
      </c>
      <c r="AQ80" s="311">
        <v>0.1413748430351684</v>
      </c>
      <c r="AR80" s="311">
        <v>0.17488282419208862</v>
      </c>
      <c r="AS80" s="311">
        <v>0.13318708442951396</v>
      </c>
      <c r="AT80" s="311">
        <v>0.12093359684229413</v>
      </c>
      <c r="AU80" s="311">
        <v>0.13458623616571652</v>
      </c>
      <c r="AV80" s="311">
        <v>0.16718856895280634</v>
      </c>
      <c r="AW80" s="311">
        <v>0.20587183088906136</v>
      </c>
      <c r="AX80" s="311">
        <v>0.26387197054264777</v>
      </c>
      <c r="AY80" s="311">
        <v>0.15929733005168134</v>
      </c>
      <c r="AZ80" s="311">
        <v>0.13985155777760891</v>
      </c>
      <c r="BA80" s="311">
        <v>0.14526065082429163</v>
      </c>
      <c r="BB80" s="311">
        <v>0.14546176467326094</v>
      </c>
      <c r="BC80" s="311">
        <v>0.12011754311760903</v>
      </c>
      <c r="BD80" s="311">
        <v>0.14253341782395795</v>
      </c>
      <c r="BE80" s="311">
        <v>0.11513374718320914</v>
      </c>
      <c r="BF80" s="248"/>
      <c r="BG80" s="248"/>
    </row>
    <row r="81" spans="3:59" ht="17" x14ac:dyDescent="0.2">
      <c r="C81" s="6" t="s">
        <v>78</v>
      </c>
      <c r="D81" s="311">
        <v>0.11405036601580562</v>
      </c>
      <c r="E81" s="311">
        <v>0.10025962172349004</v>
      </c>
      <c r="F81" s="311">
        <v>0.14192938968766258</v>
      </c>
      <c r="G81" s="311">
        <v>9.7160919556446873E-2</v>
      </c>
      <c r="H81" s="311">
        <v>0.15753201109315904</v>
      </c>
      <c r="I81" s="311">
        <v>0.15804172516303044</v>
      </c>
      <c r="J81" s="311">
        <v>0.12313609104058597</v>
      </c>
      <c r="K81" s="311">
        <v>0.11289589451086374</v>
      </c>
      <c r="L81" s="311">
        <v>0.12533006707986427</v>
      </c>
      <c r="M81" s="311">
        <v>0.15051013839404909</v>
      </c>
      <c r="N81" s="311">
        <v>0.12990133773717868</v>
      </c>
      <c r="O81" s="311">
        <v>0.13845941986147708</v>
      </c>
      <c r="P81" s="311">
        <v>0.12116678287418547</v>
      </c>
      <c r="Q81" s="311">
        <v>0.14192286289543496</v>
      </c>
      <c r="R81" s="311">
        <v>0.12159830462680749</v>
      </c>
      <c r="S81" s="311">
        <v>0.11006210227574358</v>
      </c>
      <c r="T81" s="311">
        <v>0.1168943535766826</v>
      </c>
      <c r="U81" s="311">
        <v>0.1071383159193995</v>
      </c>
      <c r="V81" s="311">
        <v>0.10905006898798875</v>
      </c>
      <c r="W81" s="311">
        <v>0.12874026106578904</v>
      </c>
      <c r="X81" s="311">
        <v>0.13484227562237266</v>
      </c>
      <c r="Y81" s="311">
        <v>0.1565148510244945</v>
      </c>
      <c r="Z81" s="311">
        <v>0.12942943250249328</v>
      </c>
      <c r="AA81" s="311">
        <v>0.15815294326738866</v>
      </c>
      <c r="AB81" s="311">
        <v>9.3740537470693927E-2</v>
      </c>
      <c r="AC81" s="311">
        <v>0.1364265166492096</v>
      </c>
      <c r="AD81" s="311">
        <v>0.119879243244095</v>
      </c>
      <c r="AE81" s="38">
        <f>'User Add-in Location'!B85</f>
        <v>0</v>
      </c>
      <c r="AF81" s="38">
        <f>'User Add-in Location'!C85</f>
        <v>0</v>
      </c>
      <c r="AG81" s="311">
        <v>0.11472281370167986</v>
      </c>
      <c r="AH81" s="311">
        <v>0.11415534065449566</v>
      </c>
      <c r="AI81" s="311">
        <v>0.13855734907406925</v>
      </c>
      <c r="AJ81" s="311">
        <v>0.14493911336838067</v>
      </c>
      <c r="AK81" s="311">
        <v>0.11100479199500365</v>
      </c>
      <c r="AL81" s="311">
        <v>0.15075849820504778</v>
      </c>
      <c r="AM81" s="311">
        <v>0.13660726099570447</v>
      </c>
      <c r="AN81" s="311">
        <v>0.10506732093234313</v>
      </c>
      <c r="AO81" s="311">
        <v>0.14011416032581531</v>
      </c>
      <c r="AP81" s="311">
        <v>0.11900490165929369</v>
      </c>
      <c r="AQ81" s="311">
        <v>0.14314051567873304</v>
      </c>
      <c r="AR81" s="311">
        <v>0.14383214876282738</v>
      </c>
      <c r="AS81" s="311">
        <v>0.13059182724776644</v>
      </c>
      <c r="AT81" s="311">
        <v>0.11122598739093374</v>
      </c>
      <c r="AU81" s="311">
        <v>0.10853044394924033</v>
      </c>
      <c r="AV81" s="311">
        <v>0.1321229579937255</v>
      </c>
      <c r="AW81" s="311">
        <v>0.12857191153834763</v>
      </c>
      <c r="AX81" s="311">
        <v>0.18401407330463268</v>
      </c>
      <c r="AY81" s="311">
        <v>0.14935048415492932</v>
      </c>
      <c r="AZ81" s="311">
        <v>0.12053734801630819</v>
      </c>
      <c r="BA81" s="311">
        <v>0.13131049315936877</v>
      </c>
      <c r="BB81" s="311">
        <v>0.12360418440148593</v>
      </c>
      <c r="BC81" s="311">
        <v>9.7338101892284659E-2</v>
      </c>
      <c r="BD81" s="311">
        <v>0.13759280622745632</v>
      </c>
      <c r="BE81" s="311">
        <v>7.9248714337241594E-2</v>
      </c>
      <c r="BF81" s="248"/>
      <c r="BG81" s="248"/>
    </row>
    <row r="82" spans="3:59" ht="17" x14ac:dyDescent="0.2">
      <c r="C82" s="6" t="s">
        <v>79</v>
      </c>
      <c r="D82" s="311">
        <v>0.10433058896751997</v>
      </c>
      <c r="E82" s="311">
        <v>0.10362031432699953</v>
      </c>
      <c r="F82" s="311">
        <v>0.13465155407688584</v>
      </c>
      <c r="G82" s="311">
        <v>0.104039591652948</v>
      </c>
      <c r="H82" s="311">
        <v>0.13842740109029744</v>
      </c>
      <c r="I82" s="311">
        <v>0.15672706919065577</v>
      </c>
      <c r="J82" s="311">
        <v>0.14673663232942075</v>
      </c>
      <c r="K82" s="311">
        <v>0.12503332782226972</v>
      </c>
      <c r="L82" s="311">
        <v>0.12852239298244444</v>
      </c>
      <c r="M82" s="311">
        <v>0.14853429361754697</v>
      </c>
      <c r="N82" s="311">
        <v>0.13606924827998321</v>
      </c>
      <c r="O82" s="311">
        <v>0.10025068144051845</v>
      </c>
      <c r="P82" s="311">
        <v>0.10693611165894457</v>
      </c>
      <c r="Q82" s="311">
        <v>0.15686845911690733</v>
      </c>
      <c r="R82" s="311">
        <v>0.12558434861971118</v>
      </c>
      <c r="S82" s="311">
        <v>0.11948436232455251</v>
      </c>
      <c r="T82" s="311">
        <v>0.11721109856183581</v>
      </c>
      <c r="U82" s="311">
        <v>0.11813115836467625</v>
      </c>
      <c r="V82" s="311">
        <v>0.10251606272085041</v>
      </c>
      <c r="W82" s="311">
        <v>0.12408736936343871</v>
      </c>
      <c r="X82" s="311">
        <v>0.13370092581031456</v>
      </c>
      <c r="Y82" s="311">
        <v>0.17404939160113339</v>
      </c>
      <c r="Z82" s="311">
        <v>0.12762823617167929</v>
      </c>
      <c r="AA82" s="311">
        <v>0.16435828446756492</v>
      </c>
      <c r="AB82" s="311">
        <v>8.5930735495721111E-2</v>
      </c>
      <c r="AC82" s="311">
        <v>0.13951627964581151</v>
      </c>
      <c r="AD82" s="311">
        <v>0.12528359497286953</v>
      </c>
      <c r="AE82" s="38">
        <f>'User Add-in Location'!B86</f>
        <v>0</v>
      </c>
      <c r="AF82" s="38">
        <f>'User Add-in Location'!C86</f>
        <v>0</v>
      </c>
      <c r="AG82" s="311">
        <v>0.13460081556658604</v>
      </c>
      <c r="AH82" s="311">
        <v>9.6705009934083444E-2</v>
      </c>
      <c r="AI82" s="311">
        <v>0.14621155461928867</v>
      </c>
      <c r="AJ82" s="311">
        <v>0.15079596329115785</v>
      </c>
      <c r="AK82" s="311">
        <v>9.034559958588817E-2</v>
      </c>
      <c r="AL82" s="311">
        <v>0.14566572533173117</v>
      </c>
      <c r="AM82" s="311">
        <v>0.14127396535368569</v>
      </c>
      <c r="AN82" s="311">
        <v>0.11419903236226088</v>
      </c>
      <c r="AO82" s="311">
        <v>0.13262588549877524</v>
      </c>
      <c r="AP82" s="311">
        <v>0.12991177927880748</v>
      </c>
      <c r="AQ82" s="311">
        <v>0.14546892601080999</v>
      </c>
      <c r="AR82" s="311">
        <v>0.16066601216569781</v>
      </c>
      <c r="AS82" s="311">
        <v>0.13576539548411001</v>
      </c>
      <c r="AT82" s="311">
        <v>0.10895754186511991</v>
      </c>
      <c r="AU82" s="311">
        <v>0.1106592305038365</v>
      </c>
      <c r="AV82" s="311">
        <v>0.13463468926510797</v>
      </c>
      <c r="AW82" s="311">
        <v>0.14505629295225336</v>
      </c>
      <c r="AX82" s="311">
        <v>0.18607067908465336</v>
      </c>
      <c r="AY82" s="311">
        <v>0.14015098388923894</v>
      </c>
      <c r="AZ82" s="311">
        <v>0.11562286688096306</v>
      </c>
      <c r="BA82" s="311">
        <v>0.13512661622250358</v>
      </c>
      <c r="BB82" s="311">
        <v>8.8468517845133418E-2</v>
      </c>
      <c r="BC82" s="311">
        <v>9.3640290457306194E-2</v>
      </c>
      <c r="BD82" s="311">
        <v>0.13750711531080351</v>
      </c>
      <c r="BE82" s="311">
        <v>7.9904559505620226E-2</v>
      </c>
      <c r="BF82" s="248"/>
      <c r="BG82" s="248"/>
    </row>
    <row r="83" spans="3:59" ht="17" x14ac:dyDescent="0.2">
      <c r="C83" s="6" t="s">
        <v>154</v>
      </c>
      <c r="D83" s="311">
        <v>0.12204074910003265</v>
      </c>
      <c r="E83" s="311">
        <v>9.2585148831531849E-2</v>
      </c>
      <c r="F83" s="311">
        <v>0.17012809458764699</v>
      </c>
      <c r="G83" s="311">
        <v>0.10987962899612543</v>
      </c>
      <c r="H83" s="311">
        <v>0.13742937694215626</v>
      </c>
      <c r="I83" s="311">
        <v>0.18585683576158246</v>
      </c>
      <c r="J83" s="311">
        <v>0.17036403401487035</v>
      </c>
      <c r="K83" s="311">
        <v>6.96105754329088E-2</v>
      </c>
      <c r="L83" s="311">
        <v>0.11048273895678966</v>
      </c>
      <c r="M83" s="311">
        <v>0.18283441832699998</v>
      </c>
      <c r="N83" s="311">
        <v>0.12774269573690447</v>
      </c>
      <c r="O83" s="311">
        <v>9.454728868093415E-2</v>
      </c>
      <c r="P83" s="311">
        <v>0.12855847376087898</v>
      </c>
      <c r="Q83" s="311">
        <v>0.1542454968232842</v>
      </c>
      <c r="R83" s="311">
        <v>0.1250018868782973</v>
      </c>
      <c r="S83" s="311">
        <v>0.10657137200407249</v>
      </c>
      <c r="T83" s="311">
        <v>0.12010202205070419</v>
      </c>
      <c r="U83" s="311">
        <v>0.12334326545539163</v>
      </c>
      <c r="V83" s="311">
        <v>0.12303471299464175</v>
      </c>
      <c r="W83" s="311">
        <v>0.12317513264258013</v>
      </c>
      <c r="X83" s="311">
        <v>0.1297023852675625</v>
      </c>
      <c r="Y83" s="311">
        <v>0.16412266104755169</v>
      </c>
      <c r="Z83" s="311">
        <v>0.14298344862854911</v>
      </c>
      <c r="AA83" s="311">
        <v>0.19117249531027714</v>
      </c>
      <c r="AB83" s="311">
        <v>9.8432086533365659E-2</v>
      </c>
      <c r="AC83" s="311">
        <v>0.14381938183655724</v>
      </c>
      <c r="AD83" s="311">
        <v>0.12228893405891364</v>
      </c>
      <c r="AE83" s="38">
        <f>'User Add-in Location'!B87</f>
        <v>0</v>
      </c>
      <c r="AF83" s="38">
        <f>'User Add-in Location'!C87</f>
        <v>0</v>
      </c>
      <c r="AG83" s="311">
        <v>0.1314032136038239</v>
      </c>
      <c r="AH83" s="311">
        <v>0.12625489968111145</v>
      </c>
      <c r="AI83" s="311">
        <v>0.13602454069279657</v>
      </c>
      <c r="AJ83" s="311">
        <v>0.17026421331311209</v>
      </c>
      <c r="AK83" s="311">
        <v>8.9278761377060423E-2</v>
      </c>
      <c r="AL83" s="311">
        <v>0.117194590448098</v>
      </c>
      <c r="AM83" s="311">
        <v>0.12108426809954345</v>
      </c>
      <c r="AN83" s="311">
        <v>0.1318409414231238</v>
      </c>
      <c r="AO83" s="311">
        <v>0.12646796403206656</v>
      </c>
      <c r="AP83" s="311">
        <v>0.1492068191778943</v>
      </c>
      <c r="AQ83" s="311">
        <v>0.12547709809789553</v>
      </c>
      <c r="AR83" s="311">
        <v>0.15752596462591384</v>
      </c>
      <c r="AS83" s="311">
        <v>0.14017574208042333</v>
      </c>
      <c r="AT83" s="311">
        <v>0.1265727352886796</v>
      </c>
      <c r="AU83" s="311">
        <v>0.10381154447047126</v>
      </c>
      <c r="AV83" s="311">
        <v>0.1465562812793931</v>
      </c>
      <c r="AW83" s="311">
        <v>0.19799314787526368</v>
      </c>
      <c r="AX83" s="311">
        <v>0.18684798916180542</v>
      </c>
      <c r="AY83" s="311">
        <v>0.15366870787650705</v>
      </c>
      <c r="AZ83" s="311">
        <v>0.10562144496112291</v>
      </c>
      <c r="BA83" s="311">
        <v>0.12718807227811757</v>
      </c>
      <c r="BB83" s="311">
        <v>0.12015393077787273</v>
      </c>
      <c r="BC83" s="311">
        <v>8.523318027157703E-2</v>
      </c>
      <c r="BD83" s="311">
        <v>0.12938446008344268</v>
      </c>
      <c r="BE83" s="311">
        <v>0.10089535201731467</v>
      </c>
      <c r="BF83" s="248"/>
      <c r="BG83" s="248"/>
    </row>
    <row r="84" spans="3:59" ht="17" x14ac:dyDescent="0.2">
      <c r="C84" s="6" t="s">
        <v>155</v>
      </c>
      <c r="D84" s="311">
        <v>0.11823939543689217</v>
      </c>
      <c r="E84" s="311">
        <v>0.10775092624436637</v>
      </c>
      <c r="F84" s="311">
        <v>0.15619925420789571</v>
      </c>
      <c r="G84" s="311">
        <v>0.11206007396337173</v>
      </c>
      <c r="H84" s="311">
        <v>0.1587564361127278</v>
      </c>
      <c r="I84" s="311">
        <v>0.1638748580233429</v>
      </c>
      <c r="J84" s="311">
        <v>0.15020117083166071</v>
      </c>
      <c r="K84" s="311">
        <v>0.10795020135548423</v>
      </c>
      <c r="L84" s="311">
        <v>0.11792091759934703</v>
      </c>
      <c r="M84" s="311">
        <v>0.15948340945313352</v>
      </c>
      <c r="N84" s="311">
        <v>0.14444341202997174</v>
      </c>
      <c r="O84" s="311">
        <v>0.11347433584675404</v>
      </c>
      <c r="P84" s="311">
        <v>0.12454122401295287</v>
      </c>
      <c r="Q84" s="311">
        <v>0.16035239849359034</v>
      </c>
      <c r="R84" s="311">
        <v>0.1276503060479785</v>
      </c>
      <c r="S84" s="311">
        <v>0.11385184367249671</v>
      </c>
      <c r="T84" s="311">
        <v>0.12738108860281658</v>
      </c>
      <c r="U84" s="311">
        <v>0.11975376321187481</v>
      </c>
      <c r="V84" s="311">
        <v>0.11446476370906138</v>
      </c>
      <c r="W84" s="311">
        <v>0.13327237065150263</v>
      </c>
      <c r="X84" s="311">
        <v>0.13714229229489561</v>
      </c>
      <c r="Y84" s="311">
        <v>0.16487051326869656</v>
      </c>
      <c r="Z84" s="311">
        <v>0.14217702189381598</v>
      </c>
      <c r="AA84" s="311">
        <v>0.16068870721167611</v>
      </c>
      <c r="AB84" s="311">
        <v>0.10352857722228606</v>
      </c>
      <c r="AC84" s="311">
        <v>0.14646879709727828</v>
      </c>
      <c r="AD84" s="311">
        <v>0.12360680673845281</v>
      </c>
      <c r="AE84" s="38">
        <f>'User Add-in Location'!B88</f>
        <v>0</v>
      </c>
      <c r="AF84" s="38">
        <f>'User Add-in Location'!C88</f>
        <v>0</v>
      </c>
      <c r="AG84" s="311">
        <v>0.13388994544630706</v>
      </c>
      <c r="AH84" s="311">
        <v>0.10089071934206981</v>
      </c>
      <c r="AI84" s="311">
        <v>0.13636464338913351</v>
      </c>
      <c r="AJ84" s="311">
        <v>0.15527399741337733</v>
      </c>
      <c r="AK84" s="311">
        <v>0.1087262484981642</v>
      </c>
      <c r="AL84" s="311">
        <v>0.14712836732439477</v>
      </c>
      <c r="AM84" s="311">
        <v>0.14387168666572839</v>
      </c>
      <c r="AN84" s="311">
        <v>0.11322293710169379</v>
      </c>
      <c r="AO84" s="311">
        <v>0.14143784842798049</v>
      </c>
      <c r="AP84" s="311">
        <v>0.13345916626871601</v>
      </c>
      <c r="AQ84" s="311">
        <v>0.137031582907613</v>
      </c>
      <c r="AR84" s="311">
        <v>0.14192978710324289</v>
      </c>
      <c r="AS84" s="311">
        <v>0.14162576405869395</v>
      </c>
      <c r="AT84" s="311">
        <v>0.12238324791293172</v>
      </c>
      <c r="AU84" s="311">
        <v>0.11781330501025998</v>
      </c>
      <c r="AV84" s="311">
        <v>0.14660876470949308</v>
      </c>
      <c r="AW84" s="311">
        <v>0.16084600837948793</v>
      </c>
      <c r="AX84" s="311">
        <v>0.20676602698819488</v>
      </c>
      <c r="AY84" s="311">
        <v>0.15148862894225035</v>
      </c>
      <c r="AZ84" s="311">
        <v>0.1263221122429585</v>
      </c>
      <c r="BA84" s="311">
        <v>0.13157970367166646</v>
      </c>
      <c r="BB84" s="311">
        <v>0.1282285141661236</v>
      </c>
      <c r="BC84" s="311">
        <v>0.10178893455491889</v>
      </c>
      <c r="BD84" s="311">
        <v>0.13449708872496255</v>
      </c>
      <c r="BE84" s="311">
        <v>8.8542975608769184E-2</v>
      </c>
      <c r="BF84" s="248"/>
      <c r="BG84" s="248"/>
    </row>
    <row r="85" spans="3:59" ht="17" x14ac:dyDescent="0.2">
      <c r="C85" s="6" t="s">
        <v>156</v>
      </c>
      <c r="D85" s="311">
        <v>0.13342509452901585</v>
      </c>
      <c r="E85" s="311">
        <v>0.12389678669774432</v>
      </c>
      <c r="F85" s="311">
        <v>0.16774029224123563</v>
      </c>
      <c r="G85" s="311">
        <v>0.13158864235049778</v>
      </c>
      <c r="H85" s="311">
        <v>0.16761305652913075</v>
      </c>
      <c r="I85" s="311">
        <v>0.18401131245444227</v>
      </c>
      <c r="J85" s="311">
        <v>0.17460440108318326</v>
      </c>
      <c r="K85" s="311">
        <v>0.11649778658638904</v>
      </c>
      <c r="L85" s="311">
        <v>0.1000229292382494</v>
      </c>
      <c r="M85" s="311">
        <v>0.16690800282228332</v>
      </c>
      <c r="N85" s="311">
        <v>0.14771587474205067</v>
      </c>
      <c r="O85" s="311">
        <v>0.1281647889118252</v>
      </c>
      <c r="P85" s="311">
        <v>0.14093804623991682</v>
      </c>
      <c r="Q85" s="311">
        <v>0.15549328701780346</v>
      </c>
      <c r="R85" s="311">
        <v>0.12442179509884317</v>
      </c>
      <c r="S85" s="311">
        <v>0.12776853650185438</v>
      </c>
      <c r="T85" s="311">
        <v>0.14697147709589714</v>
      </c>
      <c r="U85" s="311">
        <v>0.13239680945862065</v>
      </c>
      <c r="V85" s="311">
        <v>0.12376447481310247</v>
      </c>
      <c r="W85" s="311">
        <v>0.15527063790125462</v>
      </c>
      <c r="X85" s="311">
        <v>0.1568261534037507</v>
      </c>
      <c r="Y85" s="311">
        <v>0.18407580554377334</v>
      </c>
      <c r="Z85" s="311">
        <v>0.1619002843910527</v>
      </c>
      <c r="AA85" s="311">
        <v>0.17492943640447856</v>
      </c>
      <c r="AB85" s="311">
        <v>0.11159139217159794</v>
      </c>
      <c r="AC85" s="311">
        <v>0.14984863977684174</v>
      </c>
      <c r="AD85" s="311">
        <v>0.13951115857227808</v>
      </c>
      <c r="AE85" s="38">
        <f>'User Add-in Location'!B89</f>
        <v>0</v>
      </c>
      <c r="AF85" s="38">
        <f>'User Add-in Location'!C89</f>
        <v>0</v>
      </c>
      <c r="AG85" s="311">
        <v>0.14046482825920159</v>
      </c>
      <c r="AH85" s="311">
        <v>0.12237582755509609</v>
      </c>
      <c r="AI85" s="311">
        <v>0.16110434585806455</v>
      </c>
      <c r="AJ85" s="311">
        <v>0.16462364770079446</v>
      </c>
      <c r="AK85" s="311">
        <v>0.11897557070670424</v>
      </c>
      <c r="AL85" s="311">
        <v>0.14877264889845984</v>
      </c>
      <c r="AM85" s="311">
        <v>0.14736379416169079</v>
      </c>
      <c r="AN85" s="311">
        <v>0.12996127661550852</v>
      </c>
      <c r="AO85" s="311">
        <v>0.16050609466637314</v>
      </c>
      <c r="AP85" s="311">
        <v>0.13923970140159975</v>
      </c>
      <c r="AQ85" s="311">
        <v>0.14061658498078383</v>
      </c>
      <c r="AR85" s="311">
        <v>0.16424597468933089</v>
      </c>
      <c r="AS85" s="311">
        <v>0.16989800911069858</v>
      </c>
      <c r="AT85" s="311">
        <v>0.13313844302902741</v>
      </c>
      <c r="AU85" s="311">
        <v>0.13655833151763283</v>
      </c>
      <c r="AV85" s="311">
        <v>0.15560061821167409</v>
      </c>
      <c r="AW85" s="311">
        <v>0.15974473810346174</v>
      </c>
      <c r="AX85" s="311">
        <v>0.20541733259450895</v>
      </c>
      <c r="AY85" s="311">
        <v>0.18132095981713606</v>
      </c>
      <c r="AZ85" s="311">
        <v>0.15509727051773298</v>
      </c>
      <c r="BA85" s="311">
        <v>0.13959586145877334</v>
      </c>
      <c r="BB85" s="311">
        <v>0.14582503768097249</v>
      </c>
      <c r="BC85" s="311">
        <v>0.11060572902983971</v>
      </c>
      <c r="BD85" s="311">
        <v>0.15257599020525714</v>
      </c>
      <c r="BE85" s="311">
        <v>0.1002203210346384</v>
      </c>
      <c r="BF85" s="248"/>
      <c r="BG85" s="248"/>
    </row>
    <row r="86" spans="3:59" ht="17" x14ac:dyDescent="0.2">
      <c r="C86" s="6" t="s">
        <v>80</v>
      </c>
      <c r="D86" s="311">
        <v>2.986272852985376E-2</v>
      </c>
      <c r="E86" s="311">
        <v>1.1478842190727145E-2</v>
      </c>
      <c r="F86" s="311">
        <v>4.5833942804711647E-2</v>
      </c>
      <c r="G86" s="311">
        <v>2.3477027874026259E-2</v>
      </c>
      <c r="H86" s="311">
        <v>3.6720903151208698E-2</v>
      </c>
      <c r="I86" s="311">
        <v>2.0073748618677778E-2</v>
      </c>
      <c r="J86" s="311">
        <v>5.2656542693262115E-2</v>
      </c>
      <c r="K86" s="311">
        <v>9.9987410826475869E-3</v>
      </c>
      <c r="L86" s="311">
        <v>3.4161402285377857E-3</v>
      </c>
      <c r="M86" s="311">
        <v>2.7077777729453991E-2</v>
      </c>
      <c r="N86" s="311">
        <v>1.0759135070093706E-2</v>
      </c>
      <c r="O86" s="311">
        <v>1.8316112812582521E-2</v>
      </c>
      <c r="P86" s="311">
        <v>3.0388202069007275E-2</v>
      </c>
      <c r="Q86" s="311">
        <v>1.068114034025309E-2</v>
      </c>
      <c r="R86" s="311">
        <v>2.0076331106084828E-2</v>
      </c>
      <c r="S86" s="311">
        <v>1.9080045206292244E-2</v>
      </c>
      <c r="T86" s="311">
        <v>2.4788948443515934E-2</v>
      </c>
      <c r="U86" s="311">
        <v>2.7547633004739967E-2</v>
      </c>
      <c r="V86" s="311">
        <v>3.8708584265037503E-2</v>
      </c>
      <c r="W86" s="311">
        <v>2.7651852588696312E-2</v>
      </c>
      <c r="X86" s="311">
        <v>4.526301608270545E-3</v>
      </c>
      <c r="Y86" s="311">
        <v>1.2227349238171465E-2</v>
      </c>
      <c r="Z86" s="311">
        <v>2.0726083619702705E-2</v>
      </c>
      <c r="AA86" s="311">
        <v>4.6230801767928584E-2</v>
      </c>
      <c r="AB86" s="311">
        <v>1.9193968984765296E-2</v>
      </c>
      <c r="AC86" s="311">
        <v>2.6449076808031921E-2</v>
      </c>
      <c r="AD86" s="311">
        <v>2.8550600586097812E-2</v>
      </c>
      <c r="AE86" s="38">
        <f>'User Add-in Location'!B90</f>
        <v>0</v>
      </c>
      <c r="AF86" s="38">
        <f>'User Add-in Location'!C90</f>
        <v>0</v>
      </c>
      <c r="AG86" s="311">
        <v>2.1105688622197062E-2</v>
      </c>
      <c r="AH86" s="311">
        <v>6.3071349603949098E-2</v>
      </c>
      <c r="AI86" s="311">
        <v>2.9192352059670731E-2</v>
      </c>
      <c r="AJ86" s="311">
        <v>2.8303902589289501E-2</v>
      </c>
      <c r="AK86" s="311">
        <v>3.1591623376845332E-2</v>
      </c>
      <c r="AL86" s="311">
        <v>2.8435143496506995E-2</v>
      </c>
      <c r="AM86" s="311">
        <v>1.612230023546064E-2</v>
      </c>
      <c r="AN86" s="311">
        <v>6.4727938667508131E-2</v>
      </c>
      <c r="AO86" s="311">
        <v>2.0833733664964337E-2</v>
      </c>
      <c r="AP86" s="311">
        <v>7.0131870999102341E-2</v>
      </c>
      <c r="AQ86" s="311">
        <v>3.2164967224171191E-2</v>
      </c>
      <c r="AR86" s="311">
        <v>3.8221282588421994E-2</v>
      </c>
      <c r="AS86" s="311">
        <v>1.0354826565641746E-2</v>
      </c>
      <c r="AT86" s="311">
        <v>1.9967661760820286E-2</v>
      </c>
      <c r="AU86" s="311">
        <v>5.8648136845917472E-2</v>
      </c>
      <c r="AV86" s="311">
        <v>3.7534884494285312E-2</v>
      </c>
      <c r="AW86" s="311">
        <v>3.3802265205551303E-2</v>
      </c>
      <c r="AX86" s="311">
        <v>4.0237235114325143E-2</v>
      </c>
      <c r="AY86" s="311">
        <v>1.7733138481116816E-2</v>
      </c>
      <c r="AZ86" s="311">
        <v>1.731924500563688E-2</v>
      </c>
      <c r="BA86" s="311">
        <v>2.2807949853999667E-2</v>
      </c>
      <c r="BB86" s="311">
        <v>4.5074175413054439E-2</v>
      </c>
      <c r="BC86" s="311">
        <v>2.2436239300687302E-2</v>
      </c>
      <c r="BD86" s="311">
        <v>2.8551703977766536E-2</v>
      </c>
      <c r="BE86" s="311">
        <v>2.0438634774631394E-2</v>
      </c>
      <c r="BF86" s="248"/>
      <c r="BG86" s="248"/>
    </row>
    <row r="87" spans="3:59" ht="16" x14ac:dyDescent="0.2">
      <c r="C87" s="5"/>
      <c r="D87" s="311"/>
      <c r="E87" s="311"/>
      <c r="F87" s="311"/>
      <c r="G87" s="311"/>
      <c r="H87" s="311"/>
      <c r="I87" s="311"/>
      <c r="J87" s="311"/>
      <c r="K87" s="311"/>
      <c r="L87" s="311"/>
      <c r="M87" s="311"/>
      <c r="N87" s="311"/>
      <c r="O87" s="311"/>
      <c r="P87" s="311"/>
      <c r="Q87" s="311"/>
      <c r="R87" s="311"/>
      <c r="S87" s="311"/>
      <c r="T87" s="311"/>
      <c r="U87" s="311"/>
      <c r="V87" s="311"/>
      <c r="W87" s="311"/>
      <c r="X87" s="311"/>
      <c r="Y87" s="311"/>
      <c r="Z87" s="311"/>
      <c r="AA87" s="311"/>
      <c r="AB87" s="311"/>
      <c r="AC87" s="311"/>
      <c r="AD87" s="311"/>
      <c r="AE87" s="38"/>
      <c r="AF87" s="38"/>
      <c r="AG87" s="311"/>
      <c r="AH87" s="311"/>
      <c r="AI87" s="311"/>
      <c r="AJ87" s="311"/>
      <c r="AK87" s="311"/>
      <c r="AL87" s="311"/>
      <c r="AM87" s="311"/>
      <c r="AN87" s="311"/>
      <c r="AO87" s="311"/>
      <c r="AP87" s="311"/>
      <c r="AQ87" s="311"/>
      <c r="AR87" s="311"/>
      <c r="AS87" s="311"/>
      <c r="AT87" s="311"/>
      <c r="AU87" s="311"/>
      <c r="AV87" s="311"/>
      <c r="AW87" s="311"/>
      <c r="AX87" s="311"/>
      <c r="AY87" s="311"/>
      <c r="AZ87" s="311"/>
      <c r="BA87" s="311"/>
      <c r="BB87" s="311"/>
      <c r="BC87" s="311"/>
      <c r="BD87" s="311"/>
      <c r="BE87" s="311"/>
      <c r="BF87" s="248"/>
      <c r="BG87" s="248"/>
    </row>
    <row r="88" spans="3:59" ht="14.25" customHeight="1" x14ac:dyDescent="0.2">
      <c r="C88" s="17" t="s">
        <v>282</v>
      </c>
      <c r="D88" s="311"/>
      <c r="E88" s="311"/>
      <c r="F88" s="311"/>
      <c r="G88" s="311"/>
      <c r="H88" s="311"/>
      <c r="I88" s="311"/>
      <c r="J88" s="311"/>
      <c r="K88" s="311"/>
      <c r="L88" s="311"/>
      <c r="M88" s="311"/>
      <c r="N88" s="311"/>
      <c r="O88" s="311"/>
      <c r="P88" s="311"/>
      <c r="Q88" s="311"/>
      <c r="R88" s="311"/>
      <c r="S88" s="311"/>
      <c r="T88" s="311"/>
      <c r="U88" s="311"/>
      <c r="V88" s="311"/>
      <c r="W88" s="311"/>
      <c r="X88" s="311"/>
      <c r="Y88" s="311"/>
      <c r="Z88" s="311"/>
      <c r="AA88" s="311"/>
      <c r="AB88" s="311"/>
      <c r="AC88" s="311"/>
      <c r="AD88" s="311"/>
      <c r="AE88" s="38"/>
      <c r="AF88" s="38"/>
      <c r="AG88" s="311"/>
      <c r="AH88" s="311"/>
      <c r="AI88" s="311"/>
      <c r="AJ88" s="311"/>
      <c r="AK88" s="311"/>
      <c r="AL88" s="311"/>
      <c r="AM88" s="311"/>
      <c r="AN88" s="311"/>
      <c r="AO88" s="311"/>
      <c r="AP88" s="311"/>
      <c r="AQ88" s="311"/>
      <c r="AR88" s="311"/>
      <c r="AS88" s="311"/>
      <c r="AT88" s="311"/>
      <c r="AU88" s="311"/>
      <c r="AV88" s="311"/>
      <c r="AW88" s="311"/>
      <c r="AX88" s="311"/>
      <c r="AY88" s="311"/>
      <c r="AZ88" s="311"/>
      <c r="BA88" s="311"/>
      <c r="BB88" s="311"/>
      <c r="BC88" s="311"/>
      <c r="BD88" s="311"/>
      <c r="BE88" s="311"/>
      <c r="BF88" s="248"/>
      <c r="BG88" s="248"/>
    </row>
    <row r="89" spans="3:59" ht="16" x14ac:dyDescent="0.2">
      <c r="C89" s="77" t="s">
        <v>289</v>
      </c>
      <c r="D89" s="311" t="s">
        <v>82</v>
      </c>
      <c r="E89" s="311" t="s">
        <v>83</v>
      </c>
      <c r="F89" s="311" t="s">
        <v>84</v>
      </c>
      <c r="G89" s="311" t="s">
        <v>85</v>
      </c>
      <c r="H89" s="311" t="s">
        <v>86</v>
      </c>
      <c r="I89" s="311" t="s">
        <v>87</v>
      </c>
      <c r="J89" s="311" t="s">
        <v>88</v>
      </c>
      <c r="K89" s="311" t="s">
        <v>89</v>
      </c>
      <c r="L89" s="311" t="s">
        <v>90</v>
      </c>
      <c r="M89" s="311" t="s">
        <v>91</v>
      </c>
      <c r="N89" s="311" t="s">
        <v>92</v>
      </c>
      <c r="O89" s="311" t="s">
        <v>93</v>
      </c>
      <c r="P89" s="311" t="s">
        <v>94</v>
      </c>
      <c r="Q89" s="311" t="s">
        <v>95</v>
      </c>
      <c r="R89" s="311" t="s">
        <v>96</v>
      </c>
      <c r="S89" s="311" t="s">
        <v>97</v>
      </c>
      <c r="T89" s="311" t="s">
        <v>98</v>
      </c>
      <c r="U89" s="311" t="s">
        <v>99</v>
      </c>
      <c r="V89" s="311" t="s">
        <v>100</v>
      </c>
      <c r="W89" s="311" t="s">
        <v>101</v>
      </c>
      <c r="X89" s="311" t="s">
        <v>102</v>
      </c>
      <c r="Y89" s="311" t="s">
        <v>103</v>
      </c>
      <c r="Z89" s="311" t="s">
        <v>104</v>
      </c>
      <c r="AA89" s="311" t="s">
        <v>105</v>
      </c>
      <c r="AB89" s="311" t="s">
        <v>106</v>
      </c>
      <c r="AC89" s="311" t="s">
        <v>107</v>
      </c>
      <c r="AD89" s="311" t="s">
        <v>108</v>
      </c>
      <c r="AE89" s="38" t="s">
        <v>322</v>
      </c>
      <c r="AF89" s="38" t="s">
        <v>321</v>
      </c>
      <c r="AG89" s="311" t="s">
        <v>109</v>
      </c>
      <c r="AH89" s="311" t="s">
        <v>110</v>
      </c>
      <c r="AI89" s="311" t="s">
        <v>111</v>
      </c>
      <c r="AJ89" s="311" t="s">
        <v>112</v>
      </c>
      <c r="AK89" s="311" t="s">
        <v>113</v>
      </c>
      <c r="AL89" s="311" t="s">
        <v>114</v>
      </c>
      <c r="AM89" s="311" t="s">
        <v>115</v>
      </c>
      <c r="AN89" s="311" t="s">
        <v>116</v>
      </c>
      <c r="AO89" s="311" t="s">
        <v>117</v>
      </c>
      <c r="AP89" s="311" t="s">
        <v>118</v>
      </c>
      <c r="AQ89" s="311" t="s">
        <v>119</v>
      </c>
      <c r="AR89" s="311" t="s">
        <v>120</v>
      </c>
      <c r="AS89" s="311" t="s">
        <v>121</v>
      </c>
      <c r="AT89" s="311" t="s">
        <v>122</v>
      </c>
      <c r="AU89" s="311" t="s">
        <v>123</v>
      </c>
      <c r="AV89" s="311" t="s">
        <v>124</v>
      </c>
      <c r="AW89" s="311" t="s">
        <v>125</v>
      </c>
      <c r="AX89" s="311" t="s">
        <v>585</v>
      </c>
      <c r="AY89" s="311" t="s">
        <v>126</v>
      </c>
      <c r="AZ89" s="311" t="s">
        <v>127</v>
      </c>
      <c r="BA89" s="311" t="s">
        <v>128</v>
      </c>
      <c r="BB89" s="311" t="s">
        <v>129</v>
      </c>
      <c r="BC89" s="311" t="s">
        <v>130</v>
      </c>
      <c r="BD89" s="311" t="s">
        <v>131</v>
      </c>
      <c r="BE89" s="311" t="s">
        <v>81</v>
      </c>
      <c r="BF89" s="248"/>
      <c r="BG89" s="248"/>
    </row>
    <row r="90" spans="3:59" ht="17" x14ac:dyDescent="0.2">
      <c r="C90" s="6" t="s">
        <v>76</v>
      </c>
      <c r="D90" s="311">
        <v>9.6356265636822355E-2</v>
      </c>
      <c r="E90" s="311">
        <v>7.725017856994143E-2</v>
      </c>
      <c r="F90" s="311">
        <v>0.15627743283191231</v>
      </c>
      <c r="G90" s="311">
        <v>9.2476125890965294E-2</v>
      </c>
      <c r="H90" s="311">
        <v>0.18027601927494899</v>
      </c>
      <c r="I90" s="311">
        <v>0.1431159346219803</v>
      </c>
      <c r="J90" s="311">
        <v>0.14114726877349454</v>
      </c>
      <c r="K90" s="311">
        <v>0.10184440360893199</v>
      </c>
      <c r="L90" s="311">
        <v>9.2673400746019804E-2</v>
      </c>
      <c r="M90" s="311">
        <v>0.17800762006598433</v>
      </c>
      <c r="N90" s="311">
        <v>0.12817115300292029</v>
      </c>
      <c r="O90" s="311">
        <v>0.12139422544662805</v>
      </c>
      <c r="P90" s="311">
        <v>0.11262004784771759</v>
      </c>
      <c r="Q90" s="311">
        <v>6.5832351467651137E-2</v>
      </c>
      <c r="R90" s="311">
        <v>7.4829970955174893E-2</v>
      </c>
      <c r="S90" s="311">
        <v>9.0427243250748912E-2</v>
      </c>
      <c r="T90" s="311">
        <v>7.7971405167583954E-2</v>
      </c>
      <c r="U90" s="311">
        <v>7.7364552119455143E-2</v>
      </c>
      <c r="V90" s="311">
        <v>7.9785897608604328E-2</v>
      </c>
      <c r="W90" s="311">
        <v>0.14647125494979646</v>
      </c>
      <c r="X90" s="311">
        <v>8.3741977508481724E-2</v>
      </c>
      <c r="Y90" s="311">
        <v>0.22165626327051891</v>
      </c>
      <c r="Z90" s="311">
        <v>0.10495078919107534</v>
      </c>
      <c r="AA90" s="311">
        <v>0.13804059337915192</v>
      </c>
      <c r="AB90" s="311">
        <v>7.0787403546275413E-2</v>
      </c>
      <c r="AC90" s="311">
        <v>6.6759888012016808E-2</v>
      </c>
      <c r="AD90" s="311">
        <v>7.8563369394479582E-2</v>
      </c>
      <c r="AE90" s="38">
        <f>'User Add-in Location'!B94</f>
        <v>0</v>
      </c>
      <c r="AF90" s="38">
        <f>'User Add-in Location'!C94</f>
        <v>0</v>
      </c>
      <c r="AG90" s="311">
        <v>0.10452867013129269</v>
      </c>
      <c r="AH90" s="311">
        <v>7.1695213782871942E-2</v>
      </c>
      <c r="AI90" s="311">
        <v>0.14137690156714847</v>
      </c>
      <c r="AJ90" s="311">
        <v>0.14715694251485339</v>
      </c>
      <c r="AK90" s="311">
        <v>7.6433690596844003E-2</v>
      </c>
      <c r="AL90" s="311">
        <v>0.10840921989233286</v>
      </c>
      <c r="AM90" s="311">
        <v>0.13481894389904775</v>
      </c>
      <c r="AN90" s="311">
        <v>3.8629871778923804E-2</v>
      </c>
      <c r="AO90" s="311">
        <v>9.644945404315515E-2</v>
      </c>
      <c r="AP90" s="311">
        <v>0.10490368947821013</v>
      </c>
      <c r="AQ90" s="311">
        <v>0.16452505816013696</v>
      </c>
      <c r="AR90" s="311">
        <v>0.13642735986666138</v>
      </c>
      <c r="AS90" s="311">
        <v>0.14978573037723508</v>
      </c>
      <c r="AT90" s="311">
        <v>6.1480944222926048E-2</v>
      </c>
      <c r="AU90" s="311">
        <v>8.3750248521193171E-2</v>
      </c>
      <c r="AV90" s="311">
        <v>7.9632777683717196E-2</v>
      </c>
      <c r="AW90" s="311">
        <v>0.13753243608049101</v>
      </c>
      <c r="AX90" s="311">
        <v>0.26318157193714048</v>
      </c>
      <c r="AY90" s="311">
        <v>0.11336124939496267</v>
      </c>
      <c r="AZ90" s="311">
        <v>8.8449590859197916E-2</v>
      </c>
      <c r="BA90" s="311">
        <v>8.282592392185989E-2</v>
      </c>
      <c r="BB90" s="311">
        <v>0.15835078051035487</v>
      </c>
      <c r="BC90" s="311">
        <v>4.0552824783396849E-2</v>
      </c>
      <c r="BD90" s="311">
        <v>0.11439063433932427</v>
      </c>
      <c r="BE90" s="311">
        <v>4.2866856707921612E-2</v>
      </c>
      <c r="BF90" s="248"/>
      <c r="BG90" s="248"/>
    </row>
    <row r="91" spans="3:59" ht="17" x14ac:dyDescent="0.2">
      <c r="C91" s="6" t="s">
        <v>148</v>
      </c>
      <c r="D91" s="311">
        <v>4.3427146639761618E-2</v>
      </c>
      <c r="E91" s="311">
        <v>5.7764586144655669E-2</v>
      </c>
      <c r="F91" s="311">
        <v>9.8379774575709608E-2</v>
      </c>
      <c r="G91" s="311">
        <v>5.2404425253245727E-2</v>
      </c>
      <c r="H91" s="311">
        <v>0.1337750157231698</v>
      </c>
      <c r="I91" s="311">
        <v>0.22619397952112191</v>
      </c>
      <c r="J91" s="311">
        <v>2.9385095928389955E-2</v>
      </c>
      <c r="K91" s="311">
        <v>-2.3417065672206579E-2</v>
      </c>
      <c r="L91" s="311">
        <v>-0.43165735855075094</v>
      </c>
      <c r="M91" s="311">
        <v>6.0181112342328674E-2</v>
      </c>
      <c r="N91" s="311">
        <v>9.3218991823555891E-2</v>
      </c>
      <c r="O91" s="311">
        <v>6.4591257364155386E-2</v>
      </c>
      <c r="P91" s="311">
        <v>8.6990530490046153E-2</v>
      </c>
      <c r="Q91" s="311">
        <v>0.11870547292915742</v>
      </c>
      <c r="R91" s="311">
        <v>6.3158925561955209E-2</v>
      </c>
      <c r="S91" s="311">
        <v>6.4802673235717506E-2</v>
      </c>
      <c r="T91" s="311">
        <v>0.14293271968976853</v>
      </c>
      <c r="U91" s="311">
        <v>5.3854688783005283E-2</v>
      </c>
      <c r="V91" s="311">
        <v>0.16633024649922201</v>
      </c>
      <c r="W91" s="311">
        <v>6.2466698860505959E-2</v>
      </c>
      <c r="X91" s="311">
        <v>6.2066037299326839E-2</v>
      </c>
      <c r="Y91" s="311">
        <v>0.1997217132542585</v>
      </c>
      <c r="Z91" s="311">
        <v>9.8040170900026286E-2</v>
      </c>
      <c r="AA91" s="311">
        <v>9.3331894315539538E-2</v>
      </c>
      <c r="AB91" s="311">
        <v>0.10495745150899054</v>
      </c>
      <c r="AC91" s="311">
        <v>7.2505630550666972E-2</v>
      </c>
      <c r="AD91" s="311">
        <v>8.5640077406948595E-2</v>
      </c>
      <c r="AE91" s="38">
        <f>'User Add-in Location'!B95</f>
        <v>0</v>
      </c>
      <c r="AF91" s="38">
        <f>'User Add-in Location'!C95</f>
        <v>0</v>
      </c>
      <c r="AG91" s="311">
        <v>7.6459155072129262E-2</v>
      </c>
      <c r="AH91" s="311">
        <v>7.709004062319938E-2</v>
      </c>
      <c r="AI91" s="311">
        <v>9.5063376593864241E-2</v>
      </c>
      <c r="AJ91" s="311">
        <v>9.47723397246409E-2</v>
      </c>
      <c r="AK91" s="311">
        <v>5.8837544357109563E-2</v>
      </c>
      <c r="AL91" s="311">
        <v>0.17532714477045375</v>
      </c>
      <c r="AM91" s="311">
        <v>6.4472718466449558E-2</v>
      </c>
      <c r="AN91" s="311">
        <v>8.2347243119795091E-2</v>
      </c>
      <c r="AO91" s="311">
        <v>8.1428439689511287E-2</v>
      </c>
      <c r="AP91" s="311">
        <v>0.13937447042617263</v>
      </c>
      <c r="AQ91" s="311">
        <v>7.4878201699346614E-2</v>
      </c>
      <c r="AR91" s="311">
        <v>9.5705679075500136E-2</v>
      </c>
      <c r="AS91" s="311">
        <v>6.723309397110884E-2</v>
      </c>
      <c r="AT91" s="311">
        <v>4.894128129294982E-2</v>
      </c>
      <c r="AU91" s="311">
        <v>5.8962851262471049E-2</v>
      </c>
      <c r="AV91" s="311">
        <v>8.3255200597548151E-2</v>
      </c>
      <c r="AW91" s="311">
        <v>0.1756361199419858</v>
      </c>
      <c r="AX91" s="311">
        <v>0.24769614242451679</v>
      </c>
      <c r="AY91" s="311">
        <v>8.1793868153472005E-2</v>
      </c>
      <c r="AZ91" s="311">
        <v>4.2962515808604156E-2</v>
      </c>
      <c r="BA91" s="311">
        <v>4.2968785959179259E-2</v>
      </c>
      <c r="BB91" s="311">
        <v>0.11672562336604257</v>
      </c>
      <c r="BC91" s="311">
        <v>4.821398641583844E-2</v>
      </c>
      <c r="BD91" s="311">
        <v>6.4388702495479594E-2</v>
      </c>
      <c r="BE91" s="311">
        <v>4.0949022810460235E-2</v>
      </c>
      <c r="BF91" s="248"/>
      <c r="BG91" s="248"/>
    </row>
    <row r="92" spans="3:59" ht="17" x14ac:dyDescent="0.2">
      <c r="C92" s="6" t="s">
        <v>77</v>
      </c>
      <c r="D92" s="311">
        <v>9.5158676249592511E-2</v>
      </c>
      <c r="E92" s="311">
        <v>0.11061647247900902</v>
      </c>
      <c r="F92" s="311">
        <v>0.13678407910169865</v>
      </c>
      <c r="G92" s="311">
        <v>8.6727038111211741E-2</v>
      </c>
      <c r="H92" s="311">
        <v>0.1546664987314523</v>
      </c>
      <c r="I92" s="311">
        <v>0.1535699809790004</v>
      </c>
      <c r="J92" s="311">
        <v>0.1535256898524949</v>
      </c>
      <c r="K92" s="311">
        <v>0.1007070928692219</v>
      </c>
      <c r="L92" s="311">
        <v>4.4533491443250486E-2</v>
      </c>
      <c r="M92" s="311">
        <v>0.13736720254548504</v>
      </c>
      <c r="N92" s="311">
        <v>0.12452617132073797</v>
      </c>
      <c r="O92" s="311">
        <v>0.10129593665292223</v>
      </c>
      <c r="P92" s="311">
        <v>9.1211108397977095E-2</v>
      </c>
      <c r="Q92" s="311">
        <v>0.15790578792519611</v>
      </c>
      <c r="R92" s="311">
        <v>0.11787640760256632</v>
      </c>
      <c r="S92" s="311">
        <v>0.10155759691368131</v>
      </c>
      <c r="T92" s="311">
        <v>0.10404902884332104</v>
      </c>
      <c r="U92" s="311">
        <v>9.3427728773954999E-2</v>
      </c>
      <c r="V92" s="311">
        <v>0.1066561930107294</v>
      </c>
      <c r="W92" s="311">
        <v>0.12198689425371916</v>
      </c>
      <c r="X92" s="311">
        <v>0.12755440107771621</v>
      </c>
      <c r="Y92" s="311">
        <v>0.17287645034443802</v>
      </c>
      <c r="Z92" s="311">
        <v>0.12830288974739271</v>
      </c>
      <c r="AA92" s="311">
        <v>0.17129077096058926</v>
      </c>
      <c r="AB92" s="311">
        <v>7.3031091974539428E-2</v>
      </c>
      <c r="AC92" s="311">
        <v>0.13259927640523853</v>
      </c>
      <c r="AD92" s="311">
        <v>9.7331985289443312E-2</v>
      </c>
      <c r="AE92" s="38">
        <f>'User Add-in Location'!B96</f>
        <v>0</v>
      </c>
      <c r="AF92" s="38">
        <f>'User Add-in Location'!C96</f>
        <v>0</v>
      </c>
      <c r="AG92" s="311">
        <v>0.12329728364994863</v>
      </c>
      <c r="AH92" s="311">
        <v>9.8524290410207382E-2</v>
      </c>
      <c r="AI92" s="311">
        <v>0.17554311876778661</v>
      </c>
      <c r="AJ92" s="311">
        <v>0.15835371299165971</v>
      </c>
      <c r="AK92" s="311">
        <v>7.636038547255164E-2</v>
      </c>
      <c r="AL92" s="311">
        <v>0.12993503117711208</v>
      </c>
      <c r="AM92" s="311">
        <v>0.12864532437726356</v>
      </c>
      <c r="AN92" s="311">
        <v>9.9231406374126169E-2</v>
      </c>
      <c r="AO92" s="311">
        <v>0.1402696789165512</v>
      </c>
      <c r="AP92" s="311">
        <v>0.11741846964210409</v>
      </c>
      <c r="AQ92" s="311">
        <v>0.1353231040641707</v>
      </c>
      <c r="AR92" s="311">
        <v>0.15495856057234222</v>
      </c>
      <c r="AS92" s="311">
        <v>0.13043671710057395</v>
      </c>
      <c r="AT92" s="311">
        <v>8.9563307252240404E-2</v>
      </c>
      <c r="AU92" s="311">
        <v>0.10299449933915625</v>
      </c>
      <c r="AV92" s="311">
        <v>0.15147539384282746</v>
      </c>
      <c r="AW92" s="311">
        <v>0.15849033241833096</v>
      </c>
      <c r="AX92" s="311">
        <v>0.27522790824351229</v>
      </c>
      <c r="AY92" s="311">
        <v>0.1294898689166043</v>
      </c>
      <c r="AZ92" s="311">
        <v>0.11689496440806393</v>
      </c>
      <c r="BA92" s="311">
        <v>0.1196945205569446</v>
      </c>
      <c r="BB92" s="311">
        <v>0.12292445577549431</v>
      </c>
      <c r="BC92" s="311">
        <v>7.6592828405767643E-2</v>
      </c>
      <c r="BD92" s="311">
        <v>0.1291857143243122</v>
      </c>
      <c r="BE92" s="311">
        <v>5.5807408310017986E-2</v>
      </c>
      <c r="BF92" s="248"/>
      <c r="BG92" s="248"/>
    </row>
    <row r="93" spans="3:59" ht="17" x14ac:dyDescent="0.2">
      <c r="C93" s="6" t="s">
        <v>149</v>
      </c>
      <c r="D93" s="311">
        <v>5.0438358952475747E-2</v>
      </c>
      <c r="E93" s="311">
        <v>5.0116198142097543E-2</v>
      </c>
      <c r="F93" s="311">
        <v>9.9383921975079309E-2</v>
      </c>
      <c r="G93" s="311">
        <v>5.2960673810537165E-2</v>
      </c>
      <c r="H93" s="311">
        <v>0.10566011641880088</v>
      </c>
      <c r="I93" s="311">
        <v>0.10779629911319996</v>
      </c>
      <c r="J93" s="311">
        <v>0.10659847885945234</v>
      </c>
      <c r="K93" s="311">
        <v>5.628381101945365E-2</v>
      </c>
      <c r="L93" s="311">
        <v>3.5572471409571683E-2</v>
      </c>
      <c r="M93" s="311">
        <v>9.775498456166952E-2</v>
      </c>
      <c r="N93" s="311">
        <v>7.9365777538507223E-2</v>
      </c>
      <c r="O93" s="311">
        <v>5.0569030133549644E-2</v>
      </c>
      <c r="P93" s="311">
        <v>5.8180475073180242E-2</v>
      </c>
      <c r="Q93" s="311">
        <v>9.8526941732022949E-2</v>
      </c>
      <c r="R93" s="311">
        <v>5.9605529407796815E-2</v>
      </c>
      <c r="S93" s="311">
        <v>5.5150288789242594E-2</v>
      </c>
      <c r="T93" s="311">
        <v>6.1213058036923791E-2</v>
      </c>
      <c r="U93" s="311">
        <v>4.7775487342198483E-2</v>
      </c>
      <c r="V93" s="311">
        <v>4.2542908734541807E-2</v>
      </c>
      <c r="W93" s="311">
        <v>7.3935305524355455E-2</v>
      </c>
      <c r="X93" s="311">
        <v>7.5593485831415327E-2</v>
      </c>
      <c r="Y93" s="311">
        <v>0.11008587065157593</v>
      </c>
      <c r="Z93" s="311">
        <v>7.8302069660531104E-2</v>
      </c>
      <c r="AA93" s="311">
        <v>0.10918294899394619</v>
      </c>
      <c r="AB93" s="311">
        <v>3.9841421983065339E-2</v>
      </c>
      <c r="AC93" s="311">
        <v>6.974500646243087E-2</v>
      </c>
      <c r="AD93" s="311">
        <v>4.3997616539483253E-2</v>
      </c>
      <c r="AE93" s="38">
        <f>'User Add-in Location'!B97</f>
        <v>0</v>
      </c>
      <c r="AF93" s="38">
        <f>'User Add-in Location'!C97</f>
        <v>0</v>
      </c>
      <c r="AG93" s="311">
        <v>6.1161540749859175E-2</v>
      </c>
      <c r="AH93" s="311">
        <v>6.1409810806483812E-2</v>
      </c>
      <c r="AI93" s="311">
        <v>0.10132441431210165</v>
      </c>
      <c r="AJ93" s="311">
        <v>0.10084646286037019</v>
      </c>
      <c r="AK93" s="311">
        <v>3.3387554410970327E-2</v>
      </c>
      <c r="AL93" s="311">
        <v>8.0537079876991186E-2</v>
      </c>
      <c r="AM93" s="311">
        <v>6.7962246878910615E-2</v>
      </c>
      <c r="AN93" s="311">
        <v>4.9924168199320273E-2</v>
      </c>
      <c r="AO93" s="311">
        <v>8.1162089329773701E-2</v>
      </c>
      <c r="AP93" s="311">
        <v>6.9112819340098025E-2</v>
      </c>
      <c r="AQ93" s="311">
        <v>8.3159323489015127E-2</v>
      </c>
      <c r="AR93" s="311">
        <v>9.5409355109738761E-2</v>
      </c>
      <c r="AS93" s="311">
        <v>8.2913448070112847E-2</v>
      </c>
      <c r="AT93" s="311">
        <v>5.2287189952672584E-2</v>
      </c>
      <c r="AU93" s="311">
        <v>6.1095883610482953E-2</v>
      </c>
      <c r="AV93" s="311">
        <v>7.5927372535950277E-2</v>
      </c>
      <c r="AW93" s="311">
        <v>9.0855472473880913E-2</v>
      </c>
      <c r="AX93" s="311">
        <v>0.20899298143302902</v>
      </c>
      <c r="AY93" s="311">
        <v>8.0307561571842198E-2</v>
      </c>
      <c r="AZ93" s="311">
        <v>6.4047025166378974E-2</v>
      </c>
      <c r="BA93" s="311">
        <v>6.6897979389875406E-2</v>
      </c>
      <c r="BB93" s="311">
        <v>7.2212958692045831E-2</v>
      </c>
      <c r="BC93" s="311">
        <v>3.783831437112524E-2</v>
      </c>
      <c r="BD93" s="311">
        <v>8.0988805004240202E-2</v>
      </c>
      <c r="BE93" s="311">
        <v>2.3235046325309545E-2</v>
      </c>
      <c r="BF93" s="248"/>
      <c r="BG93" s="248"/>
    </row>
    <row r="94" spans="3:59" ht="17" x14ac:dyDescent="0.2">
      <c r="C94" s="6" t="s">
        <v>150</v>
      </c>
      <c r="D94" s="311">
        <v>7.1132670282891219E-2</v>
      </c>
      <c r="E94" s="311">
        <v>7.4618922693802686E-2</v>
      </c>
      <c r="F94" s="311">
        <v>0.11611430701048364</v>
      </c>
      <c r="G94" s="311">
        <v>6.7663236306015742E-2</v>
      </c>
      <c r="H94" s="311">
        <v>0.13818361224613127</v>
      </c>
      <c r="I94" s="311">
        <v>0.1236301127875019</v>
      </c>
      <c r="J94" s="311">
        <v>0.12247277193798164</v>
      </c>
      <c r="K94" s="311">
        <v>8.2160990297519679E-2</v>
      </c>
      <c r="L94" s="311">
        <v>0</v>
      </c>
      <c r="M94" s="311">
        <v>0.12114010126959571</v>
      </c>
      <c r="N94" s="311">
        <v>0.10353757874601394</v>
      </c>
      <c r="O94" s="311">
        <v>8.693819804868666E-2</v>
      </c>
      <c r="P94" s="311">
        <v>7.3482910137917468E-2</v>
      </c>
      <c r="Q94" s="311">
        <v>0.13641390032385381</v>
      </c>
      <c r="R94" s="311">
        <v>8.9279022330345417E-2</v>
      </c>
      <c r="S94" s="311">
        <v>7.1480324818942093E-2</v>
      </c>
      <c r="T94" s="311">
        <v>7.7551268280815905E-2</v>
      </c>
      <c r="U94" s="311">
        <v>7.9588197938856908E-2</v>
      </c>
      <c r="V94" s="311">
        <v>8.2058612991330743E-2</v>
      </c>
      <c r="W94" s="311">
        <v>8.3571147493957457E-2</v>
      </c>
      <c r="X94" s="311">
        <v>0.10466293393482591</v>
      </c>
      <c r="Y94" s="311">
        <v>0.13731836634805256</v>
      </c>
      <c r="Z94" s="311">
        <v>0.11679979852211828</v>
      </c>
      <c r="AA94" s="311">
        <v>0.1477917816624173</v>
      </c>
      <c r="AB94" s="311">
        <v>5.8702089179346363E-2</v>
      </c>
      <c r="AC94" s="311">
        <v>0.10891223494132421</v>
      </c>
      <c r="AD94" s="311">
        <v>7.0635981663457484E-2</v>
      </c>
      <c r="AE94" s="38">
        <f>'User Add-in Location'!B98</f>
        <v>0</v>
      </c>
      <c r="AF94" s="38">
        <f>'User Add-in Location'!C98</f>
        <v>0</v>
      </c>
      <c r="AG94" s="311">
        <v>8.2614681052047667E-2</v>
      </c>
      <c r="AH94" s="311">
        <v>8.1135698009614024E-2</v>
      </c>
      <c r="AI94" s="311">
        <v>0.12013297662487089</v>
      </c>
      <c r="AJ94" s="311">
        <v>0.1413935613999453</v>
      </c>
      <c r="AK94" s="311">
        <v>5.4352902103901472E-2</v>
      </c>
      <c r="AL94" s="311">
        <v>0.10739593225084776</v>
      </c>
      <c r="AM94" s="311">
        <v>0.10035628708649087</v>
      </c>
      <c r="AN94" s="311">
        <v>6.8412901638770798E-2</v>
      </c>
      <c r="AO94" s="311">
        <v>0.11512261116082795</v>
      </c>
      <c r="AP94" s="311">
        <v>9.1227098525295175E-2</v>
      </c>
      <c r="AQ94" s="311">
        <v>0.10595413964458114</v>
      </c>
      <c r="AR94" s="311">
        <v>0.13125741934900337</v>
      </c>
      <c r="AS94" s="311">
        <v>0.11143317384205705</v>
      </c>
      <c r="AT94" s="311">
        <v>8.3178559807151761E-2</v>
      </c>
      <c r="AU94" s="311">
        <v>7.1030468896119997E-2</v>
      </c>
      <c r="AV94" s="311">
        <v>0.11802551765041616</v>
      </c>
      <c r="AW94" s="311">
        <v>0.13061256155578999</v>
      </c>
      <c r="AX94" s="311">
        <v>0.25766004031435275</v>
      </c>
      <c r="AY94" s="311">
        <v>0.10580004107526718</v>
      </c>
      <c r="AZ94" s="311">
        <v>8.2846867382960016E-2</v>
      </c>
      <c r="BA94" s="311">
        <v>0.10383020105279218</v>
      </c>
      <c r="BB94" s="311">
        <v>9.4746956356123624E-2</v>
      </c>
      <c r="BC94" s="311">
        <v>5.545001293703599E-2</v>
      </c>
      <c r="BD94" s="311">
        <v>0.11132749016420125</v>
      </c>
      <c r="BE94" s="311">
        <v>3.8945300784822098E-2</v>
      </c>
      <c r="BF94" s="248"/>
      <c r="BG94" s="248"/>
    </row>
    <row r="95" spans="3:59" ht="17" x14ac:dyDescent="0.2">
      <c r="C95" s="6" t="s">
        <v>151</v>
      </c>
      <c r="D95" s="311">
        <v>5.2009699126991452E-2</v>
      </c>
      <c r="E95" s="311">
        <v>5.9427796268765459E-2</v>
      </c>
      <c r="F95" s="311">
        <v>9.1659003194904998E-2</v>
      </c>
      <c r="G95" s="311">
        <v>5.3874553449769255E-2</v>
      </c>
      <c r="H95" s="311">
        <v>0.11381734309618761</v>
      </c>
      <c r="I95" s="311">
        <v>0.10806915338163869</v>
      </c>
      <c r="J95" s="311">
        <v>0.11807569389944987</v>
      </c>
      <c r="K95" s="311">
        <v>7.9643932388924088E-2</v>
      </c>
      <c r="L95" s="311">
        <v>3.102780032104414E-2</v>
      </c>
      <c r="M95" s="311">
        <v>9.8774845617433452E-2</v>
      </c>
      <c r="N95" s="311">
        <v>7.3981021278985759E-2</v>
      </c>
      <c r="O95" s="311">
        <v>2.9887293636856355E-2</v>
      </c>
      <c r="P95" s="311">
        <v>5.6060366572528601E-2</v>
      </c>
      <c r="Q95" s="311">
        <v>9.8172476057527228E-2</v>
      </c>
      <c r="R95" s="311">
        <v>6.1330210082174499E-2</v>
      </c>
      <c r="S95" s="311">
        <v>5.2213984740481695E-2</v>
      </c>
      <c r="T95" s="311">
        <v>6.2360414284518294E-2</v>
      </c>
      <c r="U95" s="311">
        <v>5.7698861727832042E-2</v>
      </c>
      <c r="V95" s="311">
        <v>5.7208609549739331E-2</v>
      </c>
      <c r="W95" s="311">
        <v>8.3880062848881748E-2</v>
      </c>
      <c r="X95" s="311">
        <v>6.6249357898770539E-2</v>
      </c>
      <c r="Y95" s="311">
        <v>0.12987372563299296</v>
      </c>
      <c r="Z95" s="311">
        <v>8.8654602221415205E-2</v>
      </c>
      <c r="AA95" s="311">
        <v>0.11219490690774513</v>
      </c>
      <c r="AB95" s="311">
        <v>3.1773285806871887E-2</v>
      </c>
      <c r="AC95" s="311">
        <v>6.5828700339800053E-2</v>
      </c>
      <c r="AD95" s="311">
        <v>4.7763713882788314E-2</v>
      </c>
      <c r="AE95" s="38">
        <f>'User Add-in Location'!B99</f>
        <v>0</v>
      </c>
      <c r="AF95" s="38">
        <f>'User Add-in Location'!C99</f>
        <v>0</v>
      </c>
      <c r="AG95" s="311">
        <v>5.7938028518481663E-2</v>
      </c>
      <c r="AH95" s="311">
        <v>6.7192766912586258E-2</v>
      </c>
      <c r="AI95" s="311">
        <v>0.11690786081941341</v>
      </c>
      <c r="AJ95" s="311">
        <v>0.14239434810566581</v>
      </c>
      <c r="AK95" s="311">
        <v>4.2865768070407748E-2</v>
      </c>
      <c r="AL95" s="311">
        <v>8.3058951125681971E-2</v>
      </c>
      <c r="AM95" s="311">
        <v>7.8797346890357306E-2</v>
      </c>
      <c r="AN95" s="311">
        <v>4.428876302963107E-2</v>
      </c>
      <c r="AO95" s="311">
        <v>9.7716249068631827E-2</v>
      </c>
      <c r="AP95" s="311">
        <v>7.5621050170265894E-2</v>
      </c>
      <c r="AQ95" s="311">
        <v>8.1446497382902078E-2</v>
      </c>
      <c r="AR95" s="311">
        <v>0.10765345264700774</v>
      </c>
      <c r="AS95" s="311">
        <v>9.8588743152608974E-2</v>
      </c>
      <c r="AT95" s="311">
        <v>6.6047418883699791E-2</v>
      </c>
      <c r="AU95" s="311">
        <v>5.2485613998169943E-2</v>
      </c>
      <c r="AV95" s="311">
        <v>7.7834988444174344E-2</v>
      </c>
      <c r="AW95" s="311">
        <v>9.8231649616657146E-2</v>
      </c>
      <c r="AX95" s="311">
        <v>0.21746647415554352</v>
      </c>
      <c r="AY95" s="311">
        <v>7.5473081479488696E-2</v>
      </c>
      <c r="AZ95" s="311">
        <v>9.0517716873033865E-2</v>
      </c>
      <c r="BA95" s="311">
        <v>8.2617013199567879E-2</v>
      </c>
      <c r="BB95" s="311">
        <v>8.5219148768248293E-2</v>
      </c>
      <c r="BC95" s="311">
        <v>6.2383164817808534E-2</v>
      </c>
      <c r="BD95" s="311">
        <v>7.2354643056482024E-2</v>
      </c>
      <c r="BE95" s="311">
        <v>2.6170969749382371E-2</v>
      </c>
      <c r="BF95" s="248"/>
      <c r="BG95" s="248"/>
    </row>
    <row r="96" spans="3:59" ht="17" x14ac:dyDescent="0.2">
      <c r="C96" s="6" t="s">
        <v>152</v>
      </c>
      <c r="D96" s="311">
        <v>6.8786990603071835E-2</v>
      </c>
      <c r="E96" s="311">
        <v>0</v>
      </c>
      <c r="F96" s="311">
        <v>0.12841234737422946</v>
      </c>
      <c r="G96" s="311">
        <v>6.3047308280045719E-2</v>
      </c>
      <c r="H96" s="311">
        <v>0.14904916254003853</v>
      </c>
      <c r="I96" s="311">
        <v>0.11301720746177328</v>
      </c>
      <c r="J96" s="311">
        <v>9.8435865512211257E-2</v>
      </c>
      <c r="K96" s="311">
        <v>8.2574021986558166E-2</v>
      </c>
      <c r="L96" s="311">
        <v>3.2933172223582476E-2</v>
      </c>
      <c r="M96" s="311">
        <v>0.11696482765150983</v>
      </c>
      <c r="N96" s="311">
        <v>9.1202699622700639E-2</v>
      </c>
      <c r="O96" s="311">
        <v>4.3983585998946452E-2</v>
      </c>
      <c r="P96" s="311">
        <v>7.6471380112421966E-2</v>
      </c>
      <c r="Q96" s="311">
        <v>0.12131842762597088</v>
      </c>
      <c r="R96" s="311">
        <v>8.1345854240732526E-2</v>
      </c>
      <c r="S96" s="311">
        <v>6.9421245362324482E-2</v>
      </c>
      <c r="T96" s="311">
        <v>7.2317442572217838E-2</v>
      </c>
      <c r="U96" s="311">
        <v>7.412457570071182E-2</v>
      </c>
      <c r="V96" s="311">
        <v>8.436415751799739E-2</v>
      </c>
      <c r="W96" s="311">
        <v>7.6082822574753808E-2</v>
      </c>
      <c r="X96" s="311">
        <v>8.9295883659230857E-2</v>
      </c>
      <c r="Y96" s="311">
        <v>0.12956360970963618</v>
      </c>
      <c r="Z96" s="311">
        <v>7.5040043464150552E-2</v>
      </c>
      <c r="AA96" s="311">
        <v>0.12546173533529698</v>
      </c>
      <c r="AB96" s="311">
        <v>4.3622270143573331E-2</v>
      </c>
      <c r="AC96" s="311">
        <v>9.2829301644608564E-2</v>
      </c>
      <c r="AD96" s="311">
        <v>6.0625886381433514E-2</v>
      </c>
      <c r="AE96" s="38">
        <f>'User Add-in Location'!B100</f>
        <v>0</v>
      </c>
      <c r="AF96" s="38">
        <f>'User Add-in Location'!C100</f>
        <v>0</v>
      </c>
      <c r="AG96" s="311">
        <v>8.8567370598161013E-2</v>
      </c>
      <c r="AH96" s="311">
        <v>4.5731269356636864E-2</v>
      </c>
      <c r="AI96" s="311">
        <v>0.1192452337309618</v>
      </c>
      <c r="AJ96" s="311">
        <v>0.12508415859597033</v>
      </c>
      <c r="AK96" s="311">
        <v>6.7351326436386943E-2</v>
      </c>
      <c r="AL96" s="311">
        <v>0.10171758897271704</v>
      </c>
      <c r="AM96" s="311">
        <v>8.3315345859345441E-2</v>
      </c>
      <c r="AN96" s="311">
        <v>7.0178307785484784E-2</v>
      </c>
      <c r="AO96" s="311">
        <v>0.10458079381060753</v>
      </c>
      <c r="AP96" s="311">
        <v>8.6489345363285064E-2</v>
      </c>
      <c r="AQ96" s="311">
        <v>6.3669368301919549E-2</v>
      </c>
      <c r="AR96" s="311">
        <v>0.11711881416823</v>
      </c>
      <c r="AS96" s="311">
        <v>9.1124062510318682E-2</v>
      </c>
      <c r="AT96" s="311">
        <v>6.7950565911388885E-2</v>
      </c>
      <c r="AU96" s="311">
        <v>6.5654867660209226E-2</v>
      </c>
      <c r="AV96" s="311">
        <v>0.10478598297737751</v>
      </c>
      <c r="AW96" s="311">
        <v>0.12141143701744761</v>
      </c>
      <c r="AX96" s="311">
        <v>0.22235375502722782</v>
      </c>
      <c r="AY96" s="311">
        <v>9.8640857819769487E-2</v>
      </c>
      <c r="AZ96" s="311">
        <v>8.5142876984384608E-2</v>
      </c>
      <c r="BA96" s="311">
        <v>8.9680061973351724E-2</v>
      </c>
      <c r="BB96" s="311">
        <v>8.2419851641087893E-2</v>
      </c>
      <c r="BC96" s="311">
        <v>4.7602419295767848E-2</v>
      </c>
      <c r="BD96" s="311">
        <v>8.9959856978246613E-2</v>
      </c>
      <c r="BE96" s="311">
        <v>0</v>
      </c>
      <c r="BF96" s="248"/>
      <c r="BG96" s="248"/>
    </row>
    <row r="97" spans="3:59" ht="17" x14ac:dyDescent="0.2">
      <c r="C97" s="6" t="s">
        <v>153</v>
      </c>
      <c r="D97" s="311">
        <v>7.3338997086045701E-2</v>
      </c>
      <c r="E97" s="311">
        <v>5.0747007886556894E-2</v>
      </c>
      <c r="F97" s="311">
        <v>0.11755796555911444</v>
      </c>
      <c r="G97" s="311">
        <v>8.1344273523355895E-2</v>
      </c>
      <c r="H97" s="311">
        <v>0.14103872576063034</v>
      </c>
      <c r="I97" s="311">
        <v>0.17288407886234117</v>
      </c>
      <c r="J97" s="311">
        <v>0.15150995421281166</v>
      </c>
      <c r="K97" s="311">
        <v>8.4478436628133591E-2</v>
      </c>
      <c r="L97" s="311">
        <v>4.6967839633649575E-2</v>
      </c>
      <c r="M97" s="311">
        <v>0.11656936336242493</v>
      </c>
      <c r="N97" s="311">
        <v>0.11748216376034266</v>
      </c>
      <c r="O97" s="311">
        <v>7.1385837694604465E-2</v>
      </c>
      <c r="P97" s="311">
        <v>8.3009985467414407E-2</v>
      </c>
      <c r="Q97" s="311">
        <v>0.1456400750212779</v>
      </c>
      <c r="R97" s="311">
        <v>9.7150636407292476E-2</v>
      </c>
      <c r="S97" s="311">
        <v>8.0505969517038228E-2</v>
      </c>
      <c r="T97" s="311">
        <v>8.7191072941164294E-2</v>
      </c>
      <c r="U97" s="311">
        <v>8.1858451954960443E-2</v>
      </c>
      <c r="V97" s="311">
        <v>8.1646045912444343E-2</v>
      </c>
      <c r="W97" s="311">
        <v>8.7267478479783334E-2</v>
      </c>
      <c r="X97" s="311">
        <v>0.10041158612029444</v>
      </c>
      <c r="Y97" s="311">
        <v>0.13629002819076139</v>
      </c>
      <c r="Z97" s="311">
        <v>0.11038576638995776</v>
      </c>
      <c r="AA97" s="311">
        <v>0.14425064822077496</v>
      </c>
      <c r="AB97" s="311">
        <v>5.6308838364782343E-2</v>
      </c>
      <c r="AC97" s="311">
        <v>0.10843871619864386</v>
      </c>
      <c r="AD97" s="311">
        <v>8.2120451969122377E-2</v>
      </c>
      <c r="AE97" s="38">
        <f>'User Add-in Location'!B101</f>
        <v>0</v>
      </c>
      <c r="AF97" s="38">
        <f>'User Add-in Location'!C101</f>
        <v>0</v>
      </c>
      <c r="AG97" s="311">
        <v>0.11078554830520849</v>
      </c>
      <c r="AH97" s="311">
        <v>7.5842292803949302E-2</v>
      </c>
      <c r="AI97" s="311">
        <v>0.10680177071983699</v>
      </c>
      <c r="AJ97" s="311">
        <v>0.13827052808655502</v>
      </c>
      <c r="AK97" s="311">
        <v>6.4169596247088317E-2</v>
      </c>
      <c r="AL97" s="311">
        <v>0.12645353384741234</v>
      </c>
      <c r="AM97" s="311">
        <v>0.10263481500273171</v>
      </c>
      <c r="AN97" s="311">
        <v>8.7421121684114214E-2</v>
      </c>
      <c r="AO97" s="311">
        <v>0.12016131025930599</v>
      </c>
      <c r="AP97" s="311">
        <v>0.19058976895578961</v>
      </c>
      <c r="AQ97" s="311">
        <v>0.10431297799444349</v>
      </c>
      <c r="AR97" s="311">
        <v>0.15127993123313854</v>
      </c>
      <c r="AS97" s="311">
        <v>0.1029296302363281</v>
      </c>
      <c r="AT97" s="311">
        <v>7.2790895112433127E-2</v>
      </c>
      <c r="AU97" s="311">
        <v>8.062591629070727E-2</v>
      </c>
      <c r="AV97" s="311">
        <v>0.12431463870976273</v>
      </c>
      <c r="AW97" s="311">
        <v>0.14654399666939694</v>
      </c>
      <c r="AX97" s="311">
        <v>0.2476431410939183</v>
      </c>
      <c r="AY97" s="311">
        <v>0.12379687880547682</v>
      </c>
      <c r="AZ97" s="311">
        <v>8.9817885419743476E-2</v>
      </c>
      <c r="BA97" s="311">
        <v>0.11078895946545941</v>
      </c>
      <c r="BB97" s="311">
        <v>0.10221894943651171</v>
      </c>
      <c r="BC97" s="311">
        <v>6.3738025088442937E-2</v>
      </c>
      <c r="BD97" s="311">
        <v>0.10942043499148688</v>
      </c>
      <c r="BE97" s="311">
        <v>5.1257161930838437E-2</v>
      </c>
      <c r="BF97" s="248"/>
      <c r="BG97" s="248"/>
    </row>
    <row r="98" spans="3:59" ht="17" x14ac:dyDescent="0.2">
      <c r="C98" s="6" t="s">
        <v>78</v>
      </c>
      <c r="D98" s="311">
        <v>9.8477571067195152E-2</v>
      </c>
      <c r="E98" s="311">
        <v>7.5185737763465266E-2</v>
      </c>
      <c r="F98" s="311">
        <v>0.15867349480189438</v>
      </c>
      <c r="G98" s="311">
        <v>8.8088712358533341E-2</v>
      </c>
      <c r="H98" s="311">
        <v>0.15088167024662086</v>
      </c>
      <c r="I98" s="311">
        <v>0.17244914581934642</v>
      </c>
      <c r="J98" s="311">
        <v>0.1346419285159125</v>
      </c>
      <c r="K98" s="311">
        <v>0.11063105907911269</v>
      </c>
      <c r="L98" s="311">
        <v>5.3457418802350012E-2</v>
      </c>
      <c r="M98" s="311">
        <v>0.15734989764201673</v>
      </c>
      <c r="N98" s="311">
        <v>0.14154805441835866</v>
      </c>
      <c r="O98" s="311">
        <v>0.1007090793306698</v>
      </c>
      <c r="P98" s="311">
        <v>9.8207191550661654E-2</v>
      </c>
      <c r="Q98" s="311">
        <v>0.16638970713861351</v>
      </c>
      <c r="R98" s="311">
        <v>0.11950478498367825</v>
      </c>
      <c r="S98" s="311">
        <v>0.10052319253002091</v>
      </c>
      <c r="T98" s="311">
        <v>0.10612602417889255</v>
      </c>
      <c r="U98" s="311">
        <v>9.3162265732657054E-2</v>
      </c>
      <c r="V98" s="311">
        <v>9.6769674140127493E-2</v>
      </c>
      <c r="W98" s="311">
        <v>0.11645240132996691</v>
      </c>
      <c r="X98" s="311">
        <v>0.13427516378860554</v>
      </c>
      <c r="Y98" s="311">
        <v>0.1781344953397043</v>
      </c>
      <c r="Z98" s="311">
        <v>0.13918840979408573</v>
      </c>
      <c r="AA98" s="311">
        <v>0.18119280174197364</v>
      </c>
      <c r="AB98" s="311">
        <v>7.163287961439424E-2</v>
      </c>
      <c r="AC98" s="311">
        <v>0.14242234458755343</v>
      </c>
      <c r="AD98" s="311">
        <v>9.6287966139997044E-2</v>
      </c>
      <c r="AE98" s="38">
        <f>'User Add-in Location'!B102</f>
        <v>0</v>
      </c>
      <c r="AF98" s="38">
        <f>'User Add-in Location'!C102</f>
        <v>0</v>
      </c>
      <c r="AG98" s="311">
        <v>0.11857214701065191</v>
      </c>
      <c r="AH98" s="311">
        <v>0.10350348390852793</v>
      </c>
      <c r="AI98" s="311">
        <v>0.16996277437351229</v>
      </c>
      <c r="AJ98" s="311">
        <v>0.16664372064558997</v>
      </c>
      <c r="AK98" s="311">
        <v>7.3691939353404567E-2</v>
      </c>
      <c r="AL98" s="311">
        <v>0.13839963654900075</v>
      </c>
      <c r="AM98" s="311">
        <v>0.13917567884071719</v>
      </c>
      <c r="AN98" s="311">
        <v>8.9188497069487185E-2</v>
      </c>
      <c r="AO98" s="311">
        <v>0.14772606447668965</v>
      </c>
      <c r="AP98" s="311">
        <v>0.1023532851551949</v>
      </c>
      <c r="AQ98" s="311">
        <v>0.14115440712382893</v>
      </c>
      <c r="AR98" s="311">
        <v>0.16213759606733769</v>
      </c>
      <c r="AS98" s="311">
        <v>0.13764169457776046</v>
      </c>
      <c r="AT98" s="311">
        <v>9.851887094819875E-2</v>
      </c>
      <c r="AU98" s="311">
        <v>9.689374014352399E-2</v>
      </c>
      <c r="AV98" s="311">
        <v>0.14064941601403141</v>
      </c>
      <c r="AW98" s="311">
        <v>0.14235030307856547</v>
      </c>
      <c r="AX98" s="311">
        <v>0.25160685568415486</v>
      </c>
      <c r="AY98" s="311">
        <v>0.14545164219745091</v>
      </c>
      <c r="AZ98" s="311">
        <v>0.1047955253861273</v>
      </c>
      <c r="BA98" s="311">
        <v>0.13370542203418015</v>
      </c>
      <c r="BB98" s="311">
        <v>0.11825764729727642</v>
      </c>
      <c r="BC98" s="311">
        <v>7.6773998135126503E-2</v>
      </c>
      <c r="BD98" s="311">
        <v>0.13589152018700559</v>
      </c>
      <c r="BE98" s="311">
        <v>6.1393899211949231E-2</v>
      </c>
      <c r="BF98" s="248"/>
      <c r="BG98" s="248"/>
    </row>
    <row r="99" spans="3:59" ht="17" x14ac:dyDescent="0.2">
      <c r="C99" s="6" t="s">
        <v>79</v>
      </c>
      <c r="D99" s="311">
        <v>0.103415547816664</v>
      </c>
      <c r="E99" s="311">
        <v>0.11571510097439655</v>
      </c>
      <c r="F99" s="311">
        <v>0.16922143755740243</v>
      </c>
      <c r="G99" s="311">
        <v>0.10515368639693987</v>
      </c>
      <c r="H99" s="311">
        <v>0.16896252994888974</v>
      </c>
      <c r="I99" s="311">
        <v>0.17636888332519304</v>
      </c>
      <c r="J99" s="311">
        <v>0.1702966904819771</v>
      </c>
      <c r="K99" s="311">
        <v>0.12749370731310733</v>
      </c>
      <c r="L99" s="311">
        <v>5.0027712983958285E-2</v>
      </c>
      <c r="M99" s="311">
        <v>0.17861428430093373</v>
      </c>
      <c r="N99" s="311">
        <v>0.15701128966271263</v>
      </c>
      <c r="O99" s="311">
        <v>0.10761467883527022</v>
      </c>
      <c r="P99" s="311">
        <v>0.11838827511059241</v>
      </c>
      <c r="Q99" s="311">
        <v>0.1860650649068479</v>
      </c>
      <c r="R99" s="311">
        <v>0.13096923962797322</v>
      </c>
      <c r="S99" s="311">
        <v>0.11034183091390812</v>
      </c>
      <c r="T99" s="311">
        <v>0.11097462461933789</v>
      </c>
      <c r="U99" s="311">
        <v>0.11475607066189057</v>
      </c>
      <c r="V99" s="311">
        <v>0.10822367475813817</v>
      </c>
      <c r="W99" s="311">
        <v>0.13220734569118356</v>
      </c>
      <c r="X99" s="311">
        <v>0.14629642524709391</v>
      </c>
      <c r="Y99" s="311">
        <v>0.20346390713958229</v>
      </c>
      <c r="Z99" s="311">
        <v>0.14418841771501689</v>
      </c>
      <c r="AA99" s="311">
        <v>0.18602302779726893</v>
      </c>
      <c r="AB99" s="311">
        <v>8.4799475431405244E-2</v>
      </c>
      <c r="AC99" s="311">
        <v>0.14870862465125007</v>
      </c>
      <c r="AD99" s="311">
        <v>0.12854122664503184</v>
      </c>
      <c r="AE99" s="38">
        <f>'User Add-in Location'!B103</f>
        <v>0</v>
      </c>
      <c r="AF99" s="38">
        <f>'User Add-in Location'!C103</f>
        <v>0</v>
      </c>
      <c r="AG99" s="311">
        <v>0.1247318604697451</v>
      </c>
      <c r="AH99" s="311">
        <v>0.10556918903016294</v>
      </c>
      <c r="AI99" s="311">
        <v>0.18631796026033284</v>
      </c>
      <c r="AJ99" s="311">
        <v>0.1826741660772685</v>
      </c>
      <c r="AK99" s="311">
        <v>9.1574432663300551E-2</v>
      </c>
      <c r="AL99" s="311">
        <v>0.1518804369433624</v>
      </c>
      <c r="AM99" s="311">
        <v>0.1566955207740417</v>
      </c>
      <c r="AN99" s="311">
        <v>0.11030641526879539</v>
      </c>
      <c r="AO99" s="311">
        <v>0.14886144036000701</v>
      </c>
      <c r="AP99" s="311">
        <v>0.12746977770499546</v>
      </c>
      <c r="AQ99" s="311">
        <v>0.16861102301994571</v>
      </c>
      <c r="AR99" s="311">
        <v>0.18634727662845696</v>
      </c>
      <c r="AS99" s="311">
        <v>0.16819123653512211</v>
      </c>
      <c r="AT99" s="311">
        <v>0.1121154755232025</v>
      </c>
      <c r="AU99" s="311">
        <v>0.11626425072072565</v>
      </c>
      <c r="AV99" s="311">
        <v>0.16814958493556714</v>
      </c>
      <c r="AW99" s="311">
        <v>0.16992193331132138</v>
      </c>
      <c r="AX99" s="311">
        <v>0.27816447550105505</v>
      </c>
      <c r="AY99" s="311">
        <v>0.15945094858061137</v>
      </c>
      <c r="AZ99" s="311">
        <v>0.12845654091178718</v>
      </c>
      <c r="BA99" s="311">
        <v>0.14136241851439732</v>
      </c>
      <c r="BB99" s="311">
        <v>0.12242977493771706</v>
      </c>
      <c r="BC99" s="311">
        <v>9.1317111392271888E-2</v>
      </c>
      <c r="BD99" s="311">
        <v>0.14332870792888655</v>
      </c>
      <c r="BE99" s="311">
        <v>5.9190663559595492E-2</v>
      </c>
      <c r="BF99" s="248"/>
      <c r="BG99" s="248"/>
    </row>
    <row r="100" spans="3:59" ht="17" x14ac:dyDescent="0.2">
      <c r="C100" s="6" t="s">
        <v>154</v>
      </c>
      <c r="D100" s="311">
        <v>7.2103834101407582E-2</v>
      </c>
      <c r="E100" s="311">
        <v>5.7401772127462752E-2</v>
      </c>
      <c r="F100" s="311">
        <v>0.12532590960479068</v>
      </c>
      <c r="G100" s="311">
        <v>6.6200451764060211E-2</v>
      </c>
      <c r="H100" s="311">
        <v>0.11373325069975333</v>
      </c>
      <c r="I100" s="311">
        <v>0.12751827563964768</v>
      </c>
      <c r="J100" s="311">
        <v>0.14304033507305836</v>
      </c>
      <c r="K100" s="311">
        <v>5.5156273375395672E-2</v>
      </c>
      <c r="L100" s="311">
        <v>3.3764823021163931E-2</v>
      </c>
      <c r="M100" s="311">
        <v>0.12525852828596959</v>
      </c>
      <c r="N100" s="311">
        <v>9.4902036580916505E-2</v>
      </c>
      <c r="O100" s="311">
        <v>6.0276144700148637E-2</v>
      </c>
      <c r="P100" s="311">
        <v>6.7737034306468047E-2</v>
      </c>
      <c r="Q100" s="311">
        <v>0.13453868557212573</v>
      </c>
      <c r="R100" s="311">
        <v>0.10101220118206128</v>
      </c>
      <c r="S100" s="311">
        <v>6.7937058862450508E-2</v>
      </c>
      <c r="T100" s="311">
        <v>7.3513111980820695E-2</v>
      </c>
      <c r="U100" s="311">
        <v>7.7381978227435214E-2</v>
      </c>
      <c r="V100" s="311">
        <v>6.8722272770361914E-2</v>
      </c>
      <c r="W100" s="311">
        <v>8.1380527144955028E-2</v>
      </c>
      <c r="X100" s="311">
        <v>0.10073736095865039</v>
      </c>
      <c r="Y100" s="311">
        <v>0.14382329295176768</v>
      </c>
      <c r="Z100" s="311">
        <v>0.10320516595437079</v>
      </c>
      <c r="AA100" s="311">
        <v>0.15799316310344355</v>
      </c>
      <c r="AB100" s="311">
        <v>5.0359588870565027E-2</v>
      </c>
      <c r="AC100" s="311">
        <v>0.10386755120205599</v>
      </c>
      <c r="AD100" s="311">
        <v>6.8971094774535086E-2</v>
      </c>
      <c r="AE100" s="38">
        <f>'User Add-in Location'!B104</f>
        <v>0</v>
      </c>
      <c r="AF100" s="38">
        <f>'User Add-in Location'!C104</f>
        <v>0</v>
      </c>
      <c r="AG100" s="311">
        <v>8.1250908555983603E-2</v>
      </c>
      <c r="AH100" s="311">
        <v>5.6301493400016028E-2</v>
      </c>
      <c r="AI100" s="311">
        <v>0.11183958798978313</v>
      </c>
      <c r="AJ100" s="311">
        <v>0.13409693892725968</v>
      </c>
      <c r="AK100" s="311">
        <v>4.6095677724241883E-2</v>
      </c>
      <c r="AL100" s="311">
        <v>0.11237628025337798</v>
      </c>
      <c r="AM100" s="311">
        <v>9.5795420191170988E-2</v>
      </c>
      <c r="AN100" s="311">
        <v>7.0342309337849226E-2</v>
      </c>
      <c r="AO100" s="311">
        <v>9.2571228650733792E-2</v>
      </c>
      <c r="AP100" s="311">
        <v>8.1804579942845929E-2</v>
      </c>
      <c r="AQ100" s="311">
        <v>8.8330810712174995E-2</v>
      </c>
      <c r="AR100" s="311">
        <v>0.12064811934160426</v>
      </c>
      <c r="AS100" s="311">
        <v>0.10683031790148496</v>
      </c>
      <c r="AT100" s="311">
        <v>7.827423493849793E-2</v>
      </c>
      <c r="AU100" s="311">
        <v>6.7199361057047477E-2</v>
      </c>
      <c r="AV100" s="311">
        <v>0.11593459627270875</v>
      </c>
      <c r="AW100" s="311">
        <v>0.13965914961736198</v>
      </c>
      <c r="AX100" s="311">
        <v>0.19964598233628383</v>
      </c>
      <c r="AY100" s="311">
        <v>9.5668610710361618E-2</v>
      </c>
      <c r="AZ100" s="311">
        <v>6.6969612336854389E-2</v>
      </c>
      <c r="BA100" s="311">
        <v>9.140305904454106E-2</v>
      </c>
      <c r="BB100" s="311">
        <v>8.1583368347677654E-2</v>
      </c>
      <c r="BC100" s="311">
        <v>4.9280148652248126E-2</v>
      </c>
      <c r="BD100" s="311">
        <v>9.123923996493917E-2</v>
      </c>
      <c r="BE100" s="311">
        <v>3.2186265067904472E-2</v>
      </c>
      <c r="BF100" s="248"/>
      <c r="BG100" s="248"/>
    </row>
    <row r="101" spans="3:59" ht="17" x14ac:dyDescent="0.2">
      <c r="C101" s="6" t="s">
        <v>155</v>
      </c>
      <c r="D101" s="311">
        <v>0.12269863211739632</v>
      </c>
      <c r="E101" s="311">
        <v>0.11458703030905473</v>
      </c>
      <c r="F101" s="311">
        <v>0.18982162072981498</v>
      </c>
      <c r="G101" s="311">
        <v>0.11665793892723991</v>
      </c>
      <c r="H101" s="311">
        <v>0.18967964436229939</v>
      </c>
      <c r="I101" s="311">
        <v>0.19213410705586215</v>
      </c>
      <c r="J101" s="311">
        <v>0.17981881943686934</v>
      </c>
      <c r="K101" s="311">
        <v>0.13032567616725396</v>
      </c>
      <c r="L101" s="311">
        <v>6.3274555374132457E-2</v>
      </c>
      <c r="M101" s="311">
        <v>0.19206759436568246</v>
      </c>
      <c r="N101" s="311">
        <v>0.16567472223288673</v>
      </c>
      <c r="O101" s="311">
        <v>0.12139999690613019</v>
      </c>
      <c r="P101" s="311">
        <v>0.12323502755507908</v>
      </c>
      <c r="Q101" s="311">
        <v>0.20480509613808812</v>
      </c>
      <c r="R101" s="311">
        <v>0.15177602542138555</v>
      </c>
      <c r="S101" s="311">
        <v>0.12025493987117075</v>
      </c>
      <c r="T101" s="311">
        <v>0.13049551782319777</v>
      </c>
      <c r="U101" s="311">
        <v>0.12808103015756367</v>
      </c>
      <c r="V101" s="311">
        <v>0.11947778281800567</v>
      </c>
      <c r="W101" s="311">
        <v>0.15303934603080574</v>
      </c>
      <c r="X101" s="311">
        <v>0.16562526544564399</v>
      </c>
      <c r="Y101" s="311">
        <v>0.21328152368541131</v>
      </c>
      <c r="Z101" s="311">
        <v>0.1723187206708327</v>
      </c>
      <c r="AA101" s="311">
        <v>0.21095441938670179</v>
      </c>
      <c r="AB101" s="311">
        <v>9.1238318271944091E-2</v>
      </c>
      <c r="AC101" s="311">
        <v>0.16375726024884474</v>
      </c>
      <c r="AD101" s="311">
        <v>0.12406010394436492</v>
      </c>
      <c r="AE101" s="38">
        <f>'User Add-in Location'!B105</f>
        <v>0</v>
      </c>
      <c r="AF101" s="38">
        <f>'User Add-in Location'!C105</f>
        <v>0</v>
      </c>
      <c r="AG101" s="311">
        <v>0.13982944920315624</v>
      </c>
      <c r="AH101" s="311">
        <v>0.11678213713502376</v>
      </c>
      <c r="AI101" s="311">
        <v>0.18696089075047789</v>
      </c>
      <c r="AJ101" s="311">
        <v>0.20250720508271977</v>
      </c>
      <c r="AK101" s="311">
        <v>8.9109332615923312E-2</v>
      </c>
      <c r="AL101" s="311">
        <v>0.16251826947544046</v>
      </c>
      <c r="AM101" s="311">
        <v>0.16609102004340412</v>
      </c>
      <c r="AN101" s="311">
        <v>0.11725771566995835</v>
      </c>
      <c r="AO101" s="311">
        <v>0.17964942211436832</v>
      </c>
      <c r="AP101" s="311">
        <v>0.13481907608620233</v>
      </c>
      <c r="AQ101" s="311">
        <v>0.16975121084169575</v>
      </c>
      <c r="AR101" s="311">
        <v>0.20266985841591673</v>
      </c>
      <c r="AS101" s="311">
        <v>0.17361113825774591</v>
      </c>
      <c r="AT101" s="311">
        <v>0.12244297113124114</v>
      </c>
      <c r="AU101" s="311">
        <v>0.12670804673464481</v>
      </c>
      <c r="AV101" s="311">
        <v>0.19057213847424687</v>
      </c>
      <c r="AW101" s="311">
        <v>0.18625557145480742</v>
      </c>
      <c r="AX101" s="311">
        <v>0.31232289126555585</v>
      </c>
      <c r="AY101" s="311">
        <v>0.16304393915056217</v>
      </c>
      <c r="AZ101" s="311">
        <v>0.13908391997060945</v>
      </c>
      <c r="BA101" s="311">
        <v>0.16706844157389089</v>
      </c>
      <c r="BB101" s="311">
        <v>0.14352843611912913</v>
      </c>
      <c r="BC101" s="311">
        <v>0.10864469557505314</v>
      </c>
      <c r="BD101" s="311">
        <v>0.16213102842294683</v>
      </c>
      <c r="BE101" s="311">
        <v>6.449875290411132E-2</v>
      </c>
      <c r="BF101" s="248"/>
      <c r="BG101" s="248"/>
    </row>
    <row r="102" spans="3:59" ht="17" x14ac:dyDescent="0.2">
      <c r="C102" s="6" t="s">
        <v>156</v>
      </c>
      <c r="D102" s="311">
        <v>0.13597049683960305</v>
      </c>
      <c r="E102" s="311">
        <v>0.13255444376527553</v>
      </c>
      <c r="F102" s="311">
        <v>0.21235548327675674</v>
      </c>
      <c r="G102" s="311">
        <v>0.12552678460485264</v>
      </c>
      <c r="H102" s="311">
        <v>0.21735866197295539</v>
      </c>
      <c r="I102" s="311">
        <v>0.2296003788284523</v>
      </c>
      <c r="J102" s="311">
        <v>0.20647981591100628</v>
      </c>
      <c r="K102" s="311">
        <v>0.1440275322007753</v>
      </c>
      <c r="L102" s="311">
        <v>6.9218607941636173E-2</v>
      </c>
      <c r="M102" s="311">
        <v>0.219605896990613</v>
      </c>
      <c r="N102" s="311">
        <v>0.19636009689859446</v>
      </c>
      <c r="O102" s="311">
        <v>0.13169710699199999</v>
      </c>
      <c r="P102" s="311">
        <v>0.12744323930429985</v>
      </c>
      <c r="Q102" s="311">
        <v>0.2343201828634574</v>
      </c>
      <c r="R102" s="311">
        <v>0.13540732412645007</v>
      </c>
      <c r="S102" s="311">
        <v>0.1266628300059929</v>
      </c>
      <c r="T102" s="311">
        <v>0.14718254223788363</v>
      </c>
      <c r="U102" s="311">
        <v>0.13591573111337174</v>
      </c>
      <c r="V102" s="311">
        <v>0.13938393772261504</v>
      </c>
      <c r="W102" s="311">
        <v>0.16237852555711663</v>
      </c>
      <c r="X102" s="311">
        <v>0.18277604683556833</v>
      </c>
      <c r="Y102" s="311">
        <v>0.23226363693339983</v>
      </c>
      <c r="Z102" s="311">
        <v>0.19427477042767022</v>
      </c>
      <c r="AA102" s="311">
        <v>0.23302997464180281</v>
      </c>
      <c r="AB102" s="311">
        <v>0.10117592638942988</v>
      </c>
      <c r="AC102" s="311">
        <v>0.181234314812798</v>
      </c>
      <c r="AD102" s="311">
        <v>0.13525937339290489</v>
      </c>
      <c r="AE102" s="38">
        <f>'User Add-in Location'!B106</f>
        <v>0</v>
      </c>
      <c r="AF102" s="38">
        <f>'User Add-in Location'!C106</f>
        <v>0</v>
      </c>
      <c r="AG102" s="311">
        <v>0.14509183367363987</v>
      </c>
      <c r="AH102" s="311">
        <v>0.14438123211933709</v>
      </c>
      <c r="AI102" s="311">
        <v>0.20103299572102204</v>
      </c>
      <c r="AJ102" s="311">
        <v>0.22655855731478095</v>
      </c>
      <c r="AK102" s="311">
        <v>0.10656964039092684</v>
      </c>
      <c r="AL102" s="311">
        <v>0.18299169285512812</v>
      </c>
      <c r="AM102" s="311">
        <v>0.17318688669776086</v>
      </c>
      <c r="AN102" s="311">
        <v>0.12807911713529552</v>
      </c>
      <c r="AO102" s="311">
        <v>0.19359896698405532</v>
      </c>
      <c r="AP102" s="311">
        <v>0.15091275229823109</v>
      </c>
      <c r="AQ102" s="311">
        <v>0.16400273769482623</v>
      </c>
      <c r="AR102" s="311">
        <v>0.21530308157795081</v>
      </c>
      <c r="AS102" s="311">
        <v>0.17800553385558576</v>
      </c>
      <c r="AT102" s="311">
        <v>0.14019844125629166</v>
      </c>
      <c r="AU102" s="311">
        <v>0.12822054880472031</v>
      </c>
      <c r="AV102" s="311">
        <v>0.20183002475973069</v>
      </c>
      <c r="AW102" s="311">
        <v>0.21555595305099198</v>
      </c>
      <c r="AX102" s="311">
        <v>0.34217921481498337</v>
      </c>
      <c r="AY102" s="311">
        <v>0.18436967235777896</v>
      </c>
      <c r="AZ102" s="311">
        <v>0.15241131427034016</v>
      </c>
      <c r="BA102" s="311">
        <v>0.19041044233070362</v>
      </c>
      <c r="BB102" s="311">
        <v>0.15972359773832567</v>
      </c>
      <c r="BC102" s="311">
        <v>0.10831581424481339</v>
      </c>
      <c r="BD102" s="311">
        <v>0.17141757614655262</v>
      </c>
      <c r="BE102" s="311">
        <v>7.6618940897305379E-2</v>
      </c>
      <c r="BF102" s="248"/>
      <c r="BG102" s="248"/>
    </row>
    <row r="103" spans="3:59" ht="17" x14ac:dyDescent="0.2">
      <c r="C103" s="6" t="s">
        <v>80</v>
      </c>
      <c r="D103" s="311">
        <v>0.14684556004777061</v>
      </c>
      <c r="E103" s="311">
        <v>0.17839462769748768</v>
      </c>
      <c r="F103" s="311">
        <v>0.22798494573571923</v>
      </c>
      <c r="G103" s="311">
        <v>0.16891724366353489</v>
      </c>
      <c r="H103" s="311">
        <v>0.23707271033239305</v>
      </c>
      <c r="I103" s="311">
        <v>0.25844815376709479</v>
      </c>
      <c r="J103" s="311">
        <v>0.20232968687167519</v>
      </c>
      <c r="K103" s="311">
        <v>0.17743198273938551</v>
      </c>
      <c r="L103" s="311">
        <v>6.3577650926055385E-2</v>
      </c>
      <c r="M103" s="311">
        <v>0.24605874265979608</v>
      </c>
      <c r="N103" s="311">
        <v>0.24606144600856772</v>
      </c>
      <c r="O103" s="311">
        <v>0.1761583591841015</v>
      </c>
      <c r="P103" s="311">
        <v>0.17533663745750586</v>
      </c>
      <c r="Q103" s="311">
        <v>0.28255818132457106</v>
      </c>
      <c r="R103" s="311">
        <v>0.19888399861680017</v>
      </c>
      <c r="S103" s="311">
        <v>0.17104600661278602</v>
      </c>
      <c r="T103" s="311">
        <v>0.18517276572170077</v>
      </c>
      <c r="U103" s="311">
        <v>0.17961317026239237</v>
      </c>
      <c r="V103" s="311">
        <v>0.18149470404452525</v>
      </c>
      <c r="W103" s="311">
        <v>0.20526300160776612</v>
      </c>
      <c r="X103" s="311">
        <v>0.18127371030212833</v>
      </c>
      <c r="Y103" s="311">
        <v>0.20978164758372816</v>
      </c>
      <c r="Z103" s="311">
        <v>0.23107682059480891</v>
      </c>
      <c r="AA103" s="311">
        <v>0.25604565974642596</v>
      </c>
      <c r="AB103" s="311">
        <v>0.14183929302317883</v>
      </c>
      <c r="AC103" s="311">
        <v>0.22510933301794997</v>
      </c>
      <c r="AD103" s="311">
        <v>0.17698554465596086</v>
      </c>
      <c r="AE103" s="38">
        <f>'User Add-in Location'!B107</f>
        <v>0</v>
      </c>
      <c r="AF103" s="38">
        <f>'User Add-in Location'!C107</f>
        <v>0</v>
      </c>
      <c r="AG103" s="311">
        <v>0.19939731301168079</v>
      </c>
      <c r="AH103" s="311">
        <v>0.16854580063626856</v>
      </c>
      <c r="AI103" s="311">
        <v>0.19505196664856278</v>
      </c>
      <c r="AJ103" s="311">
        <v>0.25451580384037037</v>
      </c>
      <c r="AK103" s="311">
        <v>0.10259464323175718</v>
      </c>
      <c r="AL103" s="311">
        <v>0.20989104327485214</v>
      </c>
      <c r="AM103" s="311">
        <v>0.23464024252184354</v>
      </c>
      <c r="AN103" s="311">
        <v>0.16192262144739505</v>
      </c>
      <c r="AO103" s="311">
        <v>0.23197740274445977</v>
      </c>
      <c r="AP103" s="311">
        <v>0.16610104296054959</v>
      </c>
      <c r="AQ103" s="311">
        <v>0.22233310576228651</v>
      </c>
      <c r="AR103" s="311">
        <v>0.25120469159525871</v>
      </c>
      <c r="AS103" s="311">
        <v>0.19794731547335284</v>
      </c>
      <c r="AT103" s="311">
        <v>0.17502104133290775</v>
      </c>
      <c r="AU103" s="311">
        <v>0.16651197532355985</v>
      </c>
      <c r="AV103" s="311">
        <v>0.23382164052457607</v>
      </c>
      <c r="AW103" s="311">
        <v>0.23777801501772797</v>
      </c>
      <c r="AX103" s="311">
        <v>0.36663744165942402</v>
      </c>
      <c r="AY103" s="311">
        <v>0.21397588852071581</v>
      </c>
      <c r="AZ103" s="311">
        <v>0.20394156610943737</v>
      </c>
      <c r="BA103" s="311">
        <v>0.19106719883171447</v>
      </c>
      <c r="BB103" s="311">
        <v>0.18404357154820108</v>
      </c>
      <c r="BC103" s="311">
        <v>0.14275472870469283</v>
      </c>
      <c r="BD103" s="311">
        <v>0.21945534556875362</v>
      </c>
      <c r="BE103" s="311">
        <v>0.10720491800295859</v>
      </c>
      <c r="BF103" s="248"/>
      <c r="BG103" s="248"/>
    </row>
    <row r="104" spans="3:59" ht="16" x14ac:dyDescent="0.2">
      <c r="C104" s="6"/>
      <c r="D104" s="311"/>
      <c r="E104" s="311"/>
      <c r="F104" s="311"/>
      <c r="G104" s="311"/>
      <c r="H104" s="311"/>
      <c r="I104" s="311"/>
      <c r="J104" s="311"/>
      <c r="K104" s="311"/>
      <c r="L104" s="311"/>
      <c r="M104" s="311"/>
      <c r="N104" s="311"/>
      <c r="O104" s="311"/>
      <c r="P104" s="311"/>
      <c r="Q104" s="311"/>
      <c r="R104" s="311"/>
      <c r="S104" s="311"/>
      <c r="T104" s="311"/>
      <c r="U104" s="311"/>
      <c r="V104" s="311"/>
      <c r="W104" s="311"/>
      <c r="X104" s="311"/>
      <c r="Y104" s="311"/>
      <c r="Z104" s="311"/>
      <c r="AA104" s="311"/>
      <c r="AB104" s="311"/>
      <c r="AC104" s="311"/>
      <c r="AD104" s="311"/>
      <c r="AE104" s="38"/>
      <c r="AF104" s="38"/>
      <c r="AG104" s="311"/>
      <c r="AH104" s="311"/>
      <c r="AI104" s="311"/>
      <c r="AJ104" s="311"/>
      <c r="AK104" s="311"/>
      <c r="AL104" s="311"/>
      <c r="AM104" s="311"/>
      <c r="AN104" s="311"/>
      <c r="AO104" s="311"/>
      <c r="AP104" s="311"/>
      <c r="AQ104" s="311"/>
      <c r="AR104" s="311"/>
      <c r="AS104" s="311"/>
      <c r="AT104" s="311"/>
      <c r="AU104" s="311"/>
      <c r="AV104" s="311"/>
      <c r="AW104" s="311"/>
      <c r="AX104" s="311"/>
      <c r="AY104" s="311"/>
      <c r="AZ104" s="311"/>
      <c r="BA104" s="311"/>
      <c r="BB104" s="311"/>
      <c r="BC104" s="311"/>
      <c r="BD104" s="311"/>
      <c r="BE104" s="311"/>
      <c r="BF104" s="248"/>
      <c r="BG104" s="248"/>
    </row>
    <row r="105" spans="3:59" ht="12" customHeight="1" x14ac:dyDescent="0.2">
      <c r="C105" s="76" t="s">
        <v>283</v>
      </c>
      <c r="D105" s="311"/>
      <c r="E105" s="311"/>
      <c r="F105" s="311"/>
      <c r="G105" s="311"/>
      <c r="H105" s="311"/>
      <c r="I105" s="311"/>
      <c r="J105" s="311"/>
      <c r="K105" s="311"/>
      <c r="L105" s="311"/>
      <c r="M105" s="311"/>
      <c r="N105" s="311"/>
      <c r="O105" s="311"/>
      <c r="P105" s="311"/>
      <c r="Q105" s="311"/>
      <c r="R105" s="311"/>
      <c r="S105" s="311"/>
      <c r="T105" s="311"/>
      <c r="U105" s="311"/>
      <c r="V105" s="311"/>
      <c r="W105" s="311"/>
      <c r="X105" s="311"/>
      <c r="Y105" s="311"/>
      <c r="Z105" s="311"/>
      <c r="AA105" s="311"/>
      <c r="AB105" s="311"/>
      <c r="AC105" s="311"/>
      <c r="AD105" s="311"/>
      <c r="AE105" s="38"/>
      <c r="AF105" s="38"/>
      <c r="AG105" s="311"/>
      <c r="AH105" s="311"/>
      <c r="AI105" s="311"/>
      <c r="AJ105" s="311"/>
      <c r="AK105" s="311"/>
      <c r="AL105" s="311"/>
      <c r="AM105" s="311"/>
      <c r="AN105" s="311"/>
      <c r="AO105" s="311"/>
      <c r="AP105" s="311"/>
      <c r="AQ105" s="311"/>
      <c r="AR105" s="311"/>
      <c r="AS105" s="311"/>
      <c r="AT105" s="311"/>
      <c r="AU105" s="311"/>
      <c r="AV105" s="311"/>
      <c r="AW105" s="311"/>
      <c r="AX105" s="311"/>
      <c r="AY105" s="311"/>
      <c r="AZ105" s="311"/>
      <c r="BA105" s="311"/>
      <c r="BB105" s="311"/>
      <c r="BC105" s="311"/>
      <c r="BD105" s="311"/>
      <c r="BE105" s="311"/>
      <c r="BF105" s="248"/>
      <c r="BG105" s="248"/>
    </row>
    <row r="106" spans="3:59" ht="16" x14ac:dyDescent="0.2">
      <c r="C106" s="77" t="s">
        <v>290</v>
      </c>
      <c r="D106" s="311" t="s">
        <v>82</v>
      </c>
      <c r="E106" s="311" t="s">
        <v>83</v>
      </c>
      <c r="F106" s="311" t="s">
        <v>84</v>
      </c>
      <c r="G106" s="311" t="s">
        <v>85</v>
      </c>
      <c r="H106" s="311" t="s">
        <v>86</v>
      </c>
      <c r="I106" s="311" t="s">
        <v>87</v>
      </c>
      <c r="J106" s="311" t="s">
        <v>88</v>
      </c>
      <c r="K106" s="311" t="s">
        <v>89</v>
      </c>
      <c r="L106" s="311" t="s">
        <v>90</v>
      </c>
      <c r="M106" s="311" t="s">
        <v>91</v>
      </c>
      <c r="N106" s="311" t="s">
        <v>92</v>
      </c>
      <c r="O106" s="311" t="s">
        <v>93</v>
      </c>
      <c r="P106" s="311" t="s">
        <v>94</v>
      </c>
      <c r="Q106" s="311" t="s">
        <v>95</v>
      </c>
      <c r="R106" s="311" t="s">
        <v>96</v>
      </c>
      <c r="S106" s="311" t="s">
        <v>97</v>
      </c>
      <c r="T106" s="311" t="s">
        <v>98</v>
      </c>
      <c r="U106" s="311" t="s">
        <v>99</v>
      </c>
      <c r="V106" s="311" t="s">
        <v>100</v>
      </c>
      <c r="W106" s="311" t="s">
        <v>101</v>
      </c>
      <c r="X106" s="311" t="s">
        <v>102</v>
      </c>
      <c r="Y106" s="311" t="s">
        <v>103</v>
      </c>
      <c r="Z106" s="311" t="s">
        <v>104</v>
      </c>
      <c r="AA106" s="311" t="s">
        <v>105</v>
      </c>
      <c r="AB106" s="311" t="s">
        <v>106</v>
      </c>
      <c r="AC106" s="311" t="s">
        <v>107</v>
      </c>
      <c r="AD106" s="311" t="s">
        <v>108</v>
      </c>
      <c r="AE106" s="38" t="s">
        <v>322</v>
      </c>
      <c r="AF106" s="38" t="s">
        <v>321</v>
      </c>
      <c r="AG106" s="311" t="s">
        <v>109</v>
      </c>
      <c r="AH106" s="311" t="s">
        <v>110</v>
      </c>
      <c r="AI106" s="311" t="s">
        <v>111</v>
      </c>
      <c r="AJ106" s="311" t="s">
        <v>112</v>
      </c>
      <c r="AK106" s="311" t="s">
        <v>113</v>
      </c>
      <c r="AL106" s="311" t="s">
        <v>114</v>
      </c>
      <c r="AM106" s="311" t="s">
        <v>115</v>
      </c>
      <c r="AN106" s="311" t="s">
        <v>116</v>
      </c>
      <c r="AO106" s="311" t="s">
        <v>117</v>
      </c>
      <c r="AP106" s="311" t="s">
        <v>118</v>
      </c>
      <c r="AQ106" s="311" t="s">
        <v>119</v>
      </c>
      <c r="AR106" s="311" t="s">
        <v>120</v>
      </c>
      <c r="AS106" s="311" t="s">
        <v>121</v>
      </c>
      <c r="AT106" s="311" t="s">
        <v>122</v>
      </c>
      <c r="AU106" s="311" t="s">
        <v>123</v>
      </c>
      <c r="AV106" s="311" t="s">
        <v>124</v>
      </c>
      <c r="AW106" s="311" t="s">
        <v>125</v>
      </c>
      <c r="AX106" s="311" t="s">
        <v>585</v>
      </c>
      <c r="AY106" s="311" t="s">
        <v>126</v>
      </c>
      <c r="AZ106" s="311" t="s">
        <v>127</v>
      </c>
      <c r="BA106" s="311" t="s">
        <v>128</v>
      </c>
      <c r="BB106" s="311" t="s">
        <v>129</v>
      </c>
      <c r="BC106" s="311" t="s">
        <v>130</v>
      </c>
      <c r="BD106" s="311" t="s">
        <v>131</v>
      </c>
      <c r="BE106" s="311" t="s">
        <v>81</v>
      </c>
      <c r="BF106" s="248"/>
      <c r="BG106" s="248"/>
    </row>
    <row r="107" spans="3:59" ht="17" x14ac:dyDescent="0.2">
      <c r="C107" s="6" t="s">
        <v>76</v>
      </c>
      <c r="D107" s="311">
        <v>1</v>
      </c>
      <c r="E107" s="311">
        <v>1</v>
      </c>
      <c r="F107" s="311">
        <v>1</v>
      </c>
      <c r="G107" s="311">
        <v>1</v>
      </c>
      <c r="H107" s="311">
        <v>1</v>
      </c>
      <c r="I107" s="311">
        <v>1</v>
      </c>
      <c r="J107" s="311">
        <v>1</v>
      </c>
      <c r="K107" s="311">
        <v>1</v>
      </c>
      <c r="L107" s="311">
        <v>1</v>
      </c>
      <c r="M107" s="311">
        <v>1</v>
      </c>
      <c r="N107" s="311">
        <v>1</v>
      </c>
      <c r="O107" s="311">
        <v>1</v>
      </c>
      <c r="P107" s="311">
        <v>1</v>
      </c>
      <c r="Q107" s="311">
        <v>1</v>
      </c>
      <c r="R107" s="311">
        <v>1</v>
      </c>
      <c r="S107" s="311">
        <v>1</v>
      </c>
      <c r="T107" s="311">
        <v>1</v>
      </c>
      <c r="U107" s="311">
        <v>1</v>
      </c>
      <c r="V107" s="311">
        <v>1</v>
      </c>
      <c r="W107" s="311">
        <v>1</v>
      </c>
      <c r="X107" s="311">
        <v>1</v>
      </c>
      <c r="Y107" s="311">
        <v>1</v>
      </c>
      <c r="Z107" s="311">
        <v>1</v>
      </c>
      <c r="AA107" s="311">
        <v>1</v>
      </c>
      <c r="AB107" s="311">
        <v>1</v>
      </c>
      <c r="AC107" s="311">
        <v>1</v>
      </c>
      <c r="AD107" s="311">
        <v>1</v>
      </c>
      <c r="AE107" s="38">
        <f>'User Add-in Location'!B111</f>
        <v>0</v>
      </c>
      <c r="AF107" s="38">
        <f>'User Add-in Location'!C111</f>
        <v>0</v>
      </c>
      <c r="AG107" s="311">
        <v>1</v>
      </c>
      <c r="AH107" s="311">
        <v>1</v>
      </c>
      <c r="AI107" s="311">
        <v>1</v>
      </c>
      <c r="AJ107" s="311">
        <v>1</v>
      </c>
      <c r="AK107" s="311">
        <v>1</v>
      </c>
      <c r="AL107" s="311">
        <v>1</v>
      </c>
      <c r="AM107" s="311">
        <v>1</v>
      </c>
      <c r="AN107" s="311">
        <v>1</v>
      </c>
      <c r="AO107" s="311">
        <v>1</v>
      </c>
      <c r="AP107" s="311">
        <v>1</v>
      </c>
      <c r="AQ107" s="311">
        <v>1</v>
      </c>
      <c r="AR107" s="311">
        <v>1</v>
      </c>
      <c r="AS107" s="311">
        <v>1</v>
      </c>
      <c r="AT107" s="311">
        <v>1</v>
      </c>
      <c r="AU107" s="311">
        <v>1</v>
      </c>
      <c r="AV107" s="311">
        <v>1</v>
      </c>
      <c r="AW107" s="311">
        <v>1</v>
      </c>
      <c r="AX107" s="311">
        <v>1</v>
      </c>
      <c r="AY107" s="311">
        <v>1</v>
      </c>
      <c r="AZ107" s="311">
        <v>1</v>
      </c>
      <c r="BA107" s="311">
        <v>1</v>
      </c>
      <c r="BB107" s="311">
        <v>1</v>
      </c>
      <c r="BC107" s="311">
        <v>1</v>
      </c>
      <c r="BD107" s="311">
        <v>1</v>
      </c>
      <c r="BE107" s="311">
        <v>1</v>
      </c>
      <c r="BF107" s="248"/>
      <c r="BG107" s="248"/>
    </row>
    <row r="108" spans="3:59" ht="17" x14ac:dyDescent="0.2">
      <c r="C108" s="6" t="s">
        <v>148</v>
      </c>
      <c r="D108" s="311">
        <v>1</v>
      </c>
      <c r="E108" s="311">
        <v>1</v>
      </c>
      <c r="F108" s="311">
        <v>1</v>
      </c>
      <c r="G108" s="311">
        <v>1</v>
      </c>
      <c r="H108" s="311">
        <v>1</v>
      </c>
      <c r="I108" s="311">
        <v>1</v>
      </c>
      <c r="J108" s="311">
        <v>1</v>
      </c>
      <c r="K108" s="311">
        <v>1</v>
      </c>
      <c r="L108" s="311">
        <v>1</v>
      </c>
      <c r="M108" s="311">
        <v>1</v>
      </c>
      <c r="N108" s="311">
        <v>1</v>
      </c>
      <c r="O108" s="311">
        <v>1</v>
      </c>
      <c r="P108" s="311">
        <v>1</v>
      </c>
      <c r="Q108" s="311">
        <v>1</v>
      </c>
      <c r="R108" s="311">
        <v>1</v>
      </c>
      <c r="S108" s="311">
        <v>1</v>
      </c>
      <c r="T108" s="311">
        <v>1</v>
      </c>
      <c r="U108" s="311">
        <v>1</v>
      </c>
      <c r="V108" s="311">
        <v>1</v>
      </c>
      <c r="W108" s="311">
        <v>1</v>
      </c>
      <c r="X108" s="311">
        <v>1</v>
      </c>
      <c r="Y108" s="311">
        <v>1</v>
      </c>
      <c r="Z108" s="311">
        <v>1</v>
      </c>
      <c r="AA108" s="311">
        <v>1</v>
      </c>
      <c r="AB108" s="311">
        <v>1</v>
      </c>
      <c r="AC108" s="311">
        <v>1</v>
      </c>
      <c r="AD108" s="311">
        <v>1</v>
      </c>
      <c r="AE108" s="38">
        <f>'User Add-in Location'!B112</f>
        <v>0</v>
      </c>
      <c r="AF108" s="38">
        <f>'User Add-in Location'!C112</f>
        <v>0</v>
      </c>
      <c r="AG108" s="311">
        <v>1</v>
      </c>
      <c r="AH108" s="311">
        <v>1</v>
      </c>
      <c r="AI108" s="311">
        <v>1</v>
      </c>
      <c r="AJ108" s="311">
        <v>1</v>
      </c>
      <c r="AK108" s="311">
        <v>1</v>
      </c>
      <c r="AL108" s="311">
        <v>1</v>
      </c>
      <c r="AM108" s="311">
        <v>1</v>
      </c>
      <c r="AN108" s="311">
        <v>1</v>
      </c>
      <c r="AO108" s="311">
        <v>1</v>
      </c>
      <c r="AP108" s="311">
        <v>1</v>
      </c>
      <c r="AQ108" s="311">
        <v>1</v>
      </c>
      <c r="AR108" s="311">
        <v>1</v>
      </c>
      <c r="AS108" s="311">
        <v>1</v>
      </c>
      <c r="AT108" s="311">
        <v>1</v>
      </c>
      <c r="AU108" s="311">
        <v>1</v>
      </c>
      <c r="AV108" s="311">
        <v>1</v>
      </c>
      <c r="AW108" s="311">
        <v>1</v>
      </c>
      <c r="AX108" s="311">
        <v>1</v>
      </c>
      <c r="AY108" s="311">
        <v>1</v>
      </c>
      <c r="AZ108" s="311">
        <v>1</v>
      </c>
      <c r="BA108" s="311">
        <v>1</v>
      </c>
      <c r="BB108" s="311">
        <v>1</v>
      </c>
      <c r="BC108" s="311">
        <v>1</v>
      </c>
      <c r="BD108" s="311">
        <v>1</v>
      </c>
      <c r="BE108" s="311">
        <v>1</v>
      </c>
      <c r="BF108" s="248"/>
      <c r="BG108" s="248"/>
    </row>
    <row r="109" spans="3:59" ht="17" x14ac:dyDescent="0.2">
      <c r="C109" s="6" t="s">
        <v>77</v>
      </c>
      <c r="D109" s="311">
        <v>1</v>
      </c>
      <c r="E109" s="311">
        <v>1</v>
      </c>
      <c r="F109" s="311">
        <v>1</v>
      </c>
      <c r="G109" s="311">
        <v>1</v>
      </c>
      <c r="H109" s="311">
        <v>1</v>
      </c>
      <c r="I109" s="311">
        <v>1</v>
      </c>
      <c r="J109" s="311">
        <v>1</v>
      </c>
      <c r="K109" s="311">
        <v>1</v>
      </c>
      <c r="L109" s="311">
        <v>1</v>
      </c>
      <c r="M109" s="311">
        <v>1</v>
      </c>
      <c r="N109" s="311">
        <v>1</v>
      </c>
      <c r="O109" s="311">
        <v>1</v>
      </c>
      <c r="P109" s="311">
        <v>1</v>
      </c>
      <c r="Q109" s="311">
        <v>1</v>
      </c>
      <c r="R109" s="311">
        <v>1</v>
      </c>
      <c r="S109" s="311">
        <v>1</v>
      </c>
      <c r="T109" s="311">
        <v>1</v>
      </c>
      <c r="U109" s="311">
        <v>1</v>
      </c>
      <c r="V109" s="311">
        <v>1</v>
      </c>
      <c r="W109" s="311">
        <v>1</v>
      </c>
      <c r="X109" s="311">
        <v>1</v>
      </c>
      <c r="Y109" s="311">
        <v>1</v>
      </c>
      <c r="Z109" s="311">
        <v>1</v>
      </c>
      <c r="AA109" s="311">
        <v>1</v>
      </c>
      <c r="AB109" s="311">
        <v>1</v>
      </c>
      <c r="AC109" s="311">
        <v>1</v>
      </c>
      <c r="AD109" s="311">
        <v>1</v>
      </c>
      <c r="AE109" s="38">
        <f>'User Add-in Location'!B113</f>
        <v>0</v>
      </c>
      <c r="AF109" s="38">
        <f>'User Add-in Location'!C113</f>
        <v>0</v>
      </c>
      <c r="AG109" s="311">
        <v>1</v>
      </c>
      <c r="AH109" s="311">
        <v>1</v>
      </c>
      <c r="AI109" s="311">
        <v>1</v>
      </c>
      <c r="AJ109" s="311">
        <v>1</v>
      </c>
      <c r="AK109" s="311">
        <v>1</v>
      </c>
      <c r="AL109" s="311">
        <v>1</v>
      </c>
      <c r="AM109" s="311">
        <v>1</v>
      </c>
      <c r="AN109" s="311">
        <v>1</v>
      </c>
      <c r="AO109" s="311">
        <v>1</v>
      </c>
      <c r="AP109" s="311">
        <v>1</v>
      </c>
      <c r="AQ109" s="311">
        <v>1</v>
      </c>
      <c r="AR109" s="311">
        <v>1</v>
      </c>
      <c r="AS109" s="311">
        <v>1</v>
      </c>
      <c r="AT109" s="311">
        <v>1</v>
      </c>
      <c r="AU109" s="311">
        <v>1</v>
      </c>
      <c r="AV109" s="311">
        <v>1</v>
      </c>
      <c r="AW109" s="311">
        <v>1</v>
      </c>
      <c r="AX109" s="311">
        <v>1</v>
      </c>
      <c r="AY109" s="311">
        <v>1</v>
      </c>
      <c r="AZ109" s="311">
        <v>1</v>
      </c>
      <c r="BA109" s="311">
        <v>1</v>
      </c>
      <c r="BB109" s="311">
        <v>1</v>
      </c>
      <c r="BC109" s="311">
        <v>1</v>
      </c>
      <c r="BD109" s="311">
        <v>1</v>
      </c>
      <c r="BE109" s="311">
        <v>1</v>
      </c>
      <c r="BF109" s="248"/>
      <c r="BG109" s="248"/>
    </row>
    <row r="110" spans="3:59" ht="17" x14ac:dyDescent="0.2">
      <c r="C110" s="6" t="s">
        <v>149</v>
      </c>
      <c r="D110" s="311">
        <v>1</v>
      </c>
      <c r="E110" s="311">
        <v>1</v>
      </c>
      <c r="F110" s="311">
        <v>1</v>
      </c>
      <c r="G110" s="311">
        <v>1</v>
      </c>
      <c r="H110" s="311">
        <v>1</v>
      </c>
      <c r="I110" s="311">
        <v>1</v>
      </c>
      <c r="J110" s="311">
        <v>1</v>
      </c>
      <c r="K110" s="311">
        <v>1</v>
      </c>
      <c r="L110" s="311">
        <v>1</v>
      </c>
      <c r="M110" s="311">
        <v>1</v>
      </c>
      <c r="N110" s="311">
        <v>1</v>
      </c>
      <c r="O110" s="311">
        <v>1</v>
      </c>
      <c r="P110" s="311">
        <v>1</v>
      </c>
      <c r="Q110" s="311">
        <v>1</v>
      </c>
      <c r="R110" s="311">
        <v>1</v>
      </c>
      <c r="S110" s="311">
        <v>1</v>
      </c>
      <c r="T110" s="311">
        <v>1</v>
      </c>
      <c r="U110" s="311">
        <v>1</v>
      </c>
      <c r="V110" s="311">
        <v>1</v>
      </c>
      <c r="W110" s="311">
        <v>1</v>
      </c>
      <c r="X110" s="311">
        <v>1</v>
      </c>
      <c r="Y110" s="311">
        <v>1</v>
      </c>
      <c r="Z110" s="311">
        <v>1</v>
      </c>
      <c r="AA110" s="311">
        <v>1</v>
      </c>
      <c r="AB110" s="311">
        <v>1</v>
      </c>
      <c r="AC110" s="311">
        <v>1</v>
      </c>
      <c r="AD110" s="311">
        <v>1</v>
      </c>
      <c r="AE110" s="38">
        <f>'User Add-in Location'!B114</f>
        <v>0</v>
      </c>
      <c r="AF110" s="38">
        <f>'User Add-in Location'!C114</f>
        <v>0</v>
      </c>
      <c r="AG110" s="311">
        <v>1</v>
      </c>
      <c r="AH110" s="311">
        <v>1</v>
      </c>
      <c r="AI110" s="311">
        <v>1</v>
      </c>
      <c r="AJ110" s="311">
        <v>1</v>
      </c>
      <c r="AK110" s="311">
        <v>1</v>
      </c>
      <c r="AL110" s="311">
        <v>1</v>
      </c>
      <c r="AM110" s="311">
        <v>1</v>
      </c>
      <c r="AN110" s="311">
        <v>1</v>
      </c>
      <c r="AO110" s="311">
        <v>1</v>
      </c>
      <c r="AP110" s="311">
        <v>1</v>
      </c>
      <c r="AQ110" s="311">
        <v>1</v>
      </c>
      <c r="AR110" s="311">
        <v>1</v>
      </c>
      <c r="AS110" s="311">
        <v>1</v>
      </c>
      <c r="AT110" s="311">
        <v>1</v>
      </c>
      <c r="AU110" s="311">
        <v>1</v>
      </c>
      <c r="AV110" s="311">
        <v>1</v>
      </c>
      <c r="AW110" s="311">
        <v>1</v>
      </c>
      <c r="AX110" s="311">
        <v>1</v>
      </c>
      <c r="AY110" s="311">
        <v>1</v>
      </c>
      <c r="AZ110" s="311">
        <v>1</v>
      </c>
      <c r="BA110" s="311">
        <v>1</v>
      </c>
      <c r="BB110" s="311">
        <v>1</v>
      </c>
      <c r="BC110" s="311">
        <v>1</v>
      </c>
      <c r="BD110" s="311">
        <v>1</v>
      </c>
      <c r="BE110" s="311">
        <v>1</v>
      </c>
      <c r="BF110" s="248"/>
      <c r="BG110" s="248"/>
    </row>
    <row r="111" spans="3:59" ht="17" x14ac:dyDescent="0.2">
      <c r="C111" s="6" t="s">
        <v>150</v>
      </c>
      <c r="D111" s="311">
        <v>1</v>
      </c>
      <c r="E111" s="311">
        <v>1</v>
      </c>
      <c r="F111" s="311">
        <v>1</v>
      </c>
      <c r="G111" s="311">
        <v>1</v>
      </c>
      <c r="H111" s="311">
        <v>1</v>
      </c>
      <c r="I111" s="311">
        <v>1</v>
      </c>
      <c r="J111" s="311">
        <v>1</v>
      </c>
      <c r="K111" s="311">
        <v>1</v>
      </c>
      <c r="L111" s="311">
        <v>1</v>
      </c>
      <c r="M111" s="311">
        <v>1</v>
      </c>
      <c r="N111" s="311">
        <v>1</v>
      </c>
      <c r="O111" s="311">
        <v>1</v>
      </c>
      <c r="P111" s="311">
        <v>1</v>
      </c>
      <c r="Q111" s="311">
        <v>1</v>
      </c>
      <c r="R111" s="311">
        <v>1</v>
      </c>
      <c r="S111" s="311">
        <v>1</v>
      </c>
      <c r="T111" s="311">
        <v>1</v>
      </c>
      <c r="U111" s="311">
        <v>1</v>
      </c>
      <c r="V111" s="311">
        <v>1</v>
      </c>
      <c r="W111" s="311">
        <v>1</v>
      </c>
      <c r="X111" s="311">
        <v>1</v>
      </c>
      <c r="Y111" s="311">
        <v>1</v>
      </c>
      <c r="Z111" s="311">
        <v>1</v>
      </c>
      <c r="AA111" s="311">
        <v>1</v>
      </c>
      <c r="AB111" s="311">
        <v>1</v>
      </c>
      <c r="AC111" s="311">
        <v>1</v>
      </c>
      <c r="AD111" s="311">
        <v>1</v>
      </c>
      <c r="AE111" s="38">
        <f>'User Add-in Location'!B115</f>
        <v>0</v>
      </c>
      <c r="AF111" s="38">
        <f>'User Add-in Location'!C115</f>
        <v>0</v>
      </c>
      <c r="AG111" s="311">
        <v>1</v>
      </c>
      <c r="AH111" s="311">
        <v>1</v>
      </c>
      <c r="AI111" s="311">
        <v>1</v>
      </c>
      <c r="AJ111" s="311">
        <v>1</v>
      </c>
      <c r="AK111" s="311">
        <v>1</v>
      </c>
      <c r="AL111" s="311">
        <v>1</v>
      </c>
      <c r="AM111" s="311">
        <v>1</v>
      </c>
      <c r="AN111" s="311">
        <v>1</v>
      </c>
      <c r="AO111" s="311">
        <v>1</v>
      </c>
      <c r="AP111" s="311">
        <v>1</v>
      </c>
      <c r="AQ111" s="311">
        <v>1</v>
      </c>
      <c r="AR111" s="311">
        <v>1</v>
      </c>
      <c r="AS111" s="311">
        <v>1</v>
      </c>
      <c r="AT111" s="311">
        <v>1</v>
      </c>
      <c r="AU111" s="311">
        <v>1</v>
      </c>
      <c r="AV111" s="311">
        <v>1</v>
      </c>
      <c r="AW111" s="311">
        <v>1</v>
      </c>
      <c r="AX111" s="311">
        <v>1</v>
      </c>
      <c r="AY111" s="311">
        <v>1</v>
      </c>
      <c r="AZ111" s="311">
        <v>1</v>
      </c>
      <c r="BA111" s="311">
        <v>1</v>
      </c>
      <c r="BB111" s="311">
        <v>1</v>
      </c>
      <c r="BC111" s="311">
        <v>1</v>
      </c>
      <c r="BD111" s="311">
        <v>1</v>
      </c>
      <c r="BE111" s="311">
        <v>1</v>
      </c>
      <c r="BF111" s="248"/>
      <c r="BG111" s="248"/>
    </row>
    <row r="112" spans="3:59" ht="17" x14ac:dyDescent="0.2">
      <c r="C112" s="6" t="s">
        <v>151</v>
      </c>
      <c r="D112" s="311">
        <v>1</v>
      </c>
      <c r="E112" s="311">
        <v>1</v>
      </c>
      <c r="F112" s="311">
        <v>1</v>
      </c>
      <c r="G112" s="311">
        <v>1</v>
      </c>
      <c r="H112" s="311">
        <v>1</v>
      </c>
      <c r="I112" s="311">
        <v>1</v>
      </c>
      <c r="J112" s="311">
        <v>1</v>
      </c>
      <c r="K112" s="311">
        <v>1</v>
      </c>
      <c r="L112" s="311">
        <v>1</v>
      </c>
      <c r="M112" s="311">
        <v>1</v>
      </c>
      <c r="N112" s="311">
        <v>1</v>
      </c>
      <c r="O112" s="311">
        <v>1</v>
      </c>
      <c r="P112" s="311">
        <v>1</v>
      </c>
      <c r="Q112" s="311">
        <v>1</v>
      </c>
      <c r="R112" s="311">
        <v>1</v>
      </c>
      <c r="S112" s="311">
        <v>1</v>
      </c>
      <c r="T112" s="311">
        <v>1</v>
      </c>
      <c r="U112" s="311">
        <v>1</v>
      </c>
      <c r="V112" s="311">
        <v>1</v>
      </c>
      <c r="W112" s="311">
        <v>1</v>
      </c>
      <c r="X112" s="311">
        <v>1</v>
      </c>
      <c r="Y112" s="311">
        <v>1</v>
      </c>
      <c r="Z112" s="311">
        <v>1</v>
      </c>
      <c r="AA112" s="311">
        <v>1</v>
      </c>
      <c r="AB112" s="311">
        <v>1</v>
      </c>
      <c r="AC112" s="311">
        <v>1</v>
      </c>
      <c r="AD112" s="311">
        <v>1</v>
      </c>
      <c r="AE112" s="38">
        <f>'User Add-in Location'!B116</f>
        <v>0</v>
      </c>
      <c r="AF112" s="38">
        <f>'User Add-in Location'!C116</f>
        <v>0</v>
      </c>
      <c r="AG112" s="311">
        <v>1</v>
      </c>
      <c r="AH112" s="311">
        <v>1</v>
      </c>
      <c r="AI112" s="311">
        <v>1</v>
      </c>
      <c r="AJ112" s="311">
        <v>1</v>
      </c>
      <c r="AK112" s="311">
        <v>1</v>
      </c>
      <c r="AL112" s="311">
        <v>1</v>
      </c>
      <c r="AM112" s="311">
        <v>1</v>
      </c>
      <c r="AN112" s="311">
        <v>1</v>
      </c>
      <c r="AO112" s="311">
        <v>1</v>
      </c>
      <c r="AP112" s="311">
        <v>1</v>
      </c>
      <c r="AQ112" s="311">
        <v>1</v>
      </c>
      <c r="AR112" s="311">
        <v>1</v>
      </c>
      <c r="AS112" s="311">
        <v>1</v>
      </c>
      <c r="AT112" s="311">
        <v>1</v>
      </c>
      <c r="AU112" s="311">
        <v>1</v>
      </c>
      <c r="AV112" s="311">
        <v>1</v>
      </c>
      <c r="AW112" s="311">
        <v>1</v>
      </c>
      <c r="AX112" s="311">
        <v>1</v>
      </c>
      <c r="AY112" s="311">
        <v>1</v>
      </c>
      <c r="AZ112" s="311">
        <v>1</v>
      </c>
      <c r="BA112" s="311">
        <v>1</v>
      </c>
      <c r="BB112" s="311">
        <v>1</v>
      </c>
      <c r="BC112" s="311">
        <v>1</v>
      </c>
      <c r="BD112" s="311">
        <v>1</v>
      </c>
      <c r="BE112" s="311">
        <v>1</v>
      </c>
      <c r="BF112" s="248"/>
      <c r="BG112" s="248"/>
    </row>
    <row r="113" spans="3:59" ht="17" x14ac:dyDescent="0.2">
      <c r="C113" s="6" t="s">
        <v>152</v>
      </c>
      <c r="D113" s="311">
        <v>1</v>
      </c>
      <c r="E113" s="311">
        <v>1</v>
      </c>
      <c r="F113" s="311">
        <v>1</v>
      </c>
      <c r="G113" s="311">
        <v>1</v>
      </c>
      <c r="H113" s="311">
        <v>1</v>
      </c>
      <c r="I113" s="311">
        <v>1</v>
      </c>
      <c r="J113" s="311">
        <v>1</v>
      </c>
      <c r="K113" s="311">
        <v>1</v>
      </c>
      <c r="L113" s="311">
        <v>1</v>
      </c>
      <c r="M113" s="311">
        <v>1</v>
      </c>
      <c r="N113" s="311">
        <v>1</v>
      </c>
      <c r="O113" s="311">
        <v>1</v>
      </c>
      <c r="P113" s="311">
        <v>1</v>
      </c>
      <c r="Q113" s="311">
        <v>1</v>
      </c>
      <c r="R113" s="311">
        <v>1</v>
      </c>
      <c r="S113" s="311">
        <v>1</v>
      </c>
      <c r="T113" s="311">
        <v>1</v>
      </c>
      <c r="U113" s="311">
        <v>1</v>
      </c>
      <c r="V113" s="311">
        <v>1</v>
      </c>
      <c r="W113" s="311">
        <v>1</v>
      </c>
      <c r="X113" s="311">
        <v>1</v>
      </c>
      <c r="Y113" s="311">
        <v>1</v>
      </c>
      <c r="Z113" s="311">
        <v>1</v>
      </c>
      <c r="AA113" s="311">
        <v>1</v>
      </c>
      <c r="AB113" s="311">
        <v>1</v>
      </c>
      <c r="AC113" s="311">
        <v>1</v>
      </c>
      <c r="AD113" s="311">
        <v>1</v>
      </c>
      <c r="AE113" s="38">
        <f>'User Add-in Location'!B117</f>
        <v>0</v>
      </c>
      <c r="AF113" s="38">
        <f>'User Add-in Location'!C117</f>
        <v>0</v>
      </c>
      <c r="AG113" s="311">
        <v>1</v>
      </c>
      <c r="AH113" s="311">
        <v>1</v>
      </c>
      <c r="AI113" s="311">
        <v>1</v>
      </c>
      <c r="AJ113" s="311">
        <v>1</v>
      </c>
      <c r="AK113" s="311">
        <v>1</v>
      </c>
      <c r="AL113" s="311">
        <v>1</v>
      </c>
      <c r="AM113" s="311">
        <v>1</v>
      </c>
      <c r="AN113" s="311">
        <v>1</v>
      </c>
      <c r="AO113" s="311">
        <v>1</v>
      </c>
      <c r="AP113" s="311">
        <v>1</v>
      </c>
      <c r="AQ113" s="311">
        <v>1</v>
      </c>
      <c r="AR113" s="311">
        <v>1</v>
      </c>
      <c r="AS113" s="311">
        <v>1</v>
      </c>
      <c r="AT113" s="311">
        <v>1</v>
      </c>
      <c r="AU113" s="311">
        <v>1</v>
      </c>
      <c r="AV113" s="311">
        <v>1</v>
      </c>
      <c r="AW113" s="311">
        <v>1</v>
      </c>
      <c r="AX113" s="311">
        <v>1</v>
      </c>
      <c r="AY113" s="311">
        <v>1</v>
      </c>
      <c r="AZ113" s="311">
        <v>1</v>
      </c>
      <c r="BA113" s="311">
        <v>1</v>
      </c>
      <c r="BB113" s="311">
        <v>1</v>
      </c>
      <c r="BC113" s="311">
        <v>1</v>
      </c>
      <c r="BD113" s="311">
        <v>1</v>
      </c>
      <c r="BE113" s="311">
        <v>1</v>
      </c>
      <c r="BF113" s="248"/>
      <c r="BG113" s="248"/>
    </row>
    <row r="114" spans="3:59" ht="17" x14ac:dyDescent="0.2">
      <c r="C114" s="6" t="s">
        <v>153</v>
      </c>
      <c r="D114" s="311">
        <v>1</v>
      </c>
      <c r="E114" s="311">
        <v>1</v>
      </c>
      <c r="F114" s="311">
        <v>1</v>
      </c>
      <c r="G114" s="311">
        <v>1</v>
      </c>
      <c r="H114" s="311">
        <v>1</v>
      </c>
      <c r="I114" s="311">
        <v>1</v>
      </c>
      <c r="J114" s="311">
        <v>1</v>
      </c>
      <c r="K114" s="311">
        <v>1</v>
      </c>
      <c r="L114" s="311">
        <v>1</v>
      </c>
      <c r="M114" s="311">
        <v>1</v>
      </c>
      <c r="N114" s="311">
        <v>1</v>
      </c>
      <c r="O114" s="311">
        <v>1</v>
      </c>
      <c r="P114" s="311">
        <v>1</v>
      </c>
      <c r="Q114" s="311">
        <v>1</v>
      </c>
      <c r="R114" s="311">
        <v>1</v>
      </c>
      <c r="S114" s="311">
        <v>1</v>
      </c>
      <c r="T114" s="311">
        <v>1</v>
      </c>
      <c r="U114" s="311">
        <v>1</v>
      </c>
      <c r="V114" s="311">
        <v>1</v>
      </c>
      <c r="W114" s="311">
        <v>1</v>
      </c>
      <c r="X114" s="311">
        <v>1</v>
      </c>
      <c r="Y114" s="311">
        <v>1</v>
      </c>
      <c r="Z114" s="311">
        <v>1</v>
      </c>
      <c r="AA114" s="311">
        <v>1</v>
      </c>
      <c r="AB114" s="311">
        <v>1</v>
      </c>
      <c r="AC114" s="311">
        <v>1</v>
      </c>
      <c r="AD114" s="311">
        <v>1</v>
      </c>
      <c r="AE114" s="38">
        <f>'User Add-in Location'!B118</f>
        <v>0</v>
      </c>
      <c r="AF114" s="38">
        <f>'User Add-in Location'!C118</f>
        <v>0</v>
      </c>
      <c r="AG114" s="311">
        <v>1</v>
      </c>
      <c r="AH114" s="311">
        <v>1</v>
      </c>
      <c r="AI114" s="311">
        <v>1</v>
      </c>
      <c r="AJ114" s="311">
        <v>1</v>
      </c>
      <c r="AK114" s="311">
        <v>1</v>
      </c>
      <c r="AL114" s="311">
        <v>1</v>
      </c>
      <c r="AM114" s="311">
        <v>1</v>
      </c>
      <c r="AN114" s="311">
        <v>1</v>
      </c>
      <c r="AO114" s="311">
        <v>1</v>
      </c>
      <c r="AP114" s="311">
        <v>1</v>
      </c>
      <c r="AQ114" s="311">
        <v>1</v>
      </c>
      <c r="AR114" s="311">
        <v>1</v>
      </c>
      <c r="AS114" s="311">
        <v>1</v>
      </c>
      <c r="AT114" s="311">
        <v>1</v>
      </c>
      <c r="AU114" s="311">
        <v>1</v>
      </c>
      <c r="AV114" s="311">
        <v>1</v>
      </c>
      <c r="AW114" s="311">
        <v>1</v>
      </c>
      <c r="AX114" s="311">
        <v>1</v>
      </c>
      <c r="AY114" s="311">
        <v>1</v>
      </c>
      <c r="AZ114" s="311">
        <v>1</v>
      </c>
      <c r="BA114" s="311">
        <v>1</v>
      </c>
      <c r="BB114" s="311">
        <v>1</v>
      </c>
      <c r="BC114" s="311">
        <v>1</v>
      </c>
      <c r="BD114" s="311">
        <v>1</v>
      </c>
      <c r="BE114" s="311">
        <v>1</v>
      </c>
      <c r="BF114" s="248"/>
      <c r="BG114" s="248"/>
    </row>
    <row r="115" spans="3:59" ht="17" x14ac:dyDescent="0.2">
      <c r="C115" s="6" t="s">
        <v>78</v>
      </c>
      <c r="D115" s="311">
        <v>1</v>
      </c>
      <c r="E115" s="311">
        <v>1</v>
      </c>
      <c r="F115" s="311">
        <v>1</v>
      </c>
      <c r="G115" s="311">
        <v>1</v>
      </c>
      <c r="H115" s="311">
        <v>1</v>
      </c>
      <c r="I115" s="311">
        <v>1</v>
      </c>
      <c r="J115" s="311">
        <v>1</v>
      </c>
      <c r="K115" s="311">
        <v>1</v>
      </c>
      <c r="L115" s="311">
        <v>1</v>
      </c>
      <c r="M115" s="311">
        <v>1</v>
      </c>
      <c r="N115" s="311">
        <v>1</v>
      </c>
      <c r="O115" s="311">
        <v>1</v>
      </c>
      <c r="P115" s="311">
        <v>1</v>
      </c>
      <c r="Q115" s="311">
        <v>1</v>
      </c>
      <c r="R115" s="311">
        <v>1</v>
      </c>
      <c r="S115" s="311">
        <v>1</v>
      </c>
      <c r="T115" s="311">
        <v>1</v>
      </c>
      <c r="U115" s="311">
        <v>1</v>
      </c>
      <c r="V115" s="311">
        <v>1</v>
      </c>
      <c r="W115" s="311">
        <v>1</v>
      </c>
      <c r="X115" s="311">
        <v>1</v>
      </c>
      <c r="Y115" s="311">
        <v>1</v>
      </c>
      <c r="Z115" s="311">
        <v>1</v>
      </c>
      <c r="AA115" s="311">
        <v>1</v>
      </c>
      <c r="AB115" s="311">
        <v>1</v>
      </c>
      <c r="AC115" s="311">
        <v>1</v>
      </c>
      <c r="AD115" s="311">
        <v>1</v>
      </c>
      <c r="AE115" s="38">
        <f>'User Add-in Location'!B119</f>
        <v>0</v>
      </c>
      <c r="AF115" s="38">
        <f>'User Add-in Location'!C119</f>
        <v>0</v>
      </c>
      <c r="AG115" s="311">
        <v>1</v>
      </c>
      <c r="AH115" s="311">
        <v>1</v>
      </c>
      <c r="AI115" s="311">
        <v>1</v>
      </c>
      <c r="AJ115" s="311">
        <v>1</v>
      </c>
      <c r="AK115" s="311">
        <v>1</v>
      </c>
      <c r="AL115" s="311">
        <v>1</v>
      </c>
      <c r="AM115" s="311">
        <v>1</v>
      </c>
      <c r="AN115" s="311">
        <v>1</v>
      </c>
      <c r="AO115" s="311">
        <v>1</v>
      </c>
      <c r="AP115" s="311">
        <v>1</v>
      </c>
      <c r="AQ115" s="311">
        <v>1</v>
      </c>
      <c r="AR115" s="311">
        <v>1</v>
      </c>
      <c r="AS115" s="311">
        <v>1</v>
      </c>
      <c r="AT115" s="311">
        <v>1</v>
      </c>
      <c r="AU115" s="311">
        <v>1</v>
      </c>
      <c r="AV115" s="311">
        <v>1</v>
      </c>
      <c r="AW115" s="311">
        <v>1</v>
      </c>
      <c r="AX115" s="311">
        <v>1</v>
      </c>
      <c r="AY115" s="311">
        <v>1</v>
      </c>
      <c r="AZ115" s="311">
        <v>1</v>
      </c>
      <c r="BA115" s="311">
        <v>1</v>
      </c>
      <c r="BB115" s="311">
        <v>1</v>
      </c>
      <c r="BC115" s="311">
        <v>1</v>
      </c>
      <c r="BD115" s="311">
        <v>1</v>
      </c>
      <c r="BE115" s="311">
        <v>1</v>
      </c>
      <c r="BF115" s="248"/>
      <c r="BG115" s="248"/>
    </row>
    <row r="116" spans="3:59" ht="17" x14ac:dyDescent="0.2">
      <c r="C116" s="6" t="s">
        <v>79</v>
      </c>
      <c r="D116" s="311">
        <v>1</v>
      </c>
      <c r="E116" s="311">
        <v>1</v>
      </c>
      <c r="F116" s="311">
        <v>1</v>
      </c>
      <c r="G116" s="311">
        <v>1</v>
      </c>
      <c r="H116" s="311">
        <v>1</v>
      </c>
      <c r="I116" s="311">
        <v>1</v>
      </c>
      <c r="J116" s="311">
        <v>1</v>
      </c>
      <c r="K116" s="311">
        <v>1</v>
      </c>
      <c r="L116" s="311">
        <v>1</v>
      </c>
      <c r="M116" s="311">
        <v>1</v>
      </c>
      <c r="N116" s="311">
        <v>1</v>
      </c>
      <c r="O116" s="311">
        <v>1</v>
      </c>
      <c r="P116" s="311">
        <v>1</v>
      </c>
      <c r="Q116" s="311">
        <v>1</v>
      </c>
      <c r="R116" s="311">
        <v>1</v>
      </c>
      <c r="S116" s="311">
        <v>1</v>
      </c>
      <c r="T116" s="311">
        <v>1</v>
      </c>
      <c r="U116" s="311">
        <v>1</v>
      </c>
      <c r="V116" s="311">
        <v>1</v>
      </c>
      <c r="W116" s="311">
        <v>1</v>
      </c>
      <c r="X116" s="311">
        <v>1</v>
      </c>
      <c r="Y116" s="311">
        <v>1</v>
      </c>
      <c r="Z116" s="311">
        <v>1</v>
      </c>
      <c r="AA116" s="311">
        <v>1</v>
      </c>
      <c r="AB116" s="311">
        <v>1</v>
      </c>
      <c r="AC116" s="311">
        <v>1</v>
      </c>
      <c r="AD116" s="311">
        <v>1</v>
      </c>
      <c r="AE116" s="38">
        <f>'User Add-in Location'!B120</f>
        <v>0</v>
      </c>
      <c r="AF116" s="38">
        <f>'User Add-in Location'!C120</f>
        <v>0</v>
      </c>
      <c r="AG116" s="311">
        <v>1</v>
      </c>
      <c r="AH116" s="311">
        <v>1</v>
      </c>
      <c r="AI116" s="311">
        <v>1</v>
      </c>
      <c r="AJ116" s="311">
        <v>1</v>
      </c>
      <c r="AK116" s="311">
        <v>1</v>
      </c>
      <c r="AL116" s="311">
        <v>1</v>
      </c>
      <c r="AM116" s="311">
        <v>1</v>
      </c>
      <c r="AN116" s="311">
        <v>1</v>
      </c>
      <c r="AO116" s="311">
        <v>1</v>
      </c>
      <c r="AP116" s="311">
        <v>1</v>
      </c>
      <c r="AQ116" s="311">
        <v>1</v>
      </c>
      <c r="AR116" s="311">
        <v>1</v>
      </c>
      <c r="AS116" s="311">
        <v>1</v>
      </c>
      <c r="AT116" s="311">
        <v>1</v>
      </c>
      <c r="AU116" s="311">
        <v>1</v>
      </c>
      <c r="AV116" s="311">
        <v>1</v>
      </c>
      <c r="AW116" s="311">
        <v>1</v>
      </c>
      <c r="AX116" s="311">
        <v>1</v>
      </c>
      <c r="AY116" s="311">
        <v>1</v>
      </c>
      <c r="AZ116" s="311">
        <v>1</v>
      </c>
      <c r="BA116" s="311">
        <v>1</v>
      </c>
      <c r="BB116" s="311">
        <v>1</v>
      </c>
      <c r="BC116" s="311">
        <v>1</v>
      </c>
      <c r="BD116" s="311">
        <v>1</v>
      </c>
      <c r="BE116" s="311">
        <v>1</v>
      </c>
      <c r="BF116" s="248"/>
      <c r="BG116" s="248"/>
    </row>
    <row r="117" spans="3:59" ht="17" x14ac:dyDescent="0.2">
      <c r="C117" s="6" t="s">
        <v>154</v>
      </c>
      <c r="D117" s="311">
        <v>1</v>
      </c>
      <c r="E117" s="311">
        <v>1</v>
      </c>
      <c r="F117" s="311">
        <v>1</v>
      </c>
      <c r="G117" s="311">
        <v>1</v>
      </c>
      <c r="H117" s="311">
        <v>1</v>
      </c>
      <c r="I117" s="311">
        <v>1</v>
      </c>
      <c r="J117" s="311">
        <v>1</v>
      </c>
      <c r="K117" s="311">
        <v>1</v>
      </c>
      <c r="L117" s="311">
        <v>1</v>
      </c>
      <c r="M117" s="311">
        <v>1</v>
      </c>
      <c r="N117" s="311">
        <v>1</v>
      </c>
      <c r="O117" s="311">
        <v>1</v>
      </c>
      <c r="P117" s="311">
        <v>1</v>
      </c>
      <c r="Q117" s="311">
        <v>1</v>
      </c>
      <c r="R117" s="311">
        <v>1</v>
      </c>
      <c r="S117" s="311">
        <v>1</v>
      </c>
      <c r="T117" s="311">
        <v>1</v>
      </c>
      <c r="U117" s="311">
        <v>1</v>
      </c>
      <c r="V117" s="311">
        <v>1</v>
      </c>
      <c r="W117" s="311">
        <v>1</v>
      </c>
      <c r="X117" s="311">
        <v>1</v>
      </c>
      <c r="Y117" s="311">
        <v>1</v>
      </c>
      <c r="Z117" s="311">
        <v>1</v>
      </c>
      <c r="AA117" s="311">
        <v>1</v>
      </c>
      <c r="AB117" s="311">
        <v>1</v>
      </c>
      <c r="AC117" s="311">
        <v>1</v>
      </c>
      <c r="AD117" s="311">
        <v>1</v>
      </c>
      <c r="AE117" s="38">
        <f>'User Add-in Location'!B121</f>
        <v>0</v>
      </c>
      <c r="AF117" s="38">
        <f>'User Add-in Location'!C121</f>
        <v>0</v>
      </c>
      <c r="AG117" s="311">
        <v>1</v>
      </c>
      <c r="AH117" s="311">
        <v>1</v>
      </c>
      <c r="AI117" s="311">
        <v>1</v>
      </c>
      <c r="AJ117" s="311">
        <v>1</v>
      </c>
      <c r="AK117" s="311">
        <v>1</v>
      </c>
      <c r="AL117" s="311">
        <v>1</v>
      </c>
      <c r="AM117" s="311">
        <v>1</v>
      </c>
      <c r="AN117" s="311">
        <v>1</v>
      </c>
      <c r="AO117" s="311">
        <v>1</v>
      </c>
      <c r="AP117" s="311">
        <v>1</v>
      </c>
      <c r="AQ117" s="311">
        <v>1</v>
      </c>
      <c r="AR117" s="311">
        <v>1</v>
      </c>
      <c r="AS117" s="311">
        <v>1</v>
      </c>
      <c r="AT117" s="311">
        <v>1</v>
      </c>
      <c r="AU117" s="311">
        <v>1</v>
      </c>
      <c r="AV117" s="311">
        <v>1</v>
      </c>
      <c r="AW117" s="311">
        <v>1</v>
      </c>
      <c r="AX117" s="311">
        <v>1</v>
      </c>
      <c r="AY117" s="311">
        <v>1</v>
      </c>
      <c r="AZ117" s="311">
        <v>1</v>
      </c>
      <c r="BA117" s="311">
        <v>1</v>
      </c>
      <c r="BB117" s="311">
        <v>1</v>
      </c>
      <c r="BC117" s="311">
        <v>1</v>
      </c>
      <c r="BD117" s="311">
        <v>1</v>
      </c>
      <c r="BE117" s="311">
        <v>1</v>
      </c>
      <c r="BF117" s="248"/>
      <c r="BG117" s="248"/>
    </row>
    <row r="118" spans="3:59" ht="17" x14ac:dyDescent="0.2">
      <c r="C118" s="6" t="s">
        <v>155</v>
      </c>
      <c r="D118" s="311">
        <v>1</v>
      </c>
      <c r="E118" s="311">
        <v>1</v>
      </c>
      <c r="F118" s="311">
        <v>1</v>
      </c>
      <c r="G118" s="311">
        <v>1</v>
      </c>
      <c r="H118" s="311">
        <v>1</v>
      </c>
      <c r="I118" s="311">
        <v>1</v>
      </c>
      <c r="J118" s="311">
        <v>1</v>
      </c>
      <c r="K118" s="311">
        <v>1</v>
      </c>
      <c r="L118" s="311">
        <v>1</v>
      </c>
      <c r="M118" s="311">
        <v>1</v>
      </c>
      <c r="N118" s="311">
        <v>1</v>
      </c>
      <c r="O118" s="311">
        <v>1</v>
      </c>
      <c r="P118" s="311">
        <v>1</v>
      </c>
      <c r="Q118" s="311">
        <v>1</v>
      </c>
      <c r="R118" s="311">
        <v>1</v>
      </c>
      <c r="S118" s="311">
        <v>1</v>
      </c>
      <c r="T118" s="311">
        <v>1</v>
      </c>
      <c r="U118" s="311">
        <v>1</v>
      </c>
      <c r="V118" s="311">
        <v>1</v>
      </c>
      <c r="W118" s="311">
        <v>1</v>
      </c>
      <c r="X118" s="311">
        <v>1</v>
      </c>
      <c r="Y118" s="311">
        <v>1</v>
      </c>
      <c r="Z118" s="311">
        <v>1</v>
      </c>
      <c r="AA118" s="311">
        <v>1</v>
      </c>
      <c r="AB118" s="311">
        <v>1</v>
      </c>
      <c r="AC118" s="311">
        <v>1</v>
      </c>
      <c r="AD118" s="311">
        <v>1</v>
      </c>
      <c r="AE118" s="38">
        <f>'User Add-in Location'!B122</f>
        <v>0</v>
      </c>
      <c r="AF118" s="38">
        <f>'User Add-in Location'!C122</f>
        <v>0</v>
      </c>
      <c r="AG118" s="311">
        <v>1</v>
      </c>
      <c r="AH118" s="311">
        <v>1</v>
      </c>
      <c r="AI118" s="311">
        <v>1</v>
      </c>
      <c r="AJ118" s="311">
        <v>1</v>
      </c>
      <c r="AK118" s="311">
        <v>1</v>
      </c>
      <c r="AL118" s="311">
        <v>1</v>
      </c>
      <c r="AM118" s="311">
        <v>1</v>
      </c>
      <c r="AN118" s="311">
        <v>1</v>
      </c>
      <c r="AO118" s="311">
        <v>1</v>
      </c>
      <c r="AP118" s="311">
        <v>1</v>
      </c>
      <c r="AQ118" s="311">
        <v>1</v>
      </c>
      <c r="AR118" s="311">
        <v>1</v>
      </c>
      <c r="AS118" s="311">
        <v>1</v>
      </c>
      <c r="AT118" s="311">
        <v>1</v>
      </c>
      <c r="AU118" s="311">
        <v>1</v>
      </c>
      <c r="AV118" s="311">
        <v>1</v>
      </c>
      <c r="AW118" s="311">
        <v>1</v>
      </c>
      <c r="AX118" s="311">
        <v>1</v>
      </c>
      <c r="AY118" s="311">
        <v>1</v>
      </c>
      <c r="AZ118" s="311">
        <v>1</v>
      </c>
      <c r="BA118" s="311">
        <v>1</v>
      </c>
      <c r="BB118" s="311">
        <v>1</v>
      </c>
      <c r="BC118" s="311">
        <v>1</v>
      </c>
      <c r="BD118" s="311">
        <v>1</v>
      </c>
      <c r="BE118" s="311">
        <v>1</v>
      </c>
      <c r="BF118" s="248"/>
      <c r="BG118" s="248"/>
    </row>
    <row r="119" spans="3:59" ht="17" x14ac:dyDescent="0.2">
      <c r="C119" s="6" t="s">
        <v>156</v>
      </c>
      <c r="D119" s="311">
        <v>1</v>
      </c>
      <c r="E119" s="311">
        <v>1</v>
      </c>
      <c r="F119" s="311">
        <v>1</v>
      </c>
      <c r="G119" s="311">
        <v>1</v>
      </c>
      <c r="H119" s="311">
        <v>1</v>
      </c>
      <c r="I119" s="311">
        <v>1</v>
      </c>
      <c r="J119" s="311">
        <v>1</v>
      </c>
      <c r="K119" s="311">
        <v>1</v>
      </c>
      <c r="L119" s="311">
        <v>1</v>
      </c>
      <c r="M119" s="311">
        <v>1</v>
      </c>
      <c r="N119" s="311">
        <v>1</v>
      </c>
      <c r="O119" s="311">
        <v>1</v>
      </c>
      <c r="P119" s="311">
        <v>1</v>
      </c>
      <c r="Q119" s="311">
        <v>1</v>
      </c>
      <c r="R119" s="311">
        <v>1</v>
      </c>
      <c r="S119" s="311">
        <v>1</v>
      </c>
      <c r="T119" s="311">
        <v>1</v>
      </c>
      <c r="U119" s="311">
        <v>1</v>
      </c>
      <c r="V119" s="311">
        <v>1</v>
      </c>
      <c r="W119" s="311">
        <v>1</v>
      </c>
      <c r="X119" s="311">
        <v>1</v>
      </c>
      <c r="Y119" s="311">
        <v>1</v>
      </c>
      <c r="Z119" s="311">
        <v>1</v>
      </c>
      <c r="AA119" s="311">
        <v>1</v>
      </c>
      <c r="AB119" s="311">
        <v>1</v>
      </c>
      <c r="AC119" s="311">
        <v>1</v>
      </c>
      <c r="AD119" s="311">
        <v>1</v>
      </c>
      <c r="AE119" s="38">
        <f>'User Add-in Location'!B123</f>
        <v>0</v>
      </c>
      <c r="AF119" s="38">
        <f>'User Add-in Location'!C123</f>
        <v>0</v>
      </c>
      <c r="AG119" s="311">
        <v>1</v>
      </c>
      <c r="AH119" s="311">
        <v>1</v>
      </c>
      <c r="AI119" s="311">
        <v>1</v>
      </c>
      <c r="AJ119" s="311">
        <v>1</v>
      </c>
      <c r="AK119" s="311">
        <v>1</v>
      </c>
      <c r="AL119" s="311">
        <v>1</v>
      </c>
      <c r="AM119" s="311">
        <v>1</v>
      </c>
      <c r="AN119" s="311">
        <v>1</v>
      </c>
      <c r="AO119" s="311">
        <v>1</v>
      </c>
      <c r="AP119" s="311">
        <v>1</v>
      </c>
      <c r="AQ119" s="311">
        <v>1</v>
      </c>
      <c r="AR119" s="311">
        <v>1</v>
      </c>
      <c r="AS119" s="311">
        <v>1</v>
      </c>
      <c r="AT119" s="311">
        <v>1</v>
      </c>
      <c r="AU119" s="311">
        <v>1</v>
      </c>
      <c r="AV119" s="311">
        <v>1</v>
      </c>
      <c r="AW119" s="311">
        <v>1</v>
      </c>
      <c r="AX119" s="311">
        <v>1</v>
      </c>
      <c r="AY119" s="311">
        <v>1</v>
      </c>
      <c r="AZ119" s="311">
        <v>1</v>
      </c>
      <c r="BA119" s="311">
        <v>1</v>
      </c>
      <c r="BB119" s="311">
        <v>1</v>
      </c>
      <c r="BC119" s="311">
        <v>1</v>
      </c>
      <c r="BD119" s="311">
        <v>1</v>
      </c>
      <c r="BE119" s="311">
        <v>1</v>
      </c>
      <c r="BF119" s="248"/>
      <c r="BG119" s="248"/>
    </row>
    <row r="120" spans="3:59" ht="17" x14ac:dyDescent="0.2">
      <c r="C120" s="6" t="s">
        <v>80</v>
      </c>
      <c r="D120" s="311">
        <v>1</v>
      </c>
      <c r="E120" s="311">
        <v>1</v>
      </c>
      <c r="F120" s="311">
        <v>1</v>
      </c>
      <c r="G120" s="311">
        <v>1</v>
      </c>
      <c r="H120" s="311">
        <v>1</v>
      </c>
      <c r="I120" s="311">
        <v>1</v>
      </c>
      <c r="J120" s="311">
        <v>1</v>
      </c>
      <c r="K120" s="311">
        <v>1</v>
      </c>
      <c r="L120" s="311">
        <v>1</v>
      </c>
      <c r="M120" s="311">
        <v>1</v>
      </c>
      <c r="N120" s="311">
        <v>1</v>
      </c>
      <c r="O120" s="311">
        <v>1</v>
      </c>
      <c r="P120" s="311">
        <v>1</v>
      </c>
      <c r="Q120" s="311">
        <v>1</v>
      </c>
      <c r="R120" s="311">
        <v>1</v>
      </c>
      <c r="S120" s="311">
        <v>1</v>
      </c>
      <c r="T120" s="311">
        <v>1</v>
      </c>
      <c r="U120" s="311">
        <v>1</v>
      </c>
      <c r="V120" s="311">
        <v>1</v>
      </c>
      <c r="W120" s="311">
        <v>1</v>
      </c>
      <c r="X120" s="311">
        <v>1</v>
      </c>
      <c r="Y120" s="311">
        <v>1</v>
      </c>
      <c r="Z120" s="311">
        <v>1</v>
      </c>
      <c r="AA120" s="311">
        <v>1</v>
      </c>
      <c r="AB120" s="311">
        <v>1</v>
      </c>
      <c r="AC120" s="311">
        <v>1</v>
      </c>
      <c r="AD120" s="311">
        <v>1</v>
      </c>
      <c r="AE120" s="38">
        <f>'User Add-in Location'!B124</f>
        <v>0</v>
      </c>
      <c r="AF120" s="38">
        <f>'User Add-in Location'!C124</f>
        <v>0</v>
      </c>
      <c r="AG120" s="311">
        <v>1</v>
      </c>
      <c r="AH120" s="311">
        <v>1</v>
      </c>
      <c r="AI120" s="311">
        <v>1</v>
      </c>
      <c r="AJ120" s="311">
        <v>1</v>
      </c>
      <c r="AK120" s="311">
        <v>1</v>
      </c>
      <c r="AL120" s="311">
        <v>1</v>
      </c>
      <c r="AM120" s="311">
        <v>1</v>
      </c>
      <c r="AN120" s="311">
        <v>1</v>
      </c>
      <c r="AO120" s="311">
        <v>1</v>
      </c>
      <c r="AP120" s="311">
        <v>1</v>
      </c>
      <c r="AQ120" s="311">
        <v>1</v>
      </c>
      <c r="AR120" s="311">
        <v>1</v>
      </c>
      <c r="AS120" s="311">
        <v>1</v>
      </c>
      <c r="AT120" s="311">
        <v>1</v>
      </c>
      <c r="AU120" s="311">
        <v>1</v>
      </c>
      <c r="AV120" s="311">
        <v>1</v>
      </c>
      <c r="AW120" s="311">
        <v>1</v>
      </c>
      <c r="AX120" s="311">
        <v>1</v>
      </c>
      <c r="AY120" s="311">
        <v>1</v>
      </c>
      <c r="AZ120" s="311">
        <v>1</v>
      </c>
      <c r="BA120" s="311">
        <v>1</v>
      </c>
      <c r="BB120" s="311">
        <v>1</v>
      </c>
      <c r="BC120" s="311">
        <v>1</v>
      </c>
      <c r="BD120" s="311">
        <v>1</v>
      </c>
      <c r="BE120" s="311">
        <v>1</v>
      </c>
      <c r="BF120" s="248"/>
      <c r="BG120" s="248"/>
    </row>
    <row r="121" spans="3:59" ht="16" x14ac:dyDescent="0.2">
      <c r="C121" s="6"/>
      <c r="D121" s="311"/>
      <c r="E121" s="311"/>
      <c r="F121" s="311"/>
      <c r="G121" s="311"/>
      <c r="H121" s="311"/>
      <c r="I121" s="311"/>
      <c r="J121" s="311"/>
      <c r="K121" s="311"/>
      <c r="L121" s="311"/>
      <c r="M121" s="311"/>
      <c r="N121" s="311"/>
      <c r="O121" s="311"/>
      <c r="P121" s="311"/>
      <c r="Q121" s="311"/>
      <c r="R121" s="311"/>
      <c r="S121" s="311"/>
      <c r="T121" s="311"/>
      <c r="U121" s="311"/>
      <c r="V121" s="311"/>
      <c r="W121" s="311"/>
      <c r="X121" s="311"/>
      <c r="Y121" s="311"/>
      <c r="Z121" s="311"/>
      <c r="AA121" s="311"/>
      <c r="AB121" s="311"/>
      <c r="AC121" s="311"/>
      <c r="AD121" s="311"/>
      <c r="AE121" s="38"/>
      <c r="AF121" s="38"/>
      <c r="AG121" s="311"/>
      <c r="AH121" s="311"/>
      <c r="AI121" s="311"/>
      <c r="AJ121" s="311"/>
      <c r="AK121" s="311"/>
      <c r="AL121" s="311"/>
      <c r="AM121" s="311"/>
      <c r="AN121" s="311"/>
      <c r="AO121" s="311"/>
      <c r="AP121" s="311"/>
      <c r="AQ121" s="311"/>
      <c r="AR121" s="311"/>
      <c r="AS121" s="311"/>
      <c r="AT121" s="311"/>
      <c r="AU121" s="311"/>
      <c r="AV121" s="311"/>
      <c r="AW121" s="311"/>
      <c r="AX121" s="311"/>
      <c r="AY121" s="311"/>
      <c r="AZ121" s="311"/>
      <c r="BA121" s="311"/>
      <c r="BB121" s="311"/>
      <c r="BC121" s="311"/>
      <c r="BD121" s="311"/>
      <c r="BE121" s="311"/>
      <c r="BF121" s="248"/>
      <c r="BG121" s="248"/>
    </row>
    <row r="122" spans="3:59" ht="15.75" customHeight="1" x14ac:dyDescent="0.2">
      <c r="C122" s="76" t="s">
        <v>283</v>
      </c>
      <c r="D122" s="311"/>
      <c r="E122" s="311"/>
      <c r="F122" s="311"/>
      <c r="G122" s="311"/>
      <c r="H122" s="311"/>
      <c r="I122" s="311"/>
      <c r="J122" s="311"/>
      <c r="K122" s="311"/>
      <c r="L122" s="311"/>
      <c r="M122" s="311"/>
      <c r="N122" s="311"/>
      <c r="O122" s="311"/>
      <c r="P122" s="311"/>
      <c r="Q122" s="311"/>
      <c r="R122" s="311"/>
      <c r="S122" s="311"/>
      <c r="T122" s="311"/>
      <c r="U122" s="311"/>
      <c r="V122" s="311"/>
      <c r="W122" s="311"/>
      <c r="X122" s="311"/>
      <c r="Y122" s="311"/>
      <c r="Z122" s="311"/>
      <c r="AA122" s="311"/>
      <c r="AB122" s="311"/>
      <c r="AC122" s="311"/>
      <c r="AD122" s="311"/>
      <c r="AE122" s="38"/>
      <c r="AF122" s="38"/>
      <c r="AG122" s="311"/>
      <c r="AH122" s="311"/>
      <c r="AI122" s="311"/>
      <c r="AJ122" s="311"/>
      <c r="AK122" s="311"/>
      <c r="AL122" s="311"/>
      <c r="AM122" s="311"/>
      <c r="AN122" s="311"/>
      <c r="AO122" s="311"/>
      <c r="AP122" s="311"/>
      <c r="AQ122" s="311"/>
      <c r="AR122" s="311"/>
      <c r="AS122" s="311"/>
      <c r="AT122" s="311"/>
      <c r="AU122" s="311"/>
      <c r="AV122" s="311"/>
      <c r="AW122" s="311"/>
      <c r="AX122" s="311"/>
      <c r="AY122" s="311"/>
      <c r="AZ122" s="311"/>
      <c r="BA122" s="311"/>
      <c r="BB122" s="311"/>
      <c r="BC122" s="311"/>
      <c r="BD122" s="311"/>
      <c r="BE122" s="311"/>
      <c r="BF122" s="248"/>
      <c r="BG122" s="248"/>
    </row>
    <row r="123" spans="3:59" ht="14.25" customHeight="1" x14ac:dyDescent="0.2">
      <c r="C123" s="77" t="s">
        <v>291</v>
      </c>
      <c r="D123" s="311" t="s">
        <v>82</v>
      </c>
      <c r="E123" s="311" t="s">
        <v>83</v>
      </c>
      <c r="F123" s="311" t="s">
        <v>84</v>
      </c>
      <c r="G123" s="311" t="s">
        <v>85</v>
      </c>
      <c r="H123" s="311" t="s">
        <v>86</v>
      </c>
      <c r="I123" s="311" t="s">
        <v>87</v>
      </c>
      <c r="J123" s="311" t="s">
        <v>88</v>
      </c>
      <c r="K123" s="311" t="s">
        <v>89</v>
      </c>
      <c r="L123" s="311" t="s">
        <v>90</v>
      </c>
      <c r="M123" s="311" t="s">
        <v>91</v>
      </c>
      <c r="N123" s="311" t="s">
        <v>92</v>
      </c>
      <c r="O123" s="311" t="s">
        <v>93</v>
      </c>
      <c r="P123" s="311" t="s">
        <v>94</v>
      </c>
      <c r="Q123" s="311" t="s">
        <v>95</v>
      </c>
      <c r="R123" s="311" t="s">
        <v>96</v>
      </c>
      <c r="S123" s="311" t="s">
        <v>97</v>
      </c>
      <c r="T123" s="311" t="s">
        <v>98</v>
      </c>
      <c r="U123" s="311" t="s">
        <v>99</v>
      </c>
      <c r="V123" s="311" t="s">
        <v>100</v>
      </c>
      <c r="W123" s="311" t="s">
        <v>101</v>
      </c>
      <c r="X123" s="311" t="s">
        <v>102</v>
      </c>
      <c r="Y123" s="311" t="s">
        <v>103</v>
      </c>
      <c r="Z123" s="311" t="s">
        <v>104</v>
      </c>
      <c r="AA123" s="311" t="s">
        <v>105</v>
      </c>
      <c r="AB123" s="311" t="s">
        <v>106</v>
      </c>
      <c r="AC123" s="311" t="s">
        <v>107</v>
      </c>
      <c r="AD123" s="311" t="s">
        <v>108</v>
      </c>
      <c r="AE123" s="38" t="s">
        <v>322</v>
      </c>
      <c r="AF123" s="38" t="s">
        <v>321</v>
      </c>
      <c r="AG123" s="311" t="s">
        <v>109</v>
      </c>
      <c r="AH123" s="311" t="s">
        <v>110</v>
      </c>
      <c r="AI123" s="311" t="s">
        <v>111</v>
      </c>
      <c r="AJ123" s="311" t="s">
        <v>112</v>
      </c>
      <c r="AK123" s="311" t="s">
        <v>113</v>
      </c>
      <c r="AL123" s="311" t="s">
        <v>114</v>
      </c>
      <c r="AM123" s="311" t="s">
        <v>115</v>
      </c>
      <c r="AN123" s="311" t="s">
        <v>116</v>
      </c>
      <c r="AO123" s="311" t="s">
        <v>117</v>
      </c>
      <c r="AP123" s="311" t="s">
        <v>118</v>
      </c>
      <c r="AQ123" s="311" t="s">
        <v>119</v>
      </c>
      <c r="AR123" s="311" t="s">
        <v>120</v>
      </c>
      <c r="AS123" s="311" t="s">
        <v>121</v>
      </c>
      <c r="AT123" s="311" t="s">
        <v>122</v>
      </c>
      <c r="AU123" s="311" t="s">
        <v>123</v>
      </c>
      <c r="AV123" s="311" t="s">
        <v>124</v>
      </c>
      <c r="AW123" s="311" t="s">
        <v>125</v>
      </c>
      <c r="AX123" s="311" t="s">
        <v>585</v>
      </c>
      <c r="AY123" s="311" t="s">
        <v>126</v>
      </c>
      <c r="AZ123" s="311" t="s">
        <v>127</v>
      </c>
      <c r="BA123" s="311" t="s">
        <v>128</v>
      </c>
      <c r="BB123" s="311" t="s">
        <v>129</v>
      </c>
      <c r="BC123" s="311" t="s">
        <v>130</v>
      </c>
      <c r="BD123" s="311" t="s">
        <v>131</v>
      </c>
      <c r="BE123" s="311" t="s">
        <v>81</v>
      </c>
      <c r="BF123" s="248"/>
      <c r="BG123" s="248"/>
    </row>
    <row r="124" spans="3:59" ht="17" x14ac:dyDescent="0.2">
      <c r="C124" s="6" t="s">
        <v>76</v>
      </c>
      <c r="D124" s="311">
        <v>0.34721271958642319</v>
      </c>
      <c r="E124" s="311">
        <v>0.29886022866003259</v>
      </c>
      <c r="F124" s="311">
        <v>0.40929255791706964</v>
      </c>
      <c r="G124" s="311">
        <v>0.54062015429735766</v>
      </c>
      <c r="H124" s="311">
        <v>0.36896294355392456</v>
      </c>
      <c r="I124" s="311">
        <v>0.64281528977153357</v>
      </c>
      <c r="J124" s="311">
        <v>0.25520797477292945</v>
      </c>
      <c r="K124" s="311">
        <v>0.41916341138551161</v>
      </c>
      <c r="L124" s="311">
        <v>0.12481835696164012</v>
      </c>
      <c r="M124" s="311">
        <v>0.30475470625970047</v>
      </c>
      <c r="N124" s="311">
        <v>0.45725215794846008</v>
      </c>
      <c r="O124" s="311">
        <v>0.24637541049196443</v>
      </c>
      <c r="P124" s="311">
        <v>0.53967632303829305</v>
      </c>
      <c r="Q124" s="311">
        <v>0.53294421199097997</v>
      </c>
      <c r="R124" s="311">
        <v>0.35756346564812702</v>
      </c>
      <c r="S124" s="311">
        <v>0.60232822429406951</v>
      </c>
      <c r="T124" s="311">
        <v>0.64715294929101219</v>
      </c>
      <c r="U124" s="311">
        <v>0.30910509154182364</v>
      </c>
      <c r="V124" s="311">
        <v>0.27878765591884758</v>
      </c>
      <c r="W124" s="311">
        <v>0.27106952956819441</v>
      </c>
      <c r="X124" s="311">
        <v>0.32187837855417456</v>
      </c>
      <c r="Y124" s="311">
        <v>0.16291874358648784</v>
      </c>
      <c r="Z124" s="311">
        <v>0.36733732687935117</v>
      </c>
      <c r="AA124" s="311">
        <v>0.59959954899386503</v>
      </c>
      <c r="AB124" s="311">
        <v>0.38288816262365799</v>
      </c>
      <c r="AC124" s="311">
        <v>0.42388205118913902</v>
      </c>
      <c r="AD124" s="311">
        <v>0.44161007324237289</v>
      </c>
      <c r="AE124" s="38">
        <f>'User Add-in Location'!B128</f>
        <v>0</v>
      </c>
      <c r="AF124" s="38">
        <f>'User Add-in Location'!C128</f>
        <v>0</v>
      </c>
      <c r="AG124" s="311">
        <v>0.67003680223297124</v>
      </c>
      <c r="AH124" s="311">
        <v>0.29308796339887522</v>
      </c>
      <c r="AI124" s="311">
        <v>0.24959493353526341</v>
      </c>
      <c r="AJ124" s="311">
        <v>0.23057124731349177</v>
      </c>
      <c r="AK124" s="311">
        <v>0.38127086256645271</v>
      </c>
      <c r="AL124" s="311">
        <v>0.35580908515839837</v>
      </c>
      <c r="AM124" s="311">
        <v>0.43567153651383705</v>
      </c>
      <c r="AN124" s="311">
        <v>0.53017186323904752</v>
      </c>
      <c r="AO124" s="311">
        <v>0.41122006871592021</v>
      </c>
      <c r="AP124" s="311">
        <v>0.38611518645348042</v>
      </c>
      <c r="AQ124" s="311">
        <v>0.34711183050239924</v>
      </c>
      <c r="AR124" s="311">
        <v>0.35902920873922994</v>
      </c>
      <c r="AS124" s="311">
        <v>0.14690537269962078</v>
      </c>
      <c r="AT124" s="311">
        <v>0.3248642185517383</v>
      </c>
      <c r="AU124" s="311">
        <v>0.56414960612164577</v>
      </c>
      <c r="AV124" s="311">
        <v>0.33706255578817945</v>
      </c>
      <c r="AW124" s="311">
        <v>0.47674341962556355</v>
      </c>
      <c r="AX124" s="311">
        <v>0.98206540034152567</v>
      </c>
      <c r="AY124" s="311">
        <v>0.41054213406459894</v>
      </c>
      <c r="AZ124" s="311">
        <v>0.48601713463358465</v>
      </c>
      <c r="BA124" s="311">
        <v>0.35166061516065383</v>
      </c>
      <c r="BB124" s="311">
        <v>0.31262189124390716</v>
      </c>
      <c r="BC124" s="311">
        <v>0.28008124317970839</v>
      </c>
      <c r="BD124" s="311">
        <v>0.5272709856108122</v>
      </c>
      <c r="BE124" s="311">
        <v>0.33541680600592372</v>
      </c>
      <c r="BF124" s="248"/>
      <c r="BG124" s="248"/>
    </row>
    <row r="125" spans="3:59" ht="17" x14ac:dyDescent="0.2">
      <c r="C125" s="6" t="s">
        <v>148</v>
      </c>
      <c r="D125" s="311">
        <v>0.22473520237690536</v>
      </c>
      <c r="E125" s="311">
        <v>0.13080583200542151</v>
      </c>
      <c r="F125" s="311">
        <v>0.32088875229237601</v>
      </c>
      <c r="G125" s="311">
        <v>0.22858544983864704</v>
      </c>
      <c r="H125" s="311">
        <v>0.26712719269562513</v>
      </c>
      <c r="I125" s="311">
        <v>0.24685980691720033</v>
      </c>
      <c r="J125" s="311">
        <v>0.27260840108283446</v>
      </c>
      <c r="K125" s="311">
        <v>0.53305709055518946</v>
      </c>
      <c r="L125" s="311">
        <v>1.0482729503464725</v>
      </c>
      <c r="M125" s="311">
        <v>0.45449374060262926</v>
      </c>
      <c r="N125" s="311">
        <v>0.24484647453937214</v>
      </c>
      <c r="O125" s="311">
        <v>0.24871010105152891</v>
      </c>
      <c r="P125" s="311">
        <v>0.23217022669268772</v>
      </c>
      <c r="Q125" s="311">
        <v>0.40208939202784677</v>
      </c>
      <c r="R125" s="311">
        <v>0.28613100440816197</v>
      </c>
      <c r="S125" s="311">
        <v>0.26440310572070302</v>
      </c>
      <c r="T125" s="311">
        <v>0.57232933378236339</v>
      </c>
      <c r="U125" s="311">
        <v>0.2893687821012918</v>
      </c>
      <c r="V125" s="311">
        <v>0.26566866865024963</v>
      </c>
      <c r="W125" s="311">
        <v>0.37812951700470876</v>
      </c>
      <c r="X125" s="311">
        <v>0.32860175575297035</v>
      </c>
      <c r="Y125" s="311">
        <v>0.45416460336127784</v>
      </c>
      <c r="Z125" s="311">
        <v>0.31647988579788944</v>
      </c>
      <c r="AA125" s="311">
        <v>0.27883289846067782</v>
      </c>
      <c r="AB125" s="311">
        <v>0.3667360583667687</v>
      </c>
      <c r="AC125" s="311">
        <v>0.29355411642609397</v>
      </c>
      <c r="AD125" s="311">
        <v>0.33266584519321896</v>
      </c>
      <c r="AE125" s="38">
        <f>'User Add-in Location'!B129</f>
        <v>0</v>
      </c>
      <c r="AF125" s="38">
        <f>'User Add-in Location'!C129</f>
        <v>0</v>
      </c>
      <c r="AG125" s="311">
        <v>0.30042713489820017</v>
      </c>
      <c r="AH125" s="311">
        <v>0.27304422864472144</v>
      </c>
      <c r="AI125" s="311">
        <v>0.35369655384420184</v>
      </c>
      <c r="AJ125" s="311">
        <v>0.37630062175594503</v>
      </c>
      <c r="AK125" s="311">
        <v>0.21624785839230753</v>
      </c>
      <c r="AL125" s="311">
        <v>0.40393540599325206</v>
      </c>
      <c r="AM125" s="311">
        <v>0.31872398077393882</v>
      </c>
      <c r="AN125" s="311">
        <v>0.22222827995142325</v>
      </c>
      <c r="AO125" s="311">
        <v>0.22956754172264482</v>
      </c>
      <c r="AP125" s="311">
        <v>0.27330487534504755</v>
      </c>
      <c r="AQ125" s="311">
        <v>0.37274539389181882</v>
      </c>
      <c r="AR125" s="311">
        <v>0.22575444215544849</v>
      </c>
      <c r="AS125" s="311">
        <v>0.26989363638494979</v>
      </c>
      <c r="AT125" s="311">
        <v>0.22962038986042899</v>
      </c>
      <c r="AU125" s="311">
        <v>0.30784188769575849</v>
      </c>
      <c r="AV125" s="311">
        <v>0.31396747908775069</v>
      </c>
      <c r="AW125" s="311">
        <v>0.21977671611239202</v>
      </c>
      <c r="AX125" s="311">
        <v>0.45848985644988716</v>
      </c>
      <c r="AY125" s="311">
        <v>0.31587464766198536</v>
      </c>
      <c r="AZ125" s="311">
        <v>0.15240711690421449</v>
      </c>
      <c r="BA125" s="311">
        <v>0.29516764933941886</v>
      </c>
      <c r="BB125" s="311">
        <v>0.39619906828738749</v>
      </c>
      <c r="BC125" s="311">
        <v>0.28138110589986809</v>
      </c>
      <c r="BD125" s="311">
        <v>0.20738987750883098</v>
      </c>
      <c r="BE125" s="311">
        <v>0.27165925583176431</v>
      </c>
      <c r="BF125" s="248"/>
      <c r="BG125" s="248"/>
    </row>
    <row r="126" spans="3:59" ht="17" x14ac:dyDescent="0.2">
      <c r="C126" s="6" t="s">
        <v>77</v>
      </c>
      <c r="D126" s="311">
        <v>0.33292483231980441</v>
      </c>
      <c r="E126" s="311">
        <v>0.24134526881243801</v>
      </c>
      <c r="F126" s="311">
        <v>0.34189683088334277</v>
      </c>
      <c r="G126" s="311">
        <v>0.33235153285568231</v>
      </c>
      <c r="H126" s="311">
        <v>0.41326684670639224</v>
      </c>
      <c r="I126" s="311">
        <v>0.36684350116411224</v>
      </c>
      <c r="J126" s="311">
        <v>0.32019994840447907</v>
      </c>
      <c r="K126" s="311">
        <v>0.25130200497176247</v>
      </c>
      <c r="L126" s="311">
        <v>0.14022272098637245</v>
      </c>
      <c r="M126" s="311">
        <v>0.38175937908090418</v>
      </c>
      <c r="N126" s="311">
        <v>0.3696968952062889</v>
      </c>
      <c r="O126" s="311">
        <v>0.23300052027661877</v>
      </c>
      <c r="P126" s="311">
        <v>0.31458567825029604</v>
      </c>
      <c r="Q126" s="311">
        <v>0.35128807002911344</v>
      </c>
      <c r="R126" s="311">
        <v>0.32506940801067685</v>
      </c>
      <c r="S126" s="311">
        <v>0.28789642170067964</v>
      </c>
      <c r="T126" s="311">
        <v>0.32865429489538656</v>
      </c>
      <c r="U126" s="311">
        <v>0.29437644799691043</v>
      </c>
      <c r="V126" s="311">
        <v>0.30579173747116783</v>
      </c>
      <c r="W126" s="311">
        <v>0.37450847906075069</v>
      </c>
      <c r="X126" s="311">
        <v>0.26998092345183977</v>
      </c>
      <c r="Y126" s="311">
        <v>0.32852168870158494</v>
      </c>
      <c r="Z126" s="311">
        <v>0.35452881310629891</v>
      </c>
      <c r="AA126" s="311">
        <v>0.38406634423881769</v>
      </c>
      <c r="AB126" s="311">
        <v>0.30510725694966823</v>
      </c>
      <c r="AC126" s="311">
        <v>0.36289451119228033</v>
      </c>
      <c r="AD126" s="311">
        <v>0.31399455377936647</v>
      </c>
      <c r="AE126" s="38">
        <f>'User Add-in Location'!B130</f>
        <v>0</v>
      </c>
      <c r="AF126" s="38">
        <f>'User Add-in Location'!C130</f>
        <v>0</v>
      </c>
      <c r="AG126" s="311">
        <v>0.34113174161029747</v>
      </c>
      <c r="AH126" s="311">
        <v>0.2524985582942918</v>
      </c>
      <c r="AI126" s="311">
        <v>0.36375442038661276</v>
      </c>
      <c r="AJ126" s="311">
        <v>0.30305892750402563</v>
      </c>
      <c r="AK126" s="311">
        <v>0.28513244688292616</v>
      </c>
      <c r="AL126" s="311">
        <v>0.29290846493677236</v>
      </c>
      <c r="AM126" s="311">
        <v>0.38646337346290238</v>
      </c>
      <c r="AN126" s="311">
        <v>0.25408429425988288</v>
      </c>
      <c r="AO126" s="311">
        <v>0.38539722080167849</v>
      </c>
      <c r="AP126" s="311">
        <v>0.34028216453407367</v>
      </c>
      <c r="AQ126" s="311">
        <v>0.32216624068678357</v>
      </c>
      <c r="AR126" s="311">
        <v>0.35224371416552458</v>
      </c>
      <c r="AS126" s="311">
        <v>0.27582268373134866</v>
      </c>
      <c r="AT126" s="311">
        <v>0.28344887324965384</v>
      </c>
      <c r="AU126" s="311">
        <v>0.30028791428867407</v>
      </c>
      <c r="AV126" s="311">
        <v>0.36304622543411824</v>
      </c>
      <c r="AW126" s="311">
        <v>0.4342064346128609</v>
      </c>
      <c r="AX126" s="311">
        <v>0.79545160639099777</v>
      </c>
      <c r="AY126" s="311">
        <v>0.35882530002709245</v>
      </c>
      <c r="AZ126" s="311">
        <v>0.35131806128265453</v>
      </c>
      <c r="BA126" s="311">
        <v>0.29019197536399588</v>
      </c>
      <c r="BB126" s="311">
        <v>0.31532286688161548</v>
      </c>
      <c r="BC126" s="311">
        <v>0.20617098967979075</v>
      </c>
      <c r="BD126" s="311">
        <v>0.33854094217531383</v>
      </c>
      <c r="BE126" s="311">
        <v>0.21972925360614681</v>
      </c>
      <c r="BF126" s="248"/>
      <c r="BG126" s="248"/>
    </row>
    <row r="127" spans="3:59" ht="17" x14ac:dyDescent="0.2">
      <c r="C127" s="6" t="s">
        <v>149</v>
      </c>
      <c r="D127" s="311">
        <v>0.33355503772327211</v>
      </c>
      <c r="E127" s="311">
        <v>0.36669673555911686</v>
      </c>
      <c r="F127" s="311">
        <v>0.37745070457458496</v>
      </c>
      <c r="G127" s="311">
        <v>0.37983995163813233</v>
      </c>
      <c r="H127" s="311">
        <v>0.49421858845744282</v>
      </c>
      <c r="I127" s="311">
        <v>0.44992832303978503</v>
      </c>
      <c r="J127" s="311">
        <v>0.27491377106343862</v>
      </c>
      <c r="K127" s="311">
        <v>0.2983997580072355</v>
      </c>
      <c r="L127" s="311">
        <v>0.13640243380450556</v>
      </c>
      <c r="M127" s="311">
        <v>0.41138481785310432</v>
      </c>
      <c r="N127" s="311">
        <v>0.385163113969611</v>
      </c>
      <c r="O127" s="311">
        <v>0.35891966919734841</v>
      </c>
      <c r="P127" s="311">
        <v>0.40082173616974615</v>
      </c>
      <c r="Q127" s="311">
        <v>0.40959859761642292</v>
      </c>
      <c r="R127" s="311">
        <v>0.31622621949645691</v>
      </c>
      <c r="S127" s="311">
        <v>0.35527944369823672</v>
      </c>
      <c r="T127" s="311">
        <v>0.41386429700651206</v>
      </c>
      <c r="U127" s="311">
        <v>0.3125659343204461</v>
      </c>
      <c r="V127" s="311">
        <v>0.33627794676976919</v>
      </c>
      <c r="W127" s="311">
        <v>0.33243610756471753</v>
      </c>
      <c r="X127" s="311">
        <v>0.24585652926907642</v>
      </c>
      <c r="Y127" s="311">
        <v>0.31202160572865978</v>
      </c>
      <c r="Z127" s="311">
        <v>0.37751749227754772</v>
      </c>
      <c r="AA127" s="311">
        <v>0.44193526764865965</v>
      </c>
      <c r="AB127" s="311">
        <v>0.3313464729799307</v>
      </c>
      <c r="AC127" s="311">
        <v>0.36531084461603314</v>
      </c>
      <c r="AD127" s="311">
        <v>0.38256567937969521</v>
      </c>
      <c r="AE127" s="38">
        <f>'User Add-in Location'!B131</f>
        <v>0</v>
      </c>
      <c r="AF127" s="38">
        <f>'User Add-in Location'!C131</f>
        <v>0</v>
      </c>
      <c r="AG127" s="311">
        <v>0.40399388024525251</v>
      </c>
      <c r="AH127" s="311">
        <v>0.26454490465039271</v>
      </c>
      <c r="AI127" s="311">
        <v>0.27287833840819076</v>
      </c>
      <c r="AJ127" s="311">
        <v>0.32663349948415998</v>
      </c>
      <c r="AK127" s="311">
        <v>0.37037347900331952</v>
      </c>
      <c r="AL127" s="311">
        <v>0.33339033304946497</v>
      </c>
      <c r="AM127" s="311">
        <v>0.34590770053910092</v>
      </c>
      <c r="AN127" s="311">
        <v>0.39833270413510036</v>
      </c>
      <c r="AO127" s="311">
        <v>0.40385944326408207</v>
      </c>
      <c r="AP127" s="311">
        <v>0.40237817583692959</v>
      </c>
      <c r="AQ127" s="311">
        <v>0.38055765628814697</v>
      </c>
      <c r="AR127" s="311">
        <v>0.39621945185353979</v>
      </c>
      <c r="AS127" s="311">
        <v>0.27158509218679683</v>
      </c>
      <c r="AT127" s="311">
        <v>0.28730746808287222</v>
      </c>
      <c r="AU127" s="311">
        <v>0.36083742754999548</v>
      </c>
      <c r="AV127" s="311">
        <v>0.33940585144591751</v>
      </c>
      <c r="AW127" s="311">
        <v>0.55199091171380132</v>
      </c>
      <c r="AX127" s="311">
        <v>1.0508334022015333</v>
      </c>
      <c r="AY127" s="311">
        <v>0.4339197027584305</v>
      </c>
      <c r="AZ127" s="311">
        <v>0.35435760668042349</v>
      </c>
      <c r="BA127" s="311">
        <v>0.27916121412999928</v>
      </c>
      <c r="BB127" s="311">
        <v>0.39662249793764204</v>
      </c>
      <c r="BC127" s="311">
        <v>0.26792043953673783</v>
      </c>
      <c r="BD127" s="311">
        <v>0.39808965107658878</v>
      </c>
      <c r="BE127" s="311">
        <v>0.32750970697998127</v>
      </c>
      <c r="BF127" s="248"/>
      <c r="BG127" s="248"/>
    </row>
    <row r="128" spans="3:59" ht="17" x14ac:dyDescent="0.2">
      <c r="C128" s="6" t="s">
        <v>150</v>
      </c>
      <c r="D128" s="311">
        <v>0.2978226339982939</v>
      </c>
      <c r="E128" s="311">
        <v>0.29143401560008897</v>
      </c>
      <c r="F128" s="311">
        <v>0.3652980416045466</v>
      </c>
      <c r="G128" s="311">
        <v>0.26496100165240932</v>
      </c>
      <c r="H128" s="311">
        <v>0.53402926836861297</v>
      </c>
      <c r="I128" s="311">
        <v>0.40430854276928585</v>
      </c>
      <c r="J128" s="311">
        <v>0.28873091395144002</v>
      </c>
      <c r="K128" s="311">
        <v>0.26495012983832567</v>
      </c>
      <c r="L128" s="311">
        <v>0</v>
      </c>
      <c r="M128" s="311">
        <v>0.39776981322211213</v>
      </c>
      <c r="N128" s="311">
        <v>0.35924089908075985</v>
      </c>
      <c r="O128" s="311">
        <v>0.29515284007902665</v>
      </c>
      <c r="P128" s="311">
        <v>0.31862495139648672</v>
      </c>
      <c r="Q128" s="311">
        <v>0.39280527344089933</v>
      </c>
      <c r="R128" s="311">
        <v>0.31084036410902627</v>
      </c>
      <c r="S128" s="311">
        <v>0.28127583243622212</v>
      </c>
      <c r="T128" s="311">
        <v>0.3040715716269915</v>
      </c>
      <c r="U128" s="311">
        <v>0.2742859319478157</v>
      </c>
      <c r="V128" s="311">
        <v>0.28734202139457921</v>
      </c>
      <c r="W128" s="311">
        <v>0.28354117294657044</v>
      </c>
      <c r="X128" s="311">
        <v>0.27144683945880388</v>
      </c>
      <c r="Y128" s="311">
        <v>0.31437180830653233</v>
      </c>
      <c r="Z128" s="311">
        <v>0.36582714304677211</v>
      </c>
      <c r="AA128" s="311">
        <v>0.40505628919345327</v>
      </c>
      <c r="AB128" s="311">
        <v>0.27181431838835124</v>
      </c>
      <c r="AC128" s="311">
        <v>0.32591107043117518</v>
      </c>
      <c r="AD128" s="311">
        <v>0.30406412412412465</v>
      </c>
      <c r="AE128" s="38">
        <f>'User Add-in Location'!B132</f>
        <v>0</v>
      </c>
      <c r="AF128" s="38">
        <f>'User Add-in Location'!C132</f>
        <v>0</v>
      </c>
      <c r="AG128" s="311">
        <v>0.29903970602026675</v>
      </c>
      <c r="AH128" s="311">
        <v>0.23798680884783607</v>
      </c>
      <c r="AI128" s="311">
        <v>0.27612784502980503</v>
      </c>
      <c r="AJ128" s="311">
        <v>0.32971988237841288</v>
      </c>
      <c r="AK128" s="311">
        <v>0.28436988217799808</v>
      </c>
      <c r="AL128" s="311">
        <v>0.32785238437645603</v>
      </c>
      <c r="AM128" s="311">
        <v>0.37723928163177334</v>
      </c>
      <c r="AN128" s="311">
        <v>0.27735437479714165</v>
      </c>
      <c r="AO128" s="311">
        <v>0.38163315276324283</v>
      </c>
      <c r="AP128" s="311">
        <v>0.29033504886319861</v>
      </c>
      <c r="AQ128" s="311">
        <v>0.34786139352945611</v>
      </c>
      <c r="AR128" s="311">
        <v>0.3820157771842787</v>
      </c>
      <c r="AS128" s="311">
        <v>0.3065790531136372</v>
      </c>
      <c r="AT128" s="311">
        <v>0.23446344445983414</v>
      </c>
      <c r="AU128" s="311">
        <v>0.25888185817166232</v>
      </c>
      <c r="AV128" s="311">
        <v>0.32301206765259849</v>
      </c>
      <c r="AW128" s="311">
        <v>0.49380094153457321</v>
      </c>
      <c r="AX128" s="311">
        <v>1.0081036756746471</v>
      </c>
      <c r="AY128" s="311">
        <v>0.42607860098360106</v>
      </c>
      <c r="AZ128" s="311">
        <v>0.26761221043670957</v>
      </c>
      <c r="BA128" s="311">
        <v>0.26010437077275128</v>
      </c>
      <c r="BB128" s="311">
        <v>0.36920097446272848</v>
      </c>
      <c r="BC128" s="311">
        <v>0.22622470771966618</v>
      </c>
      <c r="BD128" s="311">
        <v>0.34897744405316189</v>
      </c>
      <c r="BE128" s="311">
        <v>0.22156228127278155</v>
      </c>
      <c r="BF128" s="248"/>
      <c r="BG128" s="248"/>
    </row>
    <row r="129" spans="3:59" ht="17" x14ac:dyDescent="0.2">
      <c r="C129" s="6" t="s">
        <v>151</v>
      </c>
      <c r="D129" s="311">
        <v>0.33009803913591895</v>
      </c>
      <c r="E129" s="311">
        <v>0.2306646803044714</v>
      </c>
      <c r="F129" s="311">
        <v>0.3287160707404837</v>
      </c>
      <c r="G129" s="311">
        <v>0.31550064065959305</v>
      </c>
      <c r="H129" s="311">
        <v>0.47945335786789656</v>
      </c>
      <c r="I129" s="311">
        <v>0.41708984994329512</v>
      </c>
      <c r="J129" s="311">
        <v>0.28830054312129505</v>
      </c>
      <c r="K129" s="311">
        <v>0.21669015916268108</v>
      </c>
      <c r="L129" s="311">
        <v>0.17446090579552376</v>
      </c>
      <c r="M129" s="311">
        <v>0.41266768134664744</v>
      </c>
      <c r="N129" s="311">
        <v>0.35110574989812449</v>
      </c>
      <c r="O129" s="311">
        <v>0.3819059059896972</v>
      </c>
      <c r="P129" s="311">
        <v>0.34169430064503103</v>
      </c>
      <c r="Q129" s="311">
        <v>0.360525565687567</v>
      </c>
      <c r="R129" s="311">
        <v>0.35717192408628762</v>
      </c>
      <c r="S129" s="311">
        <v>0.2702082642717869</v>
      </c>
      <c r="T129" s="311">
        <v>0.32486407355463598</v>
      </c>
      <c r="U129" s="311">
        <v>0.29937394455191679</v>
      </c>
      <c r="V129" s="311">
        <v>0.28736416989340796</v>
      </c>
      <c r="W129" s="311">
        <v>0.30633661354659125</v>
      </c>
      <c r="X129" s="311">
        <v>0.31419871639809571</v>
      </c>
      <c r="Y129" s="311">
        <v>0.32572247057396453</v>
      </c>
      <c r="Z129" s="311">
        <v>0.34934374934528023</v>
      </c>
      <c r="AA129" s="311">
        <v>0.41277647711103782</v>
      </c>
      <c r="AB129" s="311">
        <v>0.29668164830218302</v>
      </c>
      <c r="AC129" s="311">
        <v>0.37854986605816521</v>
      </c>
      <c r="AD129" s="311">
        <v>0.34248692877736175</v>
      </c>
      <c r="AE129" s="38">
        <f>'User Add-in Location'!B133</f>
        <v>0</v>
      </c>
      <c r="AF129" s="38">
        <f>'User Add-in Location'!C133</f>
        <v>0</v>
      </c>
      <c r="AG129" s="311">
        <v>0.30418851975991856</v>
      </c>
      <c r="AH129" s="311">
        <v>0.25058365167569718</v>
      </c>
      <c r="AI129" s="311">
        <v>0.2521327742288122</v>
      </c>
      <c r="AJ129" s="311">
        <v>0.32365478327847086</v>
      </c>
      <c r="AK129" s="311">
        <v>0.28357623546617106</v>
      </c>
      <c r="AL129" s="311">
        <v>0.31949318855185993</v>
      </c>
      <c r="AM129" s="311">
        <v>0.34029338520485908</v>
      </c>
      <c r="AN129" s="311">
        <v>0.26638252559496323</v>
      </c>
      <c r="AO129" s="311">
        <v>0.3824418502044864</v>
      </c>
      <c r="AP129" s="311">
        <v>0.30624122184963198</v>
      </c>
      <c r="AQ129" s="311">
        <v>0.34245741076301783</v>
      </c>
      <c r="AR129" s="311">
        <v>0.37607724242843688</v>
      </c>
      <c r="AS129" s="311">
        <v>0.24431612082844367</v>
      </c>
      <c r="AT129" s="311">
        <v>0.27519024639332201</v>
      </c>
      <c r="AU129" s="311">
        <v>0.30665737821254879</v>
      </c>
      <c r="AV129" s="311">
        <v>0.33410956404259196</v>
      </c>
      <c r="AW129" s="311">
        <v>0.4389715064316988</v>
      </c>
      <c r="AX129" s="311">
        <v>1.0769264372065663</v>
      </c>
      <c r="AY129" s="311">
        <v>0.44639943155925721</v>
      </c>
      <c r="AZ129" s="311">
        <v>0.24203264119569212</v>
      </c>
      <c r="BA129" s="311">
        <v>0.28077375516295433</v>
      </c>
      <c r="BB129" s="311">
        <v>0.37851747655076906</v>
      </c>
      <c r="BC129" s="311">
        <v>0.20067915128083769</v>
      </c>
      <c r="BD129" s="311">
        <v>0.38380670695914887</v>
      </c>
      <c r="BE129" s="311">
        <v>0.25598966958932579</v>
      </c>
      <c r="BF129" s="248"/>
      <c r="BG129" s="248"/>
    </row>
    <row r="130" spans="3:59" ht="17" x14ac:dyDescent="0.2">
      <c r="C130" s="6" t="s">
        <v>152</v>
      </c>
      <c r="D130" s="311">
        <v>0.29201020186883397</v>
      </c>
      <c r="E130" s="311">
        <v>0</v>
      </c>
      <c r="F130" s="311">
        <v>0.36300541385935503</v>
      </c>
      <c r="G130" s="311">
        <v>0.28394167112128343</v>
      </c>
      <c r="H130" s="311">
        <v>0.47689874659408815</v>
      </c>
      <c r="I130" s="311">
        <v>0.42864376283250749</v>
      </c>
      <c r="J130" s="311">
        <v>0.30757832544259145</v>
      </c>
      <c r="K130" s="311">
        <v>0.24121782427459948</v>
      </c>
      <c r="L130" s="311">
        <v>0.19345431513752587</v>
      </c>
      <c r="M130" s="311">
        <v>0.40298050985438749</v>
      </c>
      <c r="N130" s="311">
        <v>0.3669995819509495</v>
      </c>
      <c r="O130" s="311">
        <v>0.35773838876048103</v>
      </c>
      <c r="P130" s="311">
        <v>0.33840073048486374</v>
      </c>
      <c r="Q130" s="311">
        <v>0.37218875126563944</v>
      </c>
      <c r="R130" s="311">
        <v>0.26359358025365509</v>
      </c>
      <c r="S130" s="311">
        <v>0.26838349326862954</v>
      </c>
      <c r="T130" s="311">
        <v>0.31568098627030849</v>
      </c>
      <c r="U130" s="311">
        <v>0.28626996471575694</v>
      </c>
      <c r="V130" s="311">
        <v>0.29067334045248572</v>
      </c>
      <c r="W130" s="311">
        <v>0.26862536957924021</v>
      </c>
      <c r="X130" s="311">
        <v>0.27251836945470131</v>
      </c>
      <c r="Y130" s="311">
        <v>0.40490872378541098</v>
      </c>
      <c r="Z130" s="311">
        <v>0.38903453682723921</v>
      </c>
      <c r="AA130" s="311">
        <v>0.46019586443435401</v>
      </c>
      <c r="AB130" s="311">
        <v>0.30262004057294689</v>
      </c>
      <c r="AC130" s="311">
        <v>0.25332883392547956</v>
      </c>
      <c r="AD130" s="311">
        <v>0.32321614154716372</v>
      </c>
      <c r="AE130" s="38">
        <f>'User Add-in Location'!B134</f>
        <v>0</v>
      </c>
      <c r="AF130" s="38">
        <f>'User Add-in Location'!C134</f>
        <v>0</v>
      </c>
      <c r="AG130" s="311">
        <v>0.29311644795234315</v>
      </c>
      <c r="AH130" s="311">
        <v>0.28157842577638803</v>
      </c>
      <c r="AI130" s="311">
        <v>0.32356490748770739</v>
      </c>
      <c r="AJ130" s="311">
        <v>0.34293083453485451</v>
      </c>
      <c r="AK130" s="311">
        <v>0.27342197323378059</v>
      </c>
      <c r="AL130" s="311">
        <v>0.3764738149693585</v>
      </c>
      <c r="AM130" s="311">
        <v>0.34387994281132706</v>
      </c>
      <c r="AN130" s="311">
        <v>0.3128792145580519</v>
      </c>
      <c r="AO130" s="311">
        <v>0.39740830176742747</v>
      </c>
      <c r="AP130" s="311">
        <v>0.32689336556359194</v>
      </c>
      <c r="AQ130" s="311">
        <v>0.20353612223698292</v>
      </c>
      <c r="AR130" s="311">
        <v>0.34681727769202553</v>
      </c>
      <c r="AS130" s="311">
        <v>0.30650405216783838</v>
      </c>
      <c r="AT130" s="311">
        <v>0.20133621560307802</v>
      </c>
      <c r="AU130" s="311">
        <v>0.307103583967546</v>
      </c>
      <c r="AV130" s="311">
        <v>0.31477314747462515</v>
      </c>
      <c r="AW130" s="311">
        <v>0.42997642655973323</v>
      </c>
      <c r="AX130" s="311">
        <v>0.76755691971629858</v>
      </c>
      <c r="AY130" s="311">
        <v>0.41054485495624249</v>
      </c>
      <c r="AZ130" s="311">
        <v>0.35205417805264005</v>
      </c>
      <c r="BA130" s="311">
        <v>0.31402466175859445</v>
      </c>
      <c r="BB130" s="311">
        <v>0.38568548456532881</v>
      </c>
      <c r="BC130" s="311">
        <v>0.27101674891991934</v>
      </c>
      <c r="BD130" s="311">
        <v>0.37254083852167241</v>
      </c>
      <c r="BE130" s="311">
        <v>0</v>
      </c>
      <c r="BF130" s="248"/>
      <c r="BG130" s="248"/>
    </row>
    <row r="131" spans="3:59" ht="17" x14ac:dyDescent="0.2">
      <c r="C131" s="6" t="s">
        <v>153</v>
      </c>
      <c r="D131" s="311">
        <v>0.50377272020341479</v>
      </c>
      <c r="E131" s="311">
        <v>0.32335666241027639</v>
      </c>
      <c r="F131" s="311">
        <v>0.51044921778520802</v>
      </c>
      <c r="G131" s="311">
        <v>0.463310024763814</v>
      </c>
      <c r="H131" s="311">
        <v>0.48099568238831125</v>
      </c>
      <c r="I131" s="311">
        <v>0.48995105172798503</v>
      </c>
      <c r="J131" s="311">
        <v>0.37237380456281244</v>
      </c>
      <c r="K131" s="311">
        <v>0.41371573296942188</v>
      </c>
      <c r="L131" s="311">
        <v>0.268742184157162</v>
      </c>
      <c r="M131" s="311">
        <v>0.52605545387632446</v>
      </c>
      <c r="N131" s="311">
        <v>0.48886098014554591</v>
      </c>
      <c r="O131" s="311">
        <v>0.41325675536154449</v>
      </c>
      <c r="P131" s="311">
        <v>0.45376934861997142</v>
      </c>
      <c r="Q131" s="311">
        <v>0.50650180098818964</v>
      </c>
      <c r="R131" s="311">
        <v>0.45047140268980002</v>
      </c>
      <c r="S131" s="311">
        <v>0.42697675983845329</v>
      </c>
      <c r="T131" s="311">
        <v>0.45347268612113112</v>
      </c>
      <c r="U131" s="311">
        <v>0.44591859196771111</v>
      </c>
      <c r="V131" s="311">
        <v>0.51415104194637706</v>
      </c>
      <c r="W131" s="311">
        <v>0.42341361710714409</v>
      </c>
      <c r="X131" s="311">
        <v>0.41049572774682019</v>
      </c>
      <c r="Y131" s="311">
        <v>0.44892914332012879</v>
      </c>
      <c r="Z131" s="311">
        <v>0.49485462349184672</v>
      </c>
      <c r="AA131" s="311">
        <v>0.55402416014112532</v>
      </c>
      <c r="AB131" s="311">
        <v>0.47500124480893646</v>
      </c>
      <c r="AC131" s="311">
        <v>0.46532658095384249</v>
      </c>
      <c r="AD131" s="311">
        <v>0.49643513090757097</v>
      </c>
      <c r="AE131" s="38">
        <f>'User Add-in Location'!B135</f>
        <v>0</v>
      </c>
      <c r="AF131" s="38">
        <f>'User Add-in Location'!C135</f>
        <v>0</v>
      </c>
      <c r="AG131" s="311">
        <v>0.33662746313393654</v>
      </c>
      <c r="AH131" s="311">
        <v>0.37756758562659343</v>
      </c>
      <c r="AI131" s="311">
        <v>0.39475645013408212</v>
      </c>
      <c r="AJ131" s="311">
        <v>0.41128146714436298</v>
      </c>
      <c r="AK131" s="311">
        <v>0.46176735726476181</v>
      </c>
      <c r="AL131" s="311">
        <v>0.47774425361421891</v>
      </c>
      <c r="AM131" s="311">
        <v>0.44704645326419268</v>
      </c>
      <c r="AN131" s="311">
        <v>0.50585767753182154</v>
      </c>
      <c r="AO131" s="311">
        <v>0.4755695280036889</v>
      </c>
      <c r="AP131" s="311">
        <v>0.48226654070822406</v>
      </c>
      <c r="AQ131" s="311">
        <v>0.44430631838622503</v>
      </c>
      <c r="AR131" s="311">
        <v>0.5038911393712624</v>
      </c>
      <c r="AS131" s="311">
        <v>0.39413959782132224</v>
      </c>
      <c r="AT131" s="311">
        <v>0.41091475540997635</v>
      </c>
      <c r="AU131" s="311">
        <v>0.44640294398868718</v>
      </c>
      <c r="AV131" s="311">
        <v>0.50344190006626377</v>
      </c>
      <c r="AW131" s="311">
        <v>0.59197023397427984</v>
      </c>
      <c r="AX131" s="311">
        <v>0.83996224869042635</v>
      </c>
      <c r="AY131" s="311">
        <v>0.52650976140284911</v>
      </c>
      <c r="AZ131" s="311">
        <v>0.44320082355625345</v>
      </c>
      <c r="BA131" s="311">
        <v>0.42441097941991757</v>
      </c>
      <c r="BB131" s="311">
        <v>0.45207203850441147</v>
      </c>
      <c r="BC131" s="311">
        <v>0.42301548957725288</v>
      </c>
      <c r="BD131" s="311">
        <v>0.44711330008431105</v>
      </c>
      <c r="BE131" s="311">
        <v>0.4032933196722297</v>
      </c>
      <c r="BF131" s="248"/>
      <c r="BG131" s="248"/>
    </row>
    <row r="132" spans="3:59" ht="17" x14ac:dyDescent="0.2">
      <c r="C132" s="6" t="s">
        <v>78</v>
      </c>
      <c r="D132" s="311">
        <v>0.32251843779158662</v>
      </c>
      <c r="E132" s="311">
        <v>0.27239378744921794</v>
      </c>
      <c r="F132" s="311">
        <v>0.39358963070662867</v>
      </c>
      <c r="G132" s="311">
        <v>0.281833887052926</v>
      </c>
      <c r="H132" s="311">
        <v>0.40219142053683754</v>
      </c>
      <c r="I132" s="311">
        <v>0.4192591186183563</v>
      </c>
      <c r="J132" s="311">
        <v>0.2853544506219805</v>
      </c>
      <c r="K132" s="311">
        <v>0.30909967209547062</v>
      </c>
      <c r="L132" s="311">
        <v>0.25419206803316996</v>
      </c>
      <c r="M132" s="311">
        <v>0.42360983519574802</v>
      </c>
      <c r="N132" s="311">
        <v>0.36622756538417889</v>
      </c>
      <c r="O132" s="311">
        <v>0.39234900921746885</v>
      </c>
      <c r="P132" s="311">
        <v>0.35937558076693676</v>
      </c>
      <c r="Q132" s="311">
        <v>0.36219960170274135</v>
      </c>
      <c r="R132" s="311">
        <v>0.32141374378625187</v>
      </c>
      <c r="S132" s="311">
        <v>0.31680823589158535</v>
      </c>
      <c r="T132" s="311">
        <v>0.33024570003362896</v>
      </c>
      <c r="U132" s="311">
        <v>0.29289104036615754</v>
      </c>
      <c r="V132" s="311">
        <v>0.307252448077179</v>
      </c>
      <c r="W132" s="311">
        <v>0.36327016313134664</v>
      </c>
      <c r="X132" s="311">
        <v>0.33952622555034395</v>
      </c>
      <c r="Y132" s="311">
        <v>0.36160880301349607</v>
      </c>
      <c r="Z132" s="311">
        <v>0.3412460386462044</v>
      </c>
      <c r="AA132" s="311">
        <v>0.38925373015808873</v>
      </c>
      <c r="AB132" s="311">
        <v>0.29294610764736717</v>
      </c>
      <c r="AC132" s="311">
        <v>0.37242527287526173</v>
      </c>
      <c r="AD132" s="311">
        <v>0.34450464300198291</v>
      </c>
      <c r="AE132" s="38">
        <f>'User Add-in Location'!B136</f>
        <v>0</v>
      </c>
      <c r="AF132" s="38">
        <f>'User Add-in Location'!C136</f>
        <v>0</v>
      </c>
      <c r="AG132" s="311">
        <v>0.32186224900215166</v>
      </c>
      <c r="AH132" s="311">
        <v>0.35093849447343928</v>
      </c>
      <c r="AI132" s="311">
        <v>0.34608456084538375</v>
      </c>
      <c r="AJ132" s="311">
        <v>0.34333328485172387</v>
      </c>
      <c r="AK132" s="311">
        <v>0.36233435936173919</v>
      </c>
      <c r="AL132" s="311">
        <v>0.35619275237695547</v>
      </c>
      <c r="AM132" s="311">
        <v>0.37621005589244305</v>
      </c>
      <c r="AN132" s="311">
        <v>0.28530325019892189</v>
      </c>
      <c r="AO132" s="311">
        <v>0.38463574819616042</v>
      </c>
      <c r="AP132" s="311">
        <v>0.32095878223299223</v>
      </c>
      <c r="AQ132" s="311">
        <v>0.38169105537235737</v>
      </c>
      <c r="AR132" s="311">
        <v>0.36019617626516265</v>
      </c>
      <c r="AS132" s="311">
        <v>0.34259978283000692</v>
      </c>
      <c r="AT132" s="311">
        <v>0.31610702784928435</v>
      </c>
      <c r="AU132" s="311">
        <v>0.30635837971931323</v>
      </c>
      <c r="AV132" s="311">
        <v>0.33223064906724176</v>
      </c>
      <c r="AW132" s="311">
        <v>0.33927952218800783</v>
      </c>
      <c r="AX132" s="311">
        <v>0.50488871562993154</v>
      </c>
      <c r="AY132" s="311">
        <v>0.44471009216249513</v>
      </c>
      <c r="AZ132" s="311">
        <v>0.33204436759024247</v>
      </c>
      <c r="BA132" s="311">
        <v>0.33109222193706955</v>
      </c>
      <c r="BB132" s="311">
        <v>0.33960086940351175</v>
      </c>
      <c r="BC132" s="311">
        <v>0.266862357902653</v>
      </c>
      <c r="BD132" s="311">
        <v>0.37590522174286889</v>
      </c>
      <c r="BE132" s="311">
        <v>0.24670300610574714</v>
      </c>
      <c r="BF132" s="248"/>
      <c r="BG132" s="248"/>
    </row>
    <row r="133" spans="3:59" ht="17" x14ac:dyDescent="0.2">
      <c r="C133" s="6" t="s">
        <v>79</v>
      </c>
      <c r="D133" s="311">
        <v>0.32121469405865355</v>
      </c>
      <c r="E133" s="311">
        <v>0.30762124004721159</v>
      </c>
      <c r="F133" s="311">
        <v>0.40198177933780244</v>
      </c>
      <c r="G133" s="311">
        <v>0.32503973816346843</v>
      </c>
      <c r="H133" s="311">
        <v>0.37571399374428438</v>
      </c>
      <c r="I133" s="311">
        <v>0.44523976631171536</v>
      </c>
      <c r="J133" s="311">
        <v>0.35236678880937689</v>
      </c>
      <c r="K133" s="311">
        <v>0.38180086791541612</v>
      </c>
      <c r="L133" s="311">
        <v>0.27971469615538069</v>
      </c>
      <c r="M133" s="311">
        <v>0.45234574357345991</v>
      </c>
      <c r="N133" s="311">
        <v>0.41613241556115099</v>
      </c>
      <c r="O133" s="311">
        <v>0.30917950118464432</v>
      </c>
      <c r="P133" s="311">
        <v>0.34465053239182453</v>
      </c>
      <c r="Q133" s="311">
        <v>0.42932337475940585</v>
      </c>
      <c r="R133" s="311">
        <v>0.35085635122140957</v>
      </c>
      <c r="S133" s="311">
        <v>0.37378829189674434</v>
      </c>
      <c r="T133" s="311">
        <v>0.35945891641677008</v>
      </c>
      <c r="U133" s="311">
        <v>0.34698824820816299</v>
      </c>
      <c r="V133" s="311">
        <v>0.31401349046478799</v>
      </c>
      <c r="W133" s="311">
        <v>0.37993614325750968</v>
      </c>
      <c r="X133" s="311">
        <v>0.36059117435434018</v>
      </c>
      <c r="Y133" s="311">
        <v>0.42650151912812362</v>
      </c>
      <c r="Z133" s="311">
        <v>0.36403344928839942</v>
      </c>
      <c r="AA133" s="311">
        <v>0.42962764181720559</v>
      </c>
      <c r="AB133" s="311">
        <v>0.29269691750550919</v>
      </c>
      <c r="AC133" s="311">
        <v>0.40907766983582405</v>
      </c>
      <c r="AD133" s="311">
        <v>0.39131283476285716</v>
      </c>
      <c r="AE133" s="38">
        <f>'User Add-in Location'!B137</f>
        <v>0</v>
      </c>
      <c r="AF133" s="38">
        <f>'User Add-in Location'!C137</f>
        <v>0</v>
      </c>
      <c r="AG133" s="311">
        <v>0.40599444705003407</v>
      </c>
      <c r="AH133" s="311">
        <v>0.33361938715768247</v>
      </c>
      <c r="AI133" s="311">
        <v>0.39356031362262911</v>
      </c>
      <c r="AJ133" s="311">
        <v>0.38256524730513775</v>
      </c>
      <c r="AK133" s="311">
        <v>0.31813739871540747</v>
      </c>
      <c r="AL133" s="311">
        <v>0.36239140235556988</v>
      </c>
      <c r="AM133" s="311">
        <v>0.41790263997245347</v>
      </c>
      <c r="AN133" s="311">
        <v>0.33490824999671531</v>
      </c>
      <c r="AO133" s="311">
        <v>0.39633001649417565</v>
      </c>
      <c r="AP133" s="311">
        <v>0.36169870658432046</v>
      </c>
      <c r="AQ133" s="311">
        <v>0.41930560415494256</v>
      </c>
      <c r="AR133" s="311">
        <v>0.43288948362896917</v>
      </c>
      <c r="AS133" s="311">
        <v>0.38122116264719352</v>
      </c>
      <c r="AT133" s="311">
        <v>0.33363895185811998</v>
      </c>
      <c r="AU133" s="311">
        <v>0.33891952474095888</v>
      </c>
      <c r="AV133" s="311">
        <v>0.36207408852487788</v>
      </c>
      <c r="AW133" s="311">
        <v>0.40543408523080871</v>
      </c>
      <c r="AX133" s="311">
        <v>0.5407286086701788</v>
      </c>
      <c r="AY133" s="311">
        <v>0.4517364545217788</v>
      </c>
      <c r="AZ133" s="311">
        <v>0.34782167928869967</v>
      </c>
      <c r="BA133" s="311">
        <v>0.37032478212131537</v>
      </c>
      <c r="BB133" s="311">
        <v>0.2606099533240922</v>
      </c>
      <c r="BC133" s="311">
        <v>0.280604784233347</v>
      </c>
      <c r="BD133" s="311">
        <v>0.40646436629322125</v>
      </c>
      <c r="BE133" s="311">
        <v>0.27807215865328772</v>
      </c>
      <c r="BF133" s="248"/>
      <c r="BG133" s="248"/>
    </row>
    <row r="134" spans="3:59" ht="17" x14ac:dyDescent="0.2">
      <c r="C134" s="6" t="s">
        <v>154</v>
      </c>
      <c r="D134" s="311">
        <v>0.4245697953765557</v>
      </c>
      <c r="E134" s="311">
        <v>0.31098284756224359</v>
      </c>
      <c r="F134" s="311">
        <v>0.5714055672287941</v>
      </c>
      <c r="G134" s="311">
        <v>0.39374264291109284</v>
      </c>
      <c r="H134" s="311">
        <v>0.41526083824646776</v>
      </c>
      <c r="I134" s="311">
        <v>0.59689504976267926</v>
      </c>
      <c r="J134" s="311">
        <v>0.43581534177565118</v>
      </c>
      <c r="K134" s="311">
        <v>0.25766074790770688</v>
      </c>
      <c r="L134" s="311">
        <v>0.27762260728907151</v>
      </c>
      <c r="M134" s="311">
        <v>0.63182991730172944</v>
      </c>
      <c r="N134" s="311">
        <v>0.44739594213751843</v>
      </c>
      <c r="O134" s="311">
        <v>0.34008615544212262</v>
      </c>
      <c r="P134" s="311">
        <v>0.48497678128478583</v>
      </c>
      <c r="Q134" s="311">
        <v>0.4665897503909946</v>
      </c>
      <c r="R134" s="311">
        <v>0.38306908739559731</v>
      </c>
      <c r="S134" s="311">
        <v>0.3818798621211954</v>
      </c>
      <c r="T134" s="311">
        <v>0.42206574083911619</v>
      </c>
      <c r="U134" s="311">
        <v>0.41060713028400642</v>
      </c>
      <c r="V134" s="311">
        <v>0.4269598153698837</v>
      </c>
      <c r="W134" s="311">
        <v>0.43852950608106767</v>
      </c>
      <c r="X134" s="311">
        <v>0.39336388376568721</v>
      </c>
      <c r="Y134" s="311">
        <v>0.44313555324060871</v>
      </c>
      <c r="Z134" s="311">
        <v>0.46137810019718017</v>
      </c>
      <c r="AA134" s="311">
        <v>0.54011256789090112</v>
      </c>
      <c r="AB134" s="311">
        <v>0.38349577638336996</v>
      </c>
      <c r="AC134" s="311">
        <v>0.47182799884103588</v>
      </c>
      <c r="AD134" s="311">
        <v>0.43958981237915395</v>
      </c>
      <c r="AE134" s="38">
        <f>'User Add-in Location'!B138</f>
        <v>0</v>
      </c>
      <c r="AF134" s="38">
        <f>'User Add-in Location'!C138</f>
        <v>0</v>
      </c>
      <c r="AG134" s="311">
        <v>0.45556521421895013</v>
      </c>
      <c r="AH134" s="311">
        <v>0.53407314698824848</v>
      </c>
      <c r="AI134" s="311">
        <v>0.41632144799336857</v>
      </c>
      <c r="AJ134" s="311">
        <v>0.48228896122509468</v>
      </c>
      <c r="AK134" s="311">
        <v>0.35988210747837002</v>
      </c>
      <c r="AL134" s="311">
        <v>0.31476576719978766</v>
      </c>
      <c r="AM134" s="311">
        <v>0.40584526314341929</v>
      </c>
      <c r="AN134" s="311">
        <v>0.43891286817961372</v>
      </c>
      <c r="AO134" s="311">
        <v>0.44119473624596139</v>
      </c>
      <c r="AP134" s="311">
        <v>0.4756929733139259</v>
      </c>
      <c r="AQ134" s="311">
        <v>0.42176575707344455</v>
      </c>
      <c r="AR134" s="311">
        <v>0.48616534054963267</v>
      </c>
      <c r="AS134" s="311">
        <v>0.44762972787316357</v>
      </c>
      <c r="AT134" s="311">
        <v>0.43461795525581692</v>
      </c>
      <c r="AU134" s="311">
        <v>0.36855788870252582</v>
      </c>
      <c r="AV134" s="311">
        <v>0.44272025695318007</v>
      </c>
      <c r="AW134" s="311">
        <v>0.59754529045312665</v>
      </c>
      <c r="AX134" s="311">
        <v>0.58869009901536629</v>
      </c>
      <c r="AY134" s="311">
        <v>0.5707661343003565</v>
      </c>
      <c r="AZ134" s="311">
        <v>0.37337638936560325</v>
      </c>
      <c r="BA134" s="311">
        <v>0.40319718268165161</v>
      </c>
      <c r="BB134" s="311">
        <v>0.40076458853218355</v>
      </c>
      <c r="BC134" s="311">
        <v>0.30163297807567346</v>
      </c>
      <c r="BD134" s="311">
        <v>0.44019188372294593</v>
      </c>
      <c r="BE134" s="311">
        <v>0.42162830396125628</v>
      </c>
      <c r="BF134" s="248"/>
      <c r="BG134" s="248"/>
    </row>
    <row r="135" spans="3:59" ht="17" x14ac:dyDescent="0.2">
      <c r="C135" s="6" t="s">
        <v>155</v>
      </c>
      <c r="D135" s="311">
        <v>0.34864584964816459</v>
      </c>
      <c r="E135" s="311">
        <v>0.30589617128157442</v>
      </c>
      <c r="F135" s="311">
        <v>0.44685503830260132</v>
      </c>
      <c r="G135" s="311">
        <v>0.34008000893663848</v>
      </c>
      <c r="H135" s="311">
        <v>0.42085149510239717</v>
      </c>
      <c r="I135" s="311">
        <v>0.44982510675617959</v>
      </c>
      <c r="J135" s="311">
        <v>0.35313812432286795</v>
      </c>
      <c r="K135" s="311">
        <v>0.30874844154197945</v>
      </c>
      <c r="L135" s="311">
        <v>0.24561457381598473</v>
      </c>
      <c r="M135" s="311">
        <v>0.46389037776680198</v>
      </c>
      <c r="N135" s="311">
        <v>0.42353781453857664</v>
      </c>
      <c r="O135" s="311">
        <v>0.33678907550802251</v>
      </c>
      <c r="P135" s="311">
        <v>0.3861298645788338</v>
      </c>
      <c r="Q135" s="311">
        <v>0.42388992992346175</v>
      </c>
      <c r="R135" s="311">
        <v>0.35271385608939454</v>
      </c>
      <c r="S135" s="311">
        <v>0.34383939948747866</v>
      </c>
      <c r="T135" s="311">
        <v>0.37608658196404576</v>
      </c>
      <c r="U135" s="311">
        <v>0.34158883488817082</v>
      </c>
      <c r="V135" s="311">
        <v>0.33769548419263629</v>
      </c>
      <c r="W135" s="311">
        <v>0.39010033257000032</v>
      </c>
      <c r="X135" s="311">
        <v>0.35444265925980289</v>
      </c>
      <c r="Y135" s="311">
        <v>0.39062879541961593</v>
      </c>
      <c r="Z135" s="311">
        <v>0.39122894589672796</v>
      </c>
      <c r="AA135" s="311">
        <v>0.40993493057612795</v>
      </c>
      <c r="AB135" s="311">
        <v>0.33984447304464993</v>
      </c>
      <c r="AC135" s="311">
        <v>0.41517211956670508</v>
      </c>
      <c r="AD135" s="311">
        <v>0.37134105904442549</v>
      </c>
      <c r="AE135" s="38">
        <f>'User Add-in Location'!B139</f>
        <v>0</v>
      </c>
      <c r="AF135" s="38">
        <f>'User Add-in Location'!C139</f>
        <v>0</v>
      </c>
      <c r="AG135" s="311">
        <v>0.39245136598765384</v>
      </c>
      <c r="AH135" s="311">
        <v>0.32308028885381646</v>
      </c>
      <c r="AI135" s="311">
        <v>0.35092664451440214</v>
      </c>
      <c r="AJ135" s="311">
        <v>0.37890243810943502</v>
      </c>
      <c r="AK135" s="311">
        <v>0.36658336537948344</v>
      </c>
      <c r="AL135" s="311">
        <v>0.3566999383183429</v>
      </c>
      <c r="AM135" s="311">
        <v>0.41412031359504908</v>
      </c>
      <c r="AN135" s="311">
        <v>0.3202288612810662</v>
      </c>
      <c r="AO135" s="311">
        <v>0.40681683659204282</v>
      </c>
      <c r="AP135" s="311">
        <v>0.36954769931980991</v>
      </c>
      <c r="AQ135" s="311">
        <v>0.38127155999245588</v>
      </c>
      <c r="AR135" s="311">
        <v>0.36928569924202748</v>
      </c>
      <c r="AS135" s="311">
        <v>0.38207461566435086</v>
      </c>
      <c r="AT135" s="311">
        <v>0.36159695003152592</v>
      </c>
      <c r="AU135" s="311">
        <v>0.34595792103937129</v>
      </c>
      <c r="AV135" s="311">
        <v>0.38161122814199189</v>
      </c>
      <c r="AW135" s="311">
        <v>0.44258814750355668</v>
      </c>
      <c r="AX135" s="311">
        <v>0.60297529480885714</v>
      </c>
      <c r="AY135" s="311">
        <v>0.47059045002242783</v>
      </c>
      <c r="AZ135" s="311">
        <v>0.36229101862954849</v>
      </c>
      <c r="BA135" s="311">
        <v>0.3433969100988179</v>
      </c>
      <c r="BB135" s="311">
        <v>0.36610566746094264</v>
      </c>
      <c r="BC135" s="311">
        <v>0.29122991071631077</v>
      </c>
      <c r="BD135" s="311">
        <v>0.38428280978405382</v>
      </c>
      <c r="BE135" s="311">
        <v>0.29400778058334254</v>
      </c>
      <c r="BF135" s="248"/>
      <c r="BG135" s="248"/>
    </row>
    <row r="136" spans="3:59" ht="17" x14ac:dyDescent="0.2">
      <c r="C136" s="6" t="s">
        <v>156</v>
      </c>
      <c r="D136" s="311">
        <v>0.3711258195571645</v>
      </c>
      <c r="E136" s="311">
        <v>0.33383035169205755</v>
      </c>
      <c r="F136" s="311">
        <v>0.46018802461549058</v>
      </c>
      <c r="G136" s="311">
        <v>0.38795574219329865</v>
      </c>
      <c r="H136" s="311">
        <v>0.41328441278164973</v>
      </c>
      <c r="I136" s="311">
        <v>0.47710332319547888</v>
      </c>
      <c r="J136" s="311">
        <v>0.39114609449916315</v>
      </c>
      <c r="K136" s="311">
        <v>0.31727706834806213</v>
      </c>
      <c r="L136" s="311">
        <v>0.20476045448828728</v>
      </c>
      <c r="M136" s="311">
        <v>0.45961776644253405</v>
      </c>
      <c r="N136" s="311">
        <v>0.40714606201981951</v>
      </c>
      <c r="O136" s="311">
        <v>0.37104084103702917</v>
      </c>
      <c r="P136" s="311">
        <v>0.42611854264396243</v>
      </c>
      <c r="Q136" s="311">
        <v>0.3838469990005251</v>
      </c>
      <c r="R136" s="311">
        <v>0.34013518590654712</v>
      </c>
      <c r="S136" s="311">
        <v>0.37695677012925444</v>
      </c>
      <c r="T136" s="311">
        <v>0.41466851188397413</v>
      </c>
      <c r="U136" s="311">
        <v>0.36511708888428984</v>
      </c>
      <c r="V136" s="311">
        <v>0.34363770589374099</v>
      </c>
      <c r="W136" s="311">
        <v>0.44247987978633319</v>
      </c>
      <c r="X136" s="311">
        <v>0.38900920733340172</v>
      </c>
      <c r="Y136" s="311">
        <v>0.41694753548017616</v>
      </c>
      <c r="Z136" s="311">
        <v>0.41915236579734483</v>
      </c>
      <c r="AA136" s="311">
        <v>0.42177884331613313</v>
      </c>
      <c r="AB136" s="311">
        <v>0.35169848480927612</v>
      </c>
      <c r="AC136" s="311">
        <v>0.40548465892788954</v>
      </c>
      <c r="AD136" s="311">
        <v>0.40341787992201716</v>
      </c>
      <c r="AE136" s="38">
        <f>'User Add-in Location'!B140</f>
        <v>0</v>
      </c>
      <c r="AF136" s="38">
        <f>'User Add-in Location'!C140</f>
        <v>0</v>
      </c>
      <c r="AG136" s="311">
        <v>0.40466964165352692</v>
      </c>
      <c r="AH136" s="311">
        <v>0.37289546153601805</v>
      </c>
      <c r="AI136" s="311">
        <v>0.40304831088451465</v>
      </c>
      <c r="AJ136" s="311">
        <v>0.38099442040766007</v>
      </c>
      <c r="AK136" s="311">
        <v>0.37537389137287391</v>
      </c>
      <c r="AL136" s="311">
        <v>0.34125463452801341</v>
      </c>
      <c r="AM136" s="311">
        <v>0.40723389648337616</v>
      </c>
      <c r="AN136" s="311">
        <v>0.35611124259685312</v>
      </c>
      <c r="AO136" s="311">
        <v>0.44317146710091038</v>
      </c>
      <c r="AP136" s="311">
        <v>0.37304027278150897</v>
      </c>
      <c r="AQ136" s="311">
        <v>0.38385356439539464</v>
      </c>
      <c r="AR136" s="311">
        <v>0.41041409908939386</v>
      </c>
      <c r="AS136" s="311">
        <v>0.45222775257525427</v>
      </c>
      <c r="AT136" s="311">
        <v>0.37225094486348098</v>
      </c>
      <c r="AU136" s="311">
        <v>0.39646872448065551</v>
      </c>
      <c r="AV136" s="311">
        <v>0.38884690811255496</v>
      </c>
      <c r="AW136" s="311">
        <v>0.40691225683985977</v>
      </c>
      <c r="AX136" s="311">
        <v>0.54765509138815105</v>
      </c>
      <c r="AY136" s="311">
        <v>0.54128461487380264</v>
      </c>
      <c r="AZ136" s="311">
        <v>0.42815984559365461</v>
      </c>
      <c r="BA136" s="311">
        <v>0.34336863275893847</v>
      </c>
      <c r="BB136" s="311">
        <v>0.39518854025300243</v>
      </c>
      <c r="BC136" s="311">
        <v>0.30771223269996995</v>
      </c>
      <c r="BD136" s="311">
        <v>0.4227710531122284</v>
      </c>
      <c r="BE136" s="311">
        <v>0.32109177526433541</v>
      </c>
      <c r="BF136" s="248"/>
      <c r="BG136" s="248"/>
    </row>
    <row r="137" spans="3:59" ht="17" x14ac:dyDescent="0.2">
      <c r="C137" s="6" t="s">
        <v>80</v>
      </c>
      <c r="D137" s="311">
        <v>9.2920438417763762E-2</v>
      </c>
      <c r="E137" s="311">
        <v>3.1883203279797101E-2</v>
      </c>
      <c r="F137" s="311">
        <v>0.1400561510490661</v>
      </c>
      <c r="G137" s="311">
        <v>7.7665627682563354E-2</v>
      </c>
      <c r="H137" s="311">
        <v>0.10054020612005843</v>
      </c>
      <c r="I137" s="311">
        <v>5.5789224168620422E-2</v>
      </c>
      <c r="J137" s="311">
        <v>0.1261276550671937</v>
      </c>
      <c r="K137" s="311">
        <v>2.9997929713598381E-2</v>
      </c>
      <c r="L137" s="311">
        <v>7.786052867554849E-3</v>
      </c>
      <c r="M137" s="311">
        <v>8.4526932141670841E-2</v>
      </c>
      <c r="N137" s="311">
        <v>3.3403818761485127E-2</v>
      </c>
      <c r="O137" s="311">
        <v>5.5271791176778606E-2</v>
      </c>
      <c r="P137" s="311">
        <v>0.10019860241663991</v>
      </c>
      <c r="Q137" s="311">
        <v>2.9329082778076554E-2</v>
      </c>
      <c r="R137" s="311">
        <v>5.8900431707570533E-2</v>
      </c>
      <c r="S137" s="311">
        <v>5.848186027247948E-2</v>
      </c>
      <c r="T137" s="311">
        <v>7.5618556406766402E-2</v>
      </c>
      <c r="U137" s="311">
        <v>8.4940286155017475E-2</v>
      </c>
      <c r="V137" s="311">
        <v>0.11042009179548984</v>
      </c>
      <c r="W137" s="311">
        <v>8.5669288931967458E-2</v>
      </c>
      <c r="X137" s="311">
        <v>1.2285045208756173E-2</v>
      </c>
      <c r="Y137" s="311">
        <v>2.9862621194524763E-2</v>
      </c>
      <c r="Z137" s="311">
        <v>6.0518924047755718E-2</v>
      </c>
      <c r="AA137" s="311">
        <v>0.12214584491084679</v>
      </c>
      <c r="AB137" s="311">
        <v>6.5414582361199791E-2</v>
      </c>
      <c r="AC137" s="311">
        <v>7.7949973926479288E-2</v>
      </c>
      <c r="AD137" s="311">
        <v>8.9865091180058698E-2</v>
      </c>
      <c r="AE137" s="38">
        <f>'User Add-in Location'!B141</f>
        <v>0</v>
      </c>
      <c r="AF137" s="38">
        <f>'User Add-in Location'!C141</f>
        <v>0</v>
      </c>
      <c r="AG137" s="311">
        <v>6.243357977962205E-2</v>
      </c>
      <c r="AH137" s="311">
        <v>0.2057815872507831</v>
      </c>
      <c r="AI137" s="311">
        <v>7.5197789634785295E-2</v>
      </c>
      <c r="AJ137" s="311">
        <v>7.1620609272940783E-2</v>
      </c>
      <c r="AK137" s="311">
        <v>0.10784731530111458</v>
      </c>
      <c r="AL137" s="311">
        <v>7.1289492343566963E-2</v>
      </c>
      <c r="AM137" s="311">
        <v>4.9121153802843764E-2</v>
      </c>
      <c r="AN137" s="311">
        <v>0.1850562702049956</v>
      </c>
      <c r="AO137" s="311">
        <v>6.3318362075278856E-2</v>
      </c>
      <c r="AP137" s="311">
        <v>0.1947156283631557</v>
      </c>
      <c r="AQ137" s="311">
        <v>9.3750999069015961E-2</v>
      </c>
      <c r="AR137" s="311">
        <v>0.10598017643769708</v>
      </c>
      <c r="AS137" s="311">
        <v>2.9508558995587464E-2</v>
      </c>
      <c r="AT137" s="311">
        <v>6.2858346502025597E-2</v>
      </c>
      <c r="AU137" s="311">
        <v>0.17892973185303163</v>
      </c>
      <c r="AV137" s="311">
        <v>0.10283819892015345</v>
      </c>
      <c r="AW137" s="311">
        <v>9.2852830035553779E-2</v>
      </c>
      <c r="AX137" s="311">
        <v>0.12074224621756002</v>
      </c>
      <c r="AY137" s="311">
        <v>5.697674401835684E-2</v>
      </c>
      <c r="AZ137" s="311">
        <v>5.1357623780631911E-2</v>
      </c>
      <c r="BA137" s="311">
        <v>6.4009319812612375E-2</v>
      </c>
      <c r="BB137" s="311">
        <v>0.1305131052267825</v>
      </c>
      <c r="BC137" s="311">
        <v>7.0360682072877268E-2</v>
      </c>
      <c r="BD137" s="311">
        <v>8.5122102292189084E-2</v>
      </c>
      <c r="BE137" s="311">
        <v>6.8111910822722166E-2</v>
      </c>
      <c r="BF137" s="248"/>
      <c r="BG137" s="248"/>
    </row>
    <row r="138" spans="3:59" ht="16" x14ac:dyDescent="0.2">
      <c r="D138" s="311"/>
      <c r="E138" s="311"/>
      <c r="F138" s="311"/>
      <c r="G138" s="311"/>
      <c r="H138" s="311"/>
      <c r="I138" s="311"/>
      <c r="J138" s="311"/>
      <c r="K138" s="311"/>
      <c r="L138" s="311"/>
      <c r="M138" s="311"/>
      <c r="N138" s="311"/>
      <c r="O138" s="311"/>
      <c r="P138" s="311"/>
      <c r="Q138" s="311"/>
      <c r="R138" s="311"/>
      <c r="S138" s="311"/>
      <c r="T138" s="311"/>
      <c r="U138" s="311"/>
      <c r="V138" s="311"/>
      <c r="W138" s="311"/>
      <c r="X138" s="311"/>
      <c r="Y138" s="311"/>
      <c r="Z138" s="311"/>
      <c r="AA138" s="311"/>
      <c r="AB138" s="311"/>
      <c r="AC138" s="311"/>
      <c r="AD138" s="311"/>
      <c r="AE138" s="38"/>
      <c r="AF138" s="38"/>
      <c r="AG138" s="311"/>
      <c r="AH138" s="311"/>
      <c r="AI138" s="311"/>
      <c r="AJ138" s="311"/>
      <c r="AK138" s="311"/>
      <c r="AL138" s="311"/>
      <c r="AM138" s="311"/>
      <c r="AN138" s="311"/>
      <c r="AO138" s="311"/>
      <c r="AP138" s="311"/>
      <c r="AQ138" s="311"/>
      <c r="AR138" s="311"/>
      <c r="AS138" s="311"/>
      <c r="AT138" s="311"/>
      <c r="AU138" s="311"/>
      <c r="AV138" s="311"/>
      <c r="AW138" s="311"/>
      <c r="AX138" s="311"/>
      <c r="AY138" s="311"/>
      <c r="AZ138" s="311"/>
      <c r="BA138" s="311"/>
      <c r="BB138" s="311"/>
      <c r="BC138" s="311"/>
      <c r="BD138" s="311"/>
      <c r="BE138" s="311"/>
      <c r="BF138" s="248"/>
      <c r="BG138" s="248"/>
    </row>
    <row r="139" spans="3:59" ht="12.75" customHeight="1" x14ac:dyDescent="0.2">
      <c r="C139" s="76" t="s">
        <v>283</v>
      </c>
      <c r="D139" s="311"/>
      <c r="E139" s="311"/>
      <c r="F139" s="311"/>
      <c r="G139" s="311"/>
      <c r="H139" s="311"/>
      <c r="I139" s="311"/>
      <c r="J139" s="311"/>
      <c r="K139" s="311"/>
      <c r="L139" s="311"/>
      <c r="M139" s="311"/>
      <c r="N139" s="311"/>
      <c r="O139" s="311"/>
      <c r="P139" s="311"/>
      <c r="Q139" s="311"/>
      <c r="R139" s="311"/>
      <c r="S139" s="311"/>
      <c r="T139" s="311"/>
      <c r="U139" s="311"/>
      <c r="V139" s="311"/>
      <c r="W139" s="311"/>
      <c r="X139" s="311"/>
      <c r="Y139" s="311"/>
      <c r="Z139" s="311"/>
      <c r="AA139" s="311"/>
      <c r="AB139" s="311"/>
      <c r="AC139" s="311"/>
      <c r="AD139" s="311"/>
      <c r="AE139" s="38"/>
      <c r="AF139" s="38"/>
      <c r="AG139" s="311"/>
      <c r="AH139" s="311"/>
      <c r="AI139" s="311"/>
      <c r="AJ139" s="311"/>
      <c r="AK139" s="311"/>
      <c r="AL139" s="311"/>
      <c r="AM139" s="311"/>
      <c r="AN139" s="311"/>
      <c r="AO139" s="311"/>
      <c r="AP139" s="311"/>
      <c r="AQ139" s="311"/>
      <c r="AR139" s="311"/>
      <c r="AS139" s="311"/>
      <c r="AT139" s="311"/>
      <c r="AU139" s="311"/>
      <c r="AV139" s="311"/>
      <c r="AW139" s="311"/>
      <c r="AX139" s="311"/>
      <c r="AY139" s="311"/>
      <c r="AZ139" s="311"/>
      <c r="BA139" s="311"/>
      <c r="BB139" s="311"/>
      <c r="BC139" s="311"/>
      <c r="BD139" s="311"/>
      <c r="BE139" s="311"/>
      <c r="BF139" s="248"/>
      <c r="BG139" s="248"/>
    </row>
    <row r="140" spans="3:59" ht="16" x14ac:dyDescent="0.2">
      <c r="C140" s="77" t="s">
        <v>292</v>
      </c>
      <c r="D140" s="311" t="s">
        <v>82</v>
      </c>
      <c r="E140" s="311" t="s">
        <v>83</v>
      </c>
      <c r="F140" s="311" t="s">
        <v>84</v>
      </c>
      <c r="G140" s="311" t="s">
        <v>85</v>
      </c>
      <c r="H140" s="311" t="s">
        <v>86</v>
      </c>
      <c r="I140" s="311" t="s">
        <v>87</v>
      </c>
      <c r="J140" s="311" t="s">
        <v>88</v>
      </c>
      <c r="K140" s="311" t="s">
        <v>89</v>
      </c>
      <c r="L140" s="311" t="s">
        <v>90</v>
      </c>
      <c r="M140" s="311" t="s">
        <v>91</v>
      </c>
      <c r="N140" s="311" t="s">
        <v>92</v>
      </c>
      <c r="O140" s="311" t="s">
        <v>93</v>
      </c>
      <c r="P140" s="311" t="s">
        <v>94</v>
      </c>
      <c r="Q140" s="311" t="s">
        <v>95</v>
      </c>
      <c r="R140" s="311" t="s">
        <v>96</v>
      </c>
      <c r="S140" s="311" t="s">
        <v>97</v>
      </c>
      <c r="T140" s="311" t="s">
        <v>98</v>
      </c>
      <c r="U140" s="311" t="s">
        <v>99</v>
      </c>
      <c r="V140" s="311" t="s">
        <v>100</v>
      </c>
      <c r="W140" s="311" t="s">
        <v>101</v>
      </c>
      <c r="X140" s="311" t="s">
        <v>102</v>
      </c>
      <c r="Y140" s="311" t="s">
        <v>103</v>
      </c>
      <c r="Z140" s="311" t="s">
        <v>104</v>
      </c>
      <c r="AA140" s="311" t="s">
        <v>105</v>
      </c>
      <c r="AB140" s="311" t="s">
        <v>106</v>
      </c>
      <c r="AC140" s="311" t="s">
        <v>107</v>
      </c>
      <c r="AD140" s="311" t="s">
        <v>108</v>
      </c>
      <c r="AE140" s="38" t="s">
        <v>322</v>
      </c>
      <c r="AF140" s="38" t="s">
        <v>321</v>
      </c>
      <c r="AG140" s="311" t="s">
        <v>109</v>
      </c>
      <c r="AH140" s="311" t="s">
        <v>110</v>
      </c>
      <c r="AI140" s="311" t="s">
        <v>111</v>
      </c>
      <c r="AJ140" s="311" t="s">
        <v>112</v>
      </c>
      <c r="AK140" s="311" t="s">
        <v>113</v>
      </c>
      <c r="AL140" s="311" t="s">
        <v>114</v>
      </c>
      <c r="AM140" s="311" t="s">
        <v>115</v>
      </c>
      <c r="AN140" s="311" t="s">
        <v>116</v>
      </c>
      <c r="AO140" s="311" t="s">
        <v>117</v>
      </c>
      <c r="AP140" s="311" t="s">
        <v>118</v>
      </c>
      <c r="AQ140" s="311" t="s">
        <v>119</v>
      </c>
      <c r="AR140" s="311" t="s">
        <v>120</v>
      </c>
      <c r="AS140" s="311" t="s">
        <v>121</v>
      </c>
      <c r="AT140" s="311" t="s">
        <v>122</v>
      </c>
      <c r="AU140" s="311" t="s">
        <v>123</v>
      </c>
      <c r="AV140" s="311" t="s">
        <v>124</v>
      </c>
      <c r="AW140" s="311" t="s">
        <v>125</v>
      </c>
      <c r="AX140" s="311" t="s">
        <v>585</v>
      </c>
      <c r="AY140" s="311" t="s">
        <v>126</v>
      </c>
      <c r="AZ140" s="311" t="s">
        <v>127</v>
      </c>
      <c r="BA140" s="311" t="s">
        <v>128</v>
      </c>
      <c r="BB140" s="311" t="s">
        <v>129</v>
      </c>
      <c r="BC140" s="311" t="s">
        <v>130</v>
      </c>
      <c r="BD140" s="311" t="s">
        <v>131</v>
      </c>
      <c r="BE140" s="311" t="s">
        <v>81</v>
      </c>
      <c r="BF140" s="248"/>
      <c r="BG140" s="248"/>
    </row>
    <row r="141" spans="3:59" ht="17" x14ac:dyDescent="0.2">
      <c r="C141" s="6" t="s">
        <v>76</v>
      </c>
      <c r="D141" s="311">
        <v>0.31483975034370815</v>
      </c>
      <c r="E141" s="311">
        <v>0.23838453876101084</v>
      </c>
      <c r="F141" s="311">
        <v>0.4801513840793632</v>
      </c>
      <c r="G141" s="311">
        <v>0.30520874400644971</v>
      </c>
      <c r="H141" s="311">
        <v>0.51399454433703795</v>
      </c>
      <c r="I141" s="311">
        <v>0.42465367987460922</v>
      </c>
      <c r="J141" s="311">
        <v>0.36489801899369922</v>
      </c>
      <c r="K141" s="311">
        <v>0.31263895569566102</v>
      </c>
      <c r="L141" s="311">
        <v>0.20900977547751154</v>
      </c>
      <c r="M141" s="311">
        <v>0.55114642503031064</v>
      </c>
      <c r="N141" s="311">
        <v>0.40427189148431353</v>
      </c>
      <c r="O141" s="311">
        <v>0.38493178182397969</v>
      </c>
      <c r="P141" s="311">
        <v>0.36921760581753915</v>
      </c>
      <c r="Q141" s="311">
        <v>0.18975704073818633</v>
      </c>
      <c r="R141" s="311">
        <v>0.2256677397290332</v>
      </c>
      <c r="S141" s="311">
        <v>0.29616493991034076</v>
      </c>
      <c r="T141" s="311">
        <v>0.25201412192109274</v>
      </c>
      <c r="U141" s="311">
        <v>0.24129205187591651</v>
      </c>
      <c r="V141" s="311">
        <v>0.25796832311476692</v>
      </c>
      <c r="W141" s="311">
        <v>0.4636563551503059</v>
      </c>
      <c r="X141" s="311">
        <v>0.23704732239821169</v>
      </c>
      <c r="Y141" s="311">
        <v>0.56790012084093178</v>
      </c>
      <c r="Z141" s="311">
        <v>0.31770481975036091</v>
      </c>
      <c r="AA141" s="311">
        <v>0.38687475270126015</v>
      </c>
      <c r="AB141" s="311">
        <v>0.25301257052842629</v>
      </c>
      <c r="AC141" s="311">
        <v>0.20579205915419152</v>
      </c>
      <c r="AD141" s="311">
        <v>0.25112144934337266</v>
      </c>
      <c r="AE141" s="38">
        <f>'User Add-in Location'!B145</f>
        <v>0</v>
      </c>
      <c r="AF141" s="38">
        <f>'User Add-in Location'!C145</f>
        <v>0</v>
      </c>
      <c r="AG141" s="311">
        <v>0.32993426790471858</v>
      </c>
      <c r="AH141" s="311">
        <v>0.24635125895269994</v>
      </c>
      <c r="AI141" s="311">
        <v>0.39029068325908156</v>
      </c>
      <c r="AJ141" s="311">
        <v>0.39175969388816156</v>
      </c>
      <c r="AK141" s="311">
        <v>0.27743153023038758</v>
      </c>
      <c r="AL141" s="311">
        <v>0.2878182443237165</v>
      </c>
      <c r="AM141" s="311">
        <v>0.41658407676732168</v>
      </c>
      <c r="AN141" s="311">
        <v>0.11784601952604135</v>
      </c>
      <c r="AO141" s="311">
        <v>0.29986409925186308</v>
      </c>
      <c r="AP141" s="311">
        <v>0.31555228036404515</v>
      </c>
      <c r="AQ141" s="311">
        <v>0.48230420310574118</v>
      </c>
      <c r="AR141" s="311">
        <v>0.38340141459048027</v>
      </c>
      <c r="AS141" s="311">
        <v>0.43039376828892273</v>
      </c>
      <c r="AT141" s="311">
        <v>0.19972727257118095</v>
      </c>
      <c r="AU141" s="311">
        <v>0.26285078659202554</v>
      </c>
      <c r="AV141" s="311">
        <v>0.22472139192359464</v>
      </c>
      <c r="AW141" s="311">
        <v>0.40897206627414562</v>
      </c>
      <c r="AX141" s="311">
        <v>0.81247291807085276</v>
      </c>
      <c r="AY141" s="311">
        <v>0.36972198191506322</v>
      </c>
      <c r="AZ141" s="311">
        <v>0.27380547965731239</v>
      </c>
      <c r="BA141" s="311">
        <v>0.2382825613458408</v>
      </c>
      <c r="BB141" s="311">
        <v>0.48955527764337603</v>
      </c>
      <c r="BC141" s="311">
        <v>0.12942623926936392</v>
      </c>
      <c r="BD141" s="311">
        <v>0.35381221584611922</v>
      </c>
      <c r="BE141" s="311">
        <v>0.15474632345467398</v>
      </c>
      <c r="BF141" s="248"/>
      <c r="BG141" s="248"/>
    </row>
    <row r="142" spans="3:59" ht="17" x14ac:dyDescent="0.2">
      <c r="C142" s="6" t="s">
        <v>148</v>
      </c>
      <c r="D142" s="311">
        <v>0.14174920973346161</v>
      </c>
      <c r="E142" s="311">
        <v>0.1779741231031835</v>
      </c>
      <c r="F142" s="311">
        <v>0.30220353035838343</v>
      </c>
      <c r="G142" s="311">
        <v>0.17283081340610806</v>
      </c>
      <c r="H142" s="311">
        <v>0.38137719116639346</v>
      </c>
      <c r="I142" s="311">
        <v>0.67125121387653053</v>
      </c>
      <c r="J142" s="311">
        <v>7.5745752335933503E-2</v>
      </c>
      <c r="K142" s="311">
        <v>-7.1884237169911103E-2</v>
      </c>
      <c r="L142" s="311">
        <v>-0.97375694602419571</v>
      </c>
      <c r="M142" s="311">
        <v>0.18627691865549423</v>
      </c>
      <c r="N142" s="311">
        <v>0.2939462201538845</v>
      </c>
      <c r="O142" s="311">
        <v>0.20484769146014514</v>
      </c>
      <c r="P142" s="311">
        <v>0.28519124528975226</v>
      </c>
      <c r="Q142" s="311">
        <v>0.34222301139016054</v>
      </c>
      <c r="R142" s="311">
        <v>0.19026030368149804</v>
      </c>
      <c r="S142" s="311">
        <v>0.21202443417951145</v>
      </c>
      <c r="T142" s="311">
        <v>0.46202880049077066</v>
      </c>
      <c r="U142" s="311">
        <v>0.16782782659242912</v>
      </c>
      <c r="V142" s="311">
        <v>0.53792914868313346</v>
      </c>
      <c r="W142" s="311">
        <v>0.19765939999342663</v>
      </c>
      <c r="X142" s="311">
        <v>0.17562606810679426</v>
      </c>
      <c r="Y142" s="311">
        <v>0.51193720195442438</v>
      </c>
      <c r="Z142" s="311">
        <v>0.29683655381813878</v>
      </c>
      <c r="AA142" s="311">
        <v>0.26136539211438503</v>
      </c>
      <c r="AB142" s="311">
        <v>0.37520137812225585</v>
      </c>
      <c r="AC142" s="311">
        <v>0.22339657886186615</v>
      </c>
      <c r="AD142" s="311">
        <v>0.27368148616653798</v>
      </c>
      <c r="AE142" s="38">
        <f>'User Add-in Location'!B146</f>
        <v>0</v>
      </c>
      <c r="AF142" s="38">
        <f>'User Add-in Location'!C146</f>
        <v>0</v>
      </c>
      <c r="AG142" s="311">
        <v>0.24124819304233824</v>
      </c>
      <c r="AH142" s="311">
        <v>0.26490626179088395</v>
      </c>
      <c r="AI142" s="311">
        <v>0.2623552866425598</v>
      </c>
      <c r="AJ142" s="311">
        <v>0.2522447487062891</v>
      </c>
      <c r="AK142" s="311">
        <v>0.21348924159246963</v>
      </c>
      <c r="AL142" s="311">
        <v>0.4658097264036769</v>
      </c>
      <c r="AM142" s="311">
        <v>0.19902885978808627</v>
      </c>
      <c r="AN142" s="311">
        <v>0.25117132458126434</v>
      </c>
      <c r="AO142" s="311">
        <v>0.25316352247682516</v>
      </c>
      <c r="AP142" s="311">
        <v>0.41915155374499591</v>
      </c>
      <c r="AQ142" s="311">
        <v>0.21944742935011163</v>
      </c>
      <c r="AR142" s="311">
        <v>0.26890665113387513</v>
      </c>
      <c r="AS142" s="311">
        <v>0.19313059190426429</v>
      </c>
      <c r="AT142" s="311">
        <v>0.15901676328758185</v>
      </c>
      <c r="AU142" s="311">
        <v>0.18491864714087569</v>
      </c>
      <c r="AV142" s="311">
        <v>0.23492204157037122</v>
      </c>
      <c r="AW142" s="311">
        <v>0.52234815937117673</v>
      </c>
      <c r="AX142" s="311">
        <v>0.76468145486433059</v>
      </c>
      <c r="AY142" s="311">
        <v>0.26675300639908528</v>
      </c>
      <c r="AZ142" s="311">
        <v>0.1329660229748697</v>
      </c>
      <c r="BA142" s="311">
        <v>0.12351484049577266</v>
      </c>
      <c r="BB142" s="311">
        <v>0.36091784930613358</v>
      </c>
      <c r="BC142" s="311">
        <v>0.15388684985384771</v>
      </c>
      <c r="BD142" s="311">
        <v>0.19908791369743994</v>
      </c>
      <c r="BE142" s="311">
        <v>0.14779721187096584</v>
      </c>
      <c r="BF142" s="248"/>
      <c r="BG142" s="248"/>
    </row>
    <row r="143" spans="3:59" ht="17" x14ac:dyDescent="0.2">
      <c r="C143" s="6" t="s">
        <v>77</v>
      </c>
      <c r="D143" s="311">
        <v>0.31071183930271218</v>
      </c>
      <c r="E143" s="311">
        <v>0.34098068705111473</v>
      </c>
      <c r="F143" s="311">
        <v>0.42014557671791408</v>
      </c>
      <c r="G143" s="311">
        <v>0.28604442922005546</v>
      </c>
      <c r="H143" s="311">
        <v>0.44093613576842472</v>
      </c>
      <c r="I143" s="311">
        <v>0.45562784530920908</v>
      </c>
      <c r="J143" s="311">
        <v>0.39710540376472636</v>
      </c>
      <c r="K143" s="311">
        <v>0.30914907631529331</v>
      </c>
      <c r="L143" s="311">
        <v>0.10032226192672056</v>
      </c>
      <c r="M143" s="311">
        <v>0.42526154231018154</v>
      </c>
      <c r="N143" s="311">
        <v>0.39267535912222229</v>
      </c>
      <c r="O143" s="311">
        <v>0.3212592697736909</v>
      </c>
      <c r="P143" s="311">
        <v>0.29895870352629572</v>
      </c>
      <c r="Q143" s="311">
        <v>0.45520851366745774</v>
      </c>
      <c r="R143" s="311">
        <v>0.35519244281567808</v>
      </c>
      <c r="S143" s="311">
        <v>0.33238621121563483</v>
      </c>
      <c r="T143" s="311">
        <v>0.33617165163923346</v>
      </c>
      <c r="U143" s="311">
        <v>0.29126778119007213</v>
      </c>
      <c r="V143" s="311">
        <v>0.34470547279693164</v>
      </c>
      <c r="W143" s="311">
        <v>0.38610859560503741</v>
      </c>
      <c r="X143" s="311">
        <v>0.36098797498925705</v>
      </c>
      <c r="Y143" s="311">
        <v>0.4428634458417946</v>
      </c>
      <c r="Z143" s="311">
        <v>0.38838438993843738</v>
      </c>
      <c r="AA143" s="311">
        <v>0.47976686875335872</v>
      </c>
      <c r="AB143" s="311">
        <v>0.26088053801868227</v>
      </c>
      <c r="AC143" s="311">
        <v>0.40865994655905524</v>
      </c>
      <c r="AD143" s="311">
        <v>0.31104596245245375</v>
      </c>
      <c r="AE143" s="38">
        <f>'User Add-in Location'!B147</f>
        <v>0</v>
      </c>
      <c r="AF143" s="38">
        <f>'User Add-in Location'!C147</f>
        <v>0</v>
      </c>
      <c r="AG143" s="311">
        <v>0.3890307852816477</v>
      </c>
      <c r="AH143" s="311">
        <v>0.33854787021869015</v>
      </c>
      <c r="AI143" s="311">
        <v>0.48467489111317263</v>
      </c>
      <c r="AJ143" s="311">
        <v>0.42164449969277484</v>
      </c>
      <c r="AK143" s="311">
        <v>0.27705397845056723</v>
      </c>
      <c r="AL143" s="311">
        <v>0.34487767463724595</v>
      </c>
      <c r="AM143" s="311">
        <v>0.39730815618531778</v>
      </c>
      <c r="AN143" s="311">
        <v>0.30270164211106021</v>
      </c>
      <c r="AO143" s="311">
        <v>0.43606664314575028</v>
      </c>
      <c r="AP143" s="311">
        <v>0.35304503757834027</v>
      </c>
      <c r="AQ143" s="311">
        <v>0.39666340107214637</v>
      </c>
      <c r="AR143" s="311">
        <v>0.43538121417805087</v>
      </c>
      <c r="AS143" s="311">
        <v>0.37480271614185767</v>
      </c>
      <c r="AT143" s="311">
        <v>0.29114928679700824</v>
      </c>
      <c r="AU143" s="311">
        <v>0.32308946272041794</v>
      </c>
      <c r="AV143" s="311">
        <v>0.4275408341018192</v>
      </c>
      <c r="AW143" s="311">
        <v>0.47118858800968155</v>
      </c>
      <c r="AX143" s="311">
        <v>0.8495930393692106</v>
      </c>
      <c r="AY143" s="311">
        <v>0.42231693398207426</v>
      </c>
      <c r="AZ143" s="311">
        <v>0.36186878487569629</v>
      </c>
      <c r="BA143" s="311">
        <v>0.34439169396500802</v>
      </c>
      <c r="BB143" s="311">
        <v>0.37995194374525454</v>
      </c>
      <c r="BC143" s="311">
        <v>0.2445366831521909</v>
      </c>
      <c r="BD143" s="311">
        <v>0.39946114640770247</v>
      </c>
      <c r="BE143" s="311">
        <v>0.20143629946778674</v>
      </c>
      <c r="BF143" s="248"/>
      <c r="BG143" s="248"/>
    </row>
    <row r="144" spans="3:59" ht="17" x14ac:dyDescent="0.2">
      <c r="C144" s="6" t="s">
        <v>149</v>
      </c>
      <c r="D144" s="311">
        <v>0.16461806902952958</v>
      </c>
      <c r="E144" s="311">
        <v>0.15443951644169829</v>
      </c>
      <c r="F144" s="311">
        <v>0.30522504635155201</v>
      </c>
      <c r="G144" s="311">
        <v>0.1745969797775615</v>
      </c>
      <c r="H144" s="311">
        <v>0.3011749176075682</v>
      </c>
      <c r="I144" s="311">
        <v>0.31979425263125449</v>
      </c>
      <c r="J144" s="311">
        <v>0.27553567472205032</v>
      </c>
      <c r="K144" s="311">
        <v>0.17277842982502989</v>
      </c>
      <c r="L144" s="311">
        <v>8.0155219514949749E-2</v>
      </c>
      <c r="M144" s="311">
        <v>0.30260820899275132</v>
      </c>
      <c r="N144" s="311">
        <v>0.25022717687534168</v>
      </c>
      <c r="O144" s="311">
        <v>0.16036163652461255</v>
      </c>
      <c r="P144" s="311">
        <v>0.19065662400680594</v>
      </c>
      <c r="Q144" s="311">
        <v>0.28398180531803519</v>
      </c>
      <c r="R144" s="311">
        <v>0.17952227575005963</v>
      </c>
      <c r="S144" s="311">
        <v>0.18047416549961781</v>
      </c>
      <c r="T144" s="311">
        <v>0.1977510516953771</v>
      </c>
      <c r="U144" s="311">
        <v>0.14886295743781375</v>
      </c>
      <c r="V144" s="311">
        <v>0.13747852871892974</v>
      </c>
      <c r="W144" s="311">
        <v>0.233927448221948</v>
      </c>
      <c r="X144" s="311">
        <v>0.21386584921856411</v>
      </c>
      <c r="Y144" s="311">
        <v>0.28189620999910403</v>
      </c>
      <c r="Z144" s="311">
        <v>0.23695056739961728</v>
      </c>
      <c r="AA144" s="311">
        <v>0.30571109615266323</v>
      </c>
      <c r="AB144" s="311">
        <v>0.14223203156871023</v>
      </c>
      <c r="AC144" s="311">
        <v>0.21489910554373637</v>
      </c>
      <c r="AD144" s="311">
        <v>0.14055343078871374</v>
      </c>
      <c r="AE144" s="38">
        <f>'User Add-in Location'!B148</f>
        <v>0</v>
      </c>
      <c r="AF144" s="38">
        <f>'User Add-in Location'!C148</f>
        <v>0</v>
      </c>
      <c r="AG144" s="311">
        <v>0.19295438948029187</v>
      </c>
      <c r="AH144" s="311">
        <v>0.21102319420242566</v>
      </c>
      <c r="AI144" s="311">
        <v>0.27962619764730334</v>
      </c>
      <c r="AJ144" s="311">
        <v>0.26842600853706244</v>
      </c>
      <c r="AK144" s="311">
        <v>0.12108194812026341</v>
      </c>
      <c r="AL144" s="311">
        <v>0.21369377843802795</v>
      </c>
      <c r="AM144" s="311">
        <v>0.20981878833845258</v>
      </c>
      <c r="AN144" s="311">
        <v>0.15226083921152167</v>
      </c>
      <c r="AO144" s="311">
        <v>0.2522783778840676</v>
      </c>
      <c r="AP144" s="311">
        <v>0.20775459265860263</v>
      </c>
      <c r="AQ144" s="311">
        <v>0.24371100042480975</v>
      </c>
      <c r="AR144" s="311">
        <v>0.26801042217994109</v>
      </c>
      <c r="AS144" s="311">
        <v>0.23814638892145013</v>
      </c>
      <c r="AT144" s="311">
        <v>0.16988922764721792</v>
      </c>
      <c r="AU144" s="311">
        <v>0.19162682074238546</v>
      </c>
      <c r="AV144" s="311">
        <v>0.21420071796455886</v>
      </c>
      <c r="AW144" s="311">
        <v>0.27006050187628716</v>
      </c>
      <c r="AX144" s="311">
        <v>0.64509304659441113</v>
      </c>
      <c r="AY144" s="311">
        <v>0.26190753023547586</v>
      </c>
      <c r="AZ144" s="311">
        <v>0.19821681627217913</v>
      </c>
      <c r="BA144" s="311">
        <v>0.1924314834177494</v>
      </c>
      <c r="BB144" s="311">
        <v>0.22315382189117372</v>
      </c>
      <c r="BC144" s="311">
        <v>0.12073018156797843</v>
      </c>
      <c r="BD144" s="311">
        <v>0.25037373625673354</v>
      </c>
      <c r="BE144" s="311">
        <v>8.3856379851567908E-2</v>
      </c>
      <c r="BF144" s="248"/>
      <c r="BG144" s="248"/>
    </row>
    <row r="145" spans="3:59" ht="17" x14ac:dyDescent="0.2">
      <c r="C145" s="6" t="s">
        <v>150</v>
      </c>
      <c r="D145" s="311">
        <v>0.2321484883868834</v>
      </c>
      <c r="E145" s="311">
        <v>0.22999984112448146</v>
      </c>
      <c r="F145" s="311">
        <v>0.35659423782271915</v>
      </c>
      <c r="G145" s="311">
        <v>0.22303757890767884</v>
      </c>
      <c r="H145" s="311">
        <v>0.39387646215618588</v>
      </c>
      <c r="I145" s="311">
        <v>0.36675383879628498</v>
      </c>
      <c r="J145" s="311">
        <v>0.3164741452819726</v>
      </c>
      <c r="K145" s="311">
        <v>0.25221688757483207</v>
      </c>
      <c r="L145" s="311">
        <v>0</v>
      </c>
      <c r="M145" s="311">
        <v>0.37499209483939921</v>
      </c>
      <c r="N145" s="311">
        <v>0.32642909936839715</v>
      </c>
      <c r="O145" s="311">
        <v>0.27568001408690179</v>
      </c>
      <c r="P145" s="311">
        <v>0.24077123247843701</v>
      </c>
      <c r="Q145" s="311">
        <v>0.39316893721115775</v>
      </c>
      <c r="R145" s="311">
        <v>0.26890260742220562</v>
      </c>
      <c r="S145" s="311">
        <v>0.23386755720275687</v>
      </c>
      <c r="T145" s="311">
        <v>0.25048525861348026</v>
      </c>
      <c r="U145" s="311">
        <v>0.24799251714284765</v>
      </c>
      <c r="V145" s="311">
        <v>0.26513524953134038</v>
      </c>
      <c r="W145" s="311">
        <v>0.26441056915427907</v>
      </c>
      <c r="X145" s="311">
        <v>0.29612526255732519</v>
      </c>
      <c r="Y145" s="311">
        <v>0.35161989417792938</v>
      </c>
      <c r="Z145" s="311">
        <v>0.35344720107968897</v>
      </c>
      <c r="AA145" s="311">
        <v>0.41376822636811994</v>
      </c>
      <c r="AB145" s="311">
        <v>0.20954838566103717</v>
      </c>
      <c r="AC145" s="311">
        <v>0.33556563524325611</v>
      </c>
      <c r="AD145" s="311">
        <v>0.22562615793140139</v>
      </c>
      <c r="AE145" s="38">
        <f>'User Add-in Location'!B149</f>
        <v>0</v>
      </c>
      <c r="AF145" s="38">
        <f>'User Add-in Location'!C149</f>
        <v>0</v>
      </c>
      <c r="AG145" s="311">
        <v>0.26059436716604978</v>
      </c>
      <c r="AH145" s="311">
        <v>0.27880482457885591</v>
      </c>
      <c r="AI145" s="311">
        <v>0.33153331557423371</v>
      </c>
      <c r="AJ145" s="311">
        <v>0.37631742156736436</v>
      </c>
      <c r="AK145" s="311">
        <v>0.19715793127761572</v>
      </c>
      <c r="AL145" s="311">
        <v>0.28493097418686375</v>
      </c>
      <c r="AM145" s="311">
        <v>0.30981288374459837</v>
      </c>
      <c r="AN145" s="311">
        <v>0.20862054628378246</v>
      </c>
      <c r="AO145" s="311">
        <v>0.35783709290262777</v>
      </c>
      <c r="AP145" s="311">
        <v>0.2741933038996649</v>
      </c>
      <c r="AQ145" s="311">
        <v>0.31050863485143054</v>
      </c>
      <c r="AR145" s="311">
        <v>0.36869838056736626</v>
      </c>
      <c r="AS145" s="311">
        <v>0.32008884528022463</v>
      </c>
      <c r="AT145" s="311">
        <v>0.27024112160870573</v>
      </c>
      <c r="AU145" s="311">
        <v>0.22273544396739453</v>
      </c>
      <c r="AV145" s="311">
        <v>0.33295696918503381</v>
      </c>
      <c r="AW145" s="311">
        <v>0.38817834921064787</v>
      </c>
      <c r="AX145" s="311">
        <v>0.79529552068561316</v>
      </c>
      <c r="AY145" s="311">
        <v>0.3450464596025995</v>
      </c>
      <c r="AZ145" s="311">
        <v>0.25640127499536902</v>
      </c>
      <c r="BA145" s="311">
        <v>0.2986571789260779</v>
      </c>
      <c r="BB145" s="311">
        <v>0.29277811574138468</v>
      </c>
      <c r="BC145" s="311">
        <v>0.17692483905852896</v>
      </c>
      <c r="BD145" s="311">
        <v>0.34415343182627112</v>
      </c>
      <c r="BE145" s="311">
        <v>0.14055115515475336</v>
      </c>
      <c r="BF145" s="248"/>
      <c r="BG145" s="248"/>
    </row>
    <row r="146" spans="3:59" ht="17" x14ac:dyDescent="0.2">
      <c r="C146" s="6" t="s">
        <v>151</v>
      </c>
      <c r="D146" s="311">
        <v>0.16973532288102433</v>
      </c>
      <c r="E146" s="311">
        <v>0.1831074952497147</v>
      </c>
      <c r="F146" s="311">
        <v>0.28148843138478696</v>
      </c>
      <c r="G146" s="311">
        <v>0.17759336036397144</v>
      </c>
      <c r="H146" s="311">
        <v>0.3244208563119173</v>
      </c>
      <c r="I146" s="311">
        <v>0.32058972120285034</v>
      </c>
      <c r="J146" s="311">
        <v>0.30510582675924525</v>
      </c>
      <c r="K146" s="311">
        <v>0.24448997185936605</v>
      </c>
      <c r="L146" s="311">
        <v>6.988570845281572E-2</v>
      </c>
      <c r="M146" s="311">
        <v>0.30577145167626441</v>
      </c>
      <c r="N146" s="311">
        <v>0.23324634128948674</v>
      </c>
      <c r="O146" s="311">
        <v>9.4779256905894727E-2</v>
      </c>
      <c r="P146" s="311">
        <v>0.18369266344234347</v>
      </c>
      <c r="Q146" s="311">
        <v>0.28295432520098984</v>
      </c>
      <c r="R146" s="311">
        <v>0.18470466570579447</v>
      </c>
      <c r="S146" s="311">
        <v>0.17083157124579884</v>
      </c>
      <c r="T146" s="311">
        <v>0.20142108741856646</v>
      </c>
      <c r="U146" s="311">
        <v>0.17977332702866988</v>
      </c>
      <c r="V146" s="311">
        <v>0.1848478973206511</v>
      </c>
      <c r="W146" s="311">
        <v>0.26538215050823055</v>
      </c>
      <c r="X146" s="311">
        <v>0.1874338676861953</v>
      </c>
      <c r="Y146" s="311">
        <v>0.33256182995683048</v>
      </c>
      <c r="Z146" s="311">
        <v>0.26827298878924921</v>
      </c>
      <c r="AA146" s="311">
        <v>0.31411256949650124</v>
      </c>
      <c r="AB146" s="311">
        <v>0.11341708775580628</v>
      </c>
      <c r="AC146" s="311">
        <v>0.2028310346940998</v>
      </c>
      <c r="AD146" s="311">
        <v>0.15260429244517582</v>
      </c>
      <c r="AE146" s="38">
        <f>'User Add-in Location'!B150</f>
        <v>0</v>
      </c>
      <c r="AF146" s="38">
        <f>'User Add-in Location'!C150</f>
        <v>0</v>
      </c>
      <c r="AG146" s="311">
        <v>0.18276029241678771</v>
      </c>
      <c r="AH146" s="311">
        <v>0.23089684002479771</v>
      </c>
      <c r="AI146" s="311">
        <v>0.32262382615590468</v>
      </c>
      <c r="AJ146" s="311">
        <v>0.37904143199557438</v>
      </c>
      <c r="AK146" s="311">
        <v>0.15549386787461117</v>
      </c>
      <c r="AL146" s="311">
        <v>0.22035704302834347</v>
      </c>
      <c r="AM146" s="311">
        <v>0.24326550529804081</v>
      </c>
      <c r="AN146" s="311">
        <v>0.13507143093011109</v>
      </c>
      <c r="AO146" s="311">
        <v>0.30373201757902279</v>
      </c>
      <c r="AP146" s="311">
        <v>0.2272916518340935</v>
      </c>
      <c r="AQ146" s="311">
        <v>0.23867638653609902</v>
      </c>
      <c r="AR146" s="311">
        <v>0.30239833099767566</v>
      </c>
      <c r="AS146" s="311">
        <v>0.28316460547648603</v>
      </c>
      <c r="AT146" s="311">
        <v>0.21458741088281386</v>
      </c>
      <c r="AU146" s="311">
        <v>0.16458705444529187</v>
      </c>
      <c r="AV146" s="311">
        <v>0.21957843785639852</v>
      </c>
      <c r="AW146" s="311">
        <v>0.29194928426295519</v>
      </c>
      <c r="AX146" s="311">
        <v>0.67123511992394924</v>
      </c>
      <c r="AY146" s="311">
        <v>0.24614054232370108</v>
      </c>
      <c r="AZ146" s="311">
        <v>0.28013166433083825</v>
      </c>
      <c r="BA146" s="311">
        <v>0.23764130880590528</v>
      </c>
      <c r="BB146" s="311">
        <v>0.26334700430743396</v>
      </c>
      <c r="BC146" s="311">
        <v>0.19903479083768616</v>
      </c>
      <c r="BD146" s="311">
        <v>0.22367164472234435</v>
      </c>
      <c r="BE146" s="311">
        <v>9.4459571031620726E-2</v>
      </c>
      <c r="BF146" s="248"/>
      <c r="BG146" s="248"/>
    </row>
    <row r="147" spans="3:59" ht="17" x14ac:dyDescent="0.2">
      <c r="C147" s="6" t="s">
        <v>152</v>
      </c>
      <c r="D147" s="311">
        <v>0.22447786050906871</v>
      </c>
      <c r="E147" s="311">
        <v>0</v>
      </c>
      <c r="F147" s="311">
        <v>0.39435842590683023</v>
      </c>
      <c r="G147" s="311">
        <v>0.20781882441951893</v>
      </c>
      <c r="H147" s="311">
        <v>0.42483318652375601</v>
      </c>
      <c r="I147" s="311">
        <v>0.33526644505036529</v>
      </c>
      <c r="J147" s="311">
        <v>0.2543364731282054</v>
      </c>
      <c r="K147" s="311">
        <v>0.25348434202965109</v>
      </c>
      <c r="L147" s="311">
        <v>7.4159515378966034E-2</v>
      </c>
      <c r="M147" s="311">
        <v>0.3620672655524686</v>
      </c>
      <c r="N147" s="311">
        <v>0.28753806675376836</v>
      </c>
      <c r="O147" s="311">
        <v>0.13947463610384148</v>
      </c>
      <c r="P147" s="311">
        <v>0.25055648533452768</v>
      </c>
      <c r="Q147" s="311">
        <v>0.34966018542763777</v>
      </c>
      <c r="R147" s="311">
        <v>0.24497057765256613</v>
      </c>
      <c r="S147" s="311">
        <v>0.22712526909890585</v>
      </c>
      <c r="T147" s="311">
        <v>0.23357115397811867</v>
      </c>
      <c r="U147" s="311">
        <v>0.23094431898061885</v>
      </c>
      <c r="V147" s="311">
        <v>0.27255294879432768</v>
      </c>
      <c r="W147" s="311">
        <v>0.24071492256553029</v>
      </c>
      <c r="X147" s="311">
        <v>0.25263036749856838</v>
      </c>
      <c r="Y147" s="311">
        <v>0.33173545313366049</v>
      </c>
      <c r="Z147" s="311">
        <v>0.22692759677011054</v>
      </c>
      <c r="AA147" s="311">
        <v>0.35124865392572246</v>
      </c>
      <c r="AB147" s="311">
        <v>0.15571033922606148</v>
      </c>
      <c r="AC147" s="311">
        <v>0.28599336578918155</v>
      </c>
      <c r="AD147" s="311">
        <v>0.19365738816486555</v>
      </c>
      <c r="AE147" s="38">
        <f>'User Add-in Location'!B151</f>
        <v>0</v>
      </c>
      <c r="AF147" s="38">
        <f>'User Add-in Location'!C151</f>
        <v>0</v>
      </c>
      <c r="AG147" s="311">
        <v>0.27936954202596098</v>
      </c>
      <c r="AH147" s="311">
        <v>0.15716718019848486</v>
      </c>
      <c r="AI147" s="311">
        <v>0.32907952274490526</v>
      </c>
      <c r="AJ147" s="311">
        <v>0.33289757232523698</v>
      </c>
      <c r="AK147" s="311">
        <v>0.24428993932087906</v>
      </c>
      <c r="AL147" s="311">
        <v>0.26985705187689746</v>
      </c>
      <c r="AM147" s="311">
        <v>0.25720504329365212</v>
      </c>
      <c r="AN147" s="311">
        <v>0.21399867904256098</v>
      </c>
      <c r="AO147" s="311">
        <v>0.32506289167213254</v>
      </c>
      <c r="AP147" s="311">
        <v>0.25994598836405203</v>
      </c>
      <c r="AQ147" s="311">
        <v>0.18658348533790559</v>
      </c>
      <c r="AR147" s="311">
        <v>0.32898047233175021</v>
      </c>
      <c r="AS147" s="311">
        <v>0.26172929547556123</v>
      </c>
      <c r="AT147" s="311">
        <v>0.22076541965725482</v>
      </c>
      <c r="AU147" s="311">
        <v>0.20587921314290725</v>
      </c>
      <c r="AV147" s="311">
        <v>0.29559250440070173</v>
      </c>
      <c r="AW147" s="311">
        <v>0.36080885358387604</v>
      </c>
      <c r="AX147" s="311">
        <v>0.68630768614821136</v>
      </c>
      <c r="AY147" s="311">
        <v>0.32169718268050929</v>
      </c>
      <c r="AZ147" s="311">
        <v>0.26350046788502368</v>
      </c>
      <c r="BA147" s="311">
        <v>0.25795655080582947</v>
      </c>
      <c r="BB147" s="311">
        <v>0.25468421877303626</v>
      </c>
      <c r="BC147" s="311">
        <v>0.15188376646801771</v>
      </c>
      <c r="BD147" s="311">
        <v>0.27809460714343004</v>
      </c>
      <c r="BE147" s="311">
        <v>0</v>
      </c>
      <c r="BF147" s="248"/>
      <c r="BG147" s="248"/>
    </row>
    <row r="148" spans="3:59" ht="17" x14ac:dyDescent="0.2">
      <c r="C148" s="6" t="s">
        <v>153</v>
      </c>
      <c r="D148" s="311">
        <v>0.23936153531394666</v>
      </c>
      <c r="E148" s="311">
        <v>0.15639303482117839</v>
      </c>
      <c r="F148" s="311">
        <v>0.36105035290529486</v>
      </c>
      <c r="G148" s="311">
        <v>0.2681607844597238</v>
      </c>
      <c r="H148" s="311">
        <v>0.40205834136577323</v>
      </c>
      <c r="I148" s="311">
        <v>0.51297670586791355</v>
      </c>
      <c r="J148" s="311">
        <v>0.39190246362886683</v>
      </c>
      <c r="K148" s="311">
        <v>0.2593289376067105</v>
      </c>
      <c r="L148" s="311">
        <v>0.10577151516909566</v>
      </c>
      <c r="M148" s="311">
        <v>0.36086155508382944</v>
      </c>
      <c r="N148" s="311">
        <v>0.37040818068635417</v>
      </c>
      <c r="O148" s="311">
        <v>0.22637083322206308</v>
      </c>
      <c r="P148" s="311">
        <v>0.2720249429839896</v>
      </c>
      <c r="Q148" s="311">
        <v>0.41981397437120904</v>
      </c>
      <c r="R148" s="311">
        <v>0.29264271129613917</v>
      </c>
      <c r="S148" s="311">
        <v>0.26343489810324172</v>
      </c>
      <c r="T148" s="311">
        <v>0.28166093255276792</v>
      </c>
      <c r="U148" s="311">
        <v>0.25509818173395615</v>
      </c>
      <c r="V148" s="311">
        <v>0.2638406501343411</v>
      </c>
      <c r="W148" s="311">
        <v>0.2761272368261416</v>
      </c>
      <c r="X148" s="311">
        <v>0.28412492774077691</v>
      </c>
      <c r="Y148" s="311">
        <v>0.34904279013062478</v>
      </c>
      <c r="Z148" s="311">
        <v>0.33404795368187479</v>
      </c>
      <c r="AA148" s="311">
        <v>0.40393006787053309</v>
      </c>
      <c r="AB148" s="311">
        <v>0.20100607194535769</v>
      </c>
      <c r="AC148" s="311">
        <v>0.33414613754575839</v>
      </c>
      <c r="AD148" s="311">
        <v>0.26236049871465639</v>
      </c>
      <c r="AE148" s="38">
        <f>'User Add-in Location'!B152</f>
        <v>0</v>
      </c>
      <c r="AF148" s="38">
        <f>'User Add-in Location'!C152</f>
        <v>0</v>
      </c>
      <c r="AG148" s="311">
        <v>0.34955370025636512</v>
      </c>
      <c r="AH148" s="311">
        <v>0.26061030060191115</v>
      </c>
      <c r="AI148" s="311">
        <v>0.29476152955976431</v>
      </c>
      <c r="AJ148" s="311">
        <v>0.3680842183293862</v>
      </c>
      <c r="AK148" s="311">
        <v>0.23279432214985718</v>
      </c>
      <c r="AL148" s="311">
        <v>0.33557024698529858</v>
      </c>
      <c r="AM148" s="311">
        <v>0.31689430841652211</v>
      </c>
      <c r="AN148" s="311">
        <v>0.26664125553725171</v>
      </c>
      <c r="AO148" s="311">
        <v>0.37352115493558813</v>
      </c>
      <c r="AP148" s="311">
        <v>0.57325506071174459</v>
      </c>
      <c r="AQ148" s="311">
        <v>0.3057251998106949</v>
      </c>
      <c r="AR148" s="311">
        <v>0.42501026481477311</v>
      </c>
      <c r="AS148" s="311">
        <v>0.29566673724229986</v>
      </c>
      <c r="AT148" s="311">
        <v>0.23653595263749594</v>
      </c>
      <c r="AU148" s="311">
        <v>0.25287376060532551</v>
      </c>
      <c r="AV148" s="311">
        <v>0.35073150685411747</v>
      </c>
      <c r="AW148" s="311">
        <v>0.43563419318525121</v>
      </c>
      <c r="AX148" s="311">
        <v>0.76441713771782815</v>
      </c>
      <c r="AY148" s="311">
        <v>0.40374127357063117</v>
      </c>
      <c r="AZ148" s="311">
        <v>0.27798515426729864</v>
      </c>
      <c r="BA148" s="311">
        <v>0.31870047898337361</v>
      </c>
      <c r="BB148" s="311">
        <v>0.31590208610577974</v>
      </c>
      <c r="BC148" s="311">
        <v>0.20339486893387004</v>
      </c>
      <c r="BD148" s="311">
        <v>0.33830361525906483</v>
      </c>
      <c r="BE148" s="311">
        <v>0.18502485914541467</v>
      </c>
      <c r="BF148" s="248"/>
      <c r="BG148" s="248"/>
    </row>
    <row r="149" spans="3:59" ht="17" x14ac:dyDescent="0.2">
      <c r="C149" s="6" t="s">
        <v>78</v>
      </c>
      <c r="D149" s="311">
        <v>0.32141577454240178</v>
      </c>
      <c r="E149" s="311">
        <v>0.23167728758897965</v>
      </c>
      <c r="F149" s="311">
        <v>0.48733508082477783</v>
      </c>
      <c r="G149" s="311">
        <v>0.29038841542205773</v>
      </c>
      <c r="H149" s="311">
        <v>0.43007587231113575</v>
      </c>
      <c r="I149" s="311">
        <v>0.51157753728330135</v>
      </c>
      <c r="J149" s="311">
        <v>0.34795075792135322</v>
      </c>
      <c r="K149" s="311">
        <v>0.33961406234016067</v>
      </c>
      <c r="L149" s="311">
        <v>0.12039668808859005</v>
      </c>
      <c r="M149" s="311">
        <v>0.48709615467123513</v>
      </c>
      <c r="N149" s="311">
        <v>0.44627899650367908</v>
      </c>
      <c r="O149" s="311">
        <v>0.31936329168820521</v>
      </c>
      <c r="P149" s="311">
        <v>0.32179411470133346</v>
      </c>
      <c r="Q149" s="311">
        <v>0.47959201487537939</v>
      </c>
      <c r="R149" s="311">
        <v>0.35994371589913499</v>
      </c>
      <c r="S149" s="311">
        <v>0.32891722629028664</v>
      </c>
      <c r="T149" s="311">
        <v>0.34280540924191882</v>
      </c>
      <c r="U149" s="311">
        <v>0.29029321856341994</v>
      </c>
      <c r="V149" s="311">
        <v>0.31270229280198691</v>
      </c>
      <c r="W149" s="311">
        <v>0.36845299781725771</v>
      </c>
      <c r="X149" s="311">
        <v>0.37990915221780597</v>
      </c>
      <c r="Y149" s="311">
        <v>0.45616480828357453</v>
      </c>
      <c r="Z149" s="311">
        <v>0.42123084732156713</v>
      </c>
      <c r="AA149" s="311">
        <v>0.50730505566752981</v>
      </c>
      <c r="AB149" s="311">
        <v>0.25573373321822146</v>
      </c>
      <c r="AC149" s="311">
        <v>0.4388671989836439</v>
      </c>
      <c r="AD149" s="311">
        <v>0.30759923371397235</v>
      </c>
      <c r="AE149" s="38">
        <f>'User Add-in Location'!B153</f>
        <v>0</v>
      </c>
      <c r="AF149" s="38">
        <f>'User Add-in Location'!C153</f>
        <v>0</v>
      </c>
      <c r="AG149" s="311">
        <v>0.37408295506975264</v>
      </c>
      <c r="AH149" s="311">
        <v>0.3556664308478048</v>
      </c>
      <c r="AI149" s="311">
        <v>0.46907013587497204</v>
      </c>
      <c r="AJ149" s="311">
        <v>0.44356203336155886</v>
      </c>
      <c r="AK149" s="311">
        <v>0.26731201958955353</v>
      </c>
      <c r="AL149" s="311">
        <v>0.3672425138138351</v>
      </c>
      <c r="AM149" s="311">
        <v>0.42968292589648627</v>
      </c>
      <c r="AN149" s="311">
        <v>0.27200363327210653</v>
      </c>
      <c r="AO149" s="311">
        <v>0.45918405543488916</v>
      </c>
      <c r="AP149" s="311">
        <v>0.30764656355313491</v>
      </c>
      <c r="AQ149" s="311">
        <v>0.4136865626933286</v>
      </c>
      <c r="AR149" s="311">
        <v>0.45545302253231057</v>
      </c>
      <c r="AS149" s="311">
        <v>0.39538991071140117</v>
      </c>
      <c r="AT149" s="311">
        <v>0.32011521015010658</v>
      </c>
      <c r="AU149" s="311">
        <v>0.30387348686053883</v>
      </c>
      <c r="AV149" s="311">
        <v>0.39681190375722508</v>
      </c>
      <c r="AW149" s="311">
        <v>0.42308361311734188</v>
      </c>
      <c r="AX149" s="311">
        <v>0.77662061125738546</v>
      </c>
      <c r="AY149" s="311">
        <v>0.47436643682340218</v>
      </c>
      <c r="AZ149" s="311">
        <v>0.32433263969596737</v>
      </c>
      <c r="BA149" s="311">
        <v>0.38460769520497706</v>
      </c>
      <c r="BB149" s="311">
        <v>0.36544851829239633</v>
      </c>
      <c r="BC149" s="311">
        <v>0.24497715001280085</v>
      </c>
      <c r="BD149" s="311">
        <v>0.42010803329321789</v>
      </c>
      <c r="BE149" s="311">
        <v>0.221607091158603</v>
      </c>
      <c r="BF149" s="248"/>
      <c r="BG149" s="248"/>
    </row>
    <row r="150" spans="3:59" ht="17" x14ac:dyDescent="0.2">
      <c r="C150" s="6" t="s">
        <v>79</v>
      </c>
      <c r="D150" s="311">
        <v>0.33753835689094558</v>
      </c>
      <c r="E150" s="311">
        <v>0.35659479162677599</v>
      </c>
      <c r="F150" s="311">
        <v>0.5197490544487664</v>
      </c>
      <c r="G150" s="311">
        <v>0.34668393719948654</v>
      </c>
      <c r="H150" s="311">
        <v>0.48165825859905453</v>
      </c>
      <c r="I150" s="311">
        <v>0.52321680478780763</v>
      </c>
      <c r="J150" s="311">
        <v>0.44019015228514036</v>
      </c>
      <c r="K150" s="311">
        <v>0.39137895502028641</v>
      </c>
      <c r="L150" s="311">
        <v>0.11266060924806709</v>
      </c>
      <c r="M150" s="311">
        <v>0.55292206184276438</v>
      </c>
      <c r="N150" s="311">
        <v>0.49504094514486496</v>
      </c>
      <c r="O150" s="311">
        <v>0.34127915758062954</v>
      </c>
      <c r="P150" s="311">
        <v>0.38797410531333298</v>
      </c>
      <c r="Q150" s="311">
        <v>0.53631596325431019</v>
      </c>
      <c r="R150" s="311">
        <v>0.39452366911791614</v>
      </c>
      <c r="S150" s="311">
        <v>0.36103428930891823</v>
      </c>
      <c r="T150" s="311">
        <v>0.35847833910429472</v>
      </c>
      <c r="U150" s="311">
        <v>0.35758318814305312</v>
      </c>
      <c r="V150" s="311">
        <v>0.34972980554363176</v>
      </c>
      <c r="W150" s="311">
        <v>0.41831217923390795</v>
      </c>
      <c r="X150" s="311">
        <v>0.41394449912149867</v>
      </c>
      <c r="Y150" s="311">
        <v>0.52105637664135429</v>
      </c>
      <c r="Z150" s="311">
        <v>0.43635020673900726</v>
      </c>
      <c r="AA150" s="311">
        <v>0.52087783523893449</v>
      </c>
      <c r="AB150" s="311">
        <v>0.30278654471339905</v>
      </c>
      <c r="AC150" s="311">
        <v>0.45821679013170069</v>
      </c>
      <c r="AD150" s="311">
        <v>0.41066206803225214</v>
      </c>
      <c r="AE150" s="38">
        <f>'User Add-in Location'!B154</f>
        <v>0</v>
      </c>
      <c r="AF150" s="38">
        <f>'User Add-in Location'!C154</f>
        <v>0</v>
      </c>
      <c r="AG150" s="311">
        <v>0.39346106622360821</v>
      </c>
      <c r="AH150" s="311">
        <v>0.36276143642999159</v>
      </c>
      <c r="AI150" s="311">
        <v>0.51423189243359957</v>
      </c>
      <c r="AJ150" s="311">
        <v>0.48623742267682246</v>
      </c>
      <c r="AK150" s="311">
        <v>0.33218925912660779</v>
      </c>
      <c r="AL150" s="311">
        <v>0.40302862066891976</v>
      </c>
      <c r="AM150" s="311">
        <v>0.48379487020429224</v>
      </c>
      <c r="AN150" s="311">
        <v>0.33643439717207002</v>
      </c>
      <c r="AO150" s="311">
        <v>0.46272129303906695</v>
      </c>
      <c r="AP150" s="311">
        <v>0.3831478125821377</v>
      </c>
      <c r="AQ150" s="311">
        <v>0.49417183594050584</v>
      </c>
      <c r="AR150" s="311">
        <v>0.52348610037006438</v>
      </c>
      <c r="AS150" s="311">
        <v>0.4831720802540076</v>
      </c>
      <c r="AT150" s="311">
        <v>0.36431584809270134</v>
      </c>
      <c r="AU150" s="311">
        <v>0.36465796102766035</v>
      </c>
      <c r="AV150" s="311">
        <v>0.47445556214233875</v>
      </c>
      <c r="AW150" s="311">
        <v>0.50506557045446243</v>
      </c>
      <c r="AX150" s="311">
        <v>0.85860804142430425</v>
      </c>
      <c r="AY150" s="311">
        <v>0.52002492215615348</v>
      </c>
      <c r="AZ150" s="311">
        <v>0.39756959611349885</v>
      </c>
      <c r="BA150" s="311">
        <v>0.40664464906149078</v>
      </c>
      <c r="BB150" s="311">
        <v>0.37834959577594418</v>
      </c>
      <c r="BC150" s="311">
        <v>0.29140227349445524</v>
      </c>
      <c r="BD150" s="311">
        <v>0.44311903334892122</v>
      </c>
      <c r="BE150" s="311">
        <v>0.21362148271242631</v>
      </c>
      <c r="BF150" s="248"/>
      <c r="BG150" s="248"/>
    </row>
    <row r="151" spans="3:59" ht="17" x14ac:dyDescent="0.2">
      <c r="C151" s="6" t="s">
        <v>154</v>
      </c>
      <c r="D151" s="311">
        <v>0.23534469944297598</v>
      </c>
      <c r="E151" s="311">
        <v>0.17692360852561251</v>
      </c>
      <c r="F151" s="311">
        <v>0.38491782535493257</v>
      </c>
      <c r="G151" s="311">
        <v>0.21828285247647727</v>
      </c>
      <c r="H151" s="311">
        <v>0.32423142535844818</v>
      </c>
      <c r="I151" s="311">
        <v>0.37829543669067789</v>
      </c>
      <c r="J151" s="311">
        <v>0.36971349961822852</v>
      </c>
      <c r="K151" s="311">
        <v>0.16931805592020055</v>
      </c>
      <c r="L151" s="311">
        <v>7.6033937364130111E-2</v>
      </c>
      <c r="M151" s="311">
        <v>0.38775104628257395</v>
      </c>
      <c r="N151" s="311">
        <v>0.29921162823666236</v>
      </c>
      <c r="O151" s="311">
        <v>0.19117692634586092</v>
      </c>
      <c r="P151" s="311">
        <v>0.2219833771669073</v>
      </c>
      <c r="Q151" s="311">
        <v>0.38779560631883214</v>
      </c>
      <c r="R151" s="311">
        <v>0.30446477320492704</v>
      </c>
      <c r="S151" s="311">
        <v>0.22229281947511481</v>
      </c>
      <c r="T151" s="311">
        <v>0.23746528613855844</v>
      </c>
      <c r="U151" s="311">
        <v>0.24115276535212615</v>
      </c>
      <c r="V151" s="311">
        <v>0.22209427998976139</v>
      </c>
      <c r="W151" s="311">
        <v>0.25749750172872155</v>
      </c>
      <c r="X151" s="311">
        <v>0.28508174509897799</v>
      </c>
      <c r="Y151" s="311">
        <v>0.36830811084382731</v>
      </c>
      <c r="Z151" s="311">
        <v>0.31237133284594165</v>
      </c>
      <c r="AA151" s="311">
        <v>0.44238427371601574</v>
      </c>
      <c r="AB151" s="311">
        <v>0.17981813778351352</v>
      </c>
      <c r="AC151" s="311">
        <v>0.32004178829811281</v>
      </c>
      <c r="AD151" s="311">
        <v>0.22036756482339115</v>
      </c>
      <c r="AE151" s="38">
        <f>'User Add-in Location'!B155</f>
        <v>0</v>
      </c>
      <c r="AF151" s="38">
        <f>'User Add-in Location'!C155</f>
        <v>0</v>
      </c>
      <c r="AG151" s="311">
        <v>0.25630862943035027</v>
      </c>
      <c r="AH151" s="311">
        <v>0.19347654169018824</v>
      </c>
      <c r="AI151" s="311">
        <v>0.30866792941014864</v>
      </c>
      <c r="AJ151" s="311">
        <v>0.3569463680842091</v>
      </c>
      <c r="AK151" s="311">
        <v>0.16721905900067213</v>
      </c>
      <c r="AL151" s="311">
        <v>0.29816313379888015</v>
      </c>
      <c r="AM151" s="311">
        <v>0.29577580434124684</v>
      </c>
      <c r="AN151" s="311">
        <v>0.21454712532886333</v>
      </c>
      <c r="AO151" s="311">
        <v>0.2877474375127349</v>
      </c>
      <c r="AP151" s="311">
        <v>0.24589387214655289</v>
      </c>
      <c r="AQ151" s="311">
        <v>0.25888565813147579</v>
      </c>
      <c r="AR151" s="311">
        <v>0.33890588637586916</v>
      </c>
      <c r="AS151" s="311">
        <v>0.30685830077982246</v>
      </c>
      <c r="AT151" s="311">
        <v>0.25442254810513987</v>
      </c>
      <c r="AU151" s="311">
        <v>0.21078149746335839</v>
      </c>
      <c r="AV151" s="311">
        <v>0.3271231072867522</v>
      </c>
      <c r="AW151" s="311">
        <v>0.41512053988117259</v>
      </c>
      <c r="AX151" s="311">
        <v>0.61624805786414072</v>
      </c>
      <c r="AY151" s="311">
        <v>0.31200918767899566</v>
      </c>
      <c r="AZ151" s="311">
        <v>0.20727311083055611</v>
      </c>
      <c r="BA151" s="311">
        <v>0.26294113568928879</v>
      </c>
      <c r="BB151" s="311">
        <v>0.25214255201717606</v>
      </c>
      <c r="BC151" s="311">
        <v>0.15728888709591615</v>
      </c>
      <c r="BD151" s="311">
        <v>0.28208049134809698</v>
      </c>
      <c r="BE151" s="311">
        <v>0.11617122182258299</v>
      </c>
      <c r="BF151" s="248"/>
      <c r="BG151" s="248"/>
    </row>
    <row r="152" spans="3:59" ht="17" x14ac:dyDescent="0.2">
      <c r="C152" s="6" t="s">
        <v>155</v>
      </c>
      <c r="D152" s="311">
        <v>0.40051569326897152</v>
      </c>
      <c r="E152" s="311">
        <v>0.35314426290210577</v>
      </c>
      <c r="F152" s="311">
        <v>0.58301271649543196</v>
      </c>
      <c r="G152" s="311">
        <v>0.38459710491588339</v>
      </c>
      <c r="H152" s="311">
        <v>0.54069947641983163</v>
      </c>
      <c r="I152" s="311">
        <v>0.569984522080631</v>
      </c>
      <c r="J152" s="311">
        <v>0.46474023094197037</v>
      </c>
      <c r="K152" s="311">
        <v>0.40007192212226528</v>
      </c>
      <c r="L152" s="311">
        <v>0.1425150602510854</v>
      </c>
      <c r="M152" s="311">
        <v>0.59457844498683698</v>
      </c>
      <c r="N152" s="311">
        <v>0.5223661400959827</v>
      </c>
      <c r="O152" s="311">
        <v>0.38499225740360998</v>
      </c>
      <c r="P152" s="311">
        <v>0.4038317140948493</v>
      </c>
      <c r="Q152" s="311">
        <v>0.59033765862113796</v>
      </c>
      <c r="R152" s="311">
        <v>0.4571861693111714</v>
      </c>
      <c r="S152" s="311">
        <v>0.39348496706224978</v>
      </c>
      <c r="T152" s="311">
        <v>0.42155564899076126</v>
      </c>
      <c r="U152" s="311">
        <v>0.39913416427225457</v>
      </c>
      <c r="V152" s="311">
        <v>0.38610166499233856</v>
      </c>
      <c r="W152" s="311">
        <v>0.48423786687999382</v>
      </c>
      <c r="X152" s="311">
        <v>0.46866399353530142</v>
      </c>
      <c r="Y152" s="311">
        <v>0.54620100272586569</v>
      </c>
      <c r="Z152" s="311">
        <v>0.52149381363415159</v>
      </c>
      <c r="AA152" s="311">
        <v>0.59065391063631978</v>
      </c>
      <c r="AB152" s="311">
        <v>0.32576057756159571</v>
      </c>
      <c r="AC152" s="311">
        <v>0.5045871193142375</v>
      </c>
      <c r="AD152" s="311">
        <v>0.39634480092354352</v>
      </c>
      <c r="AE152" s="38">
        <f>'User Add-in Location'!B156</f>
        <v>0</v>
      </c>
      <c r="AF152" s="38">
        <f>'User Add-in Location'!C156</f>
        <v>0</v>
      </c>
      <c r="AG152" s="311">
        <v>0.44109384407784091</v>
      </c>
      <c r="AH152" s="311">
        <v>0.40128683612147142</v>
      </c>
      <c r="AI152" s="311">
        <v>0.5160062745653704</v>
      </c>
      <c r="AJ152" s="311">
        <v>0.5390286044585082</v>
      </c>
      <c r="AK152" s="311">
        <v>0.32325687844786444</v>
      </c>
      <c r="AL152" s="311">
        <v>0.43125781821436249</v>
      </c>
      <c r="AM152" s="311">
        <v>0.51280785375274718</v>
      </c>
      <c r="AN152" s="311">
        <v>0.35761893386006705</v>
      </c>
      <c r="AO152" s="311">
        <v>0.55842373054474592</v>
      </c>
      <c r="AP152" s="311">
        <v>0.40524085865399684</v>
      </c>
      <c r="AQ152" s="311">
        <v>0.49751233677670825</v>
      </c>
      <c r="AR152" s="311">
        <v>0.56935666692152154</v>
      </c>
      <c r="AS152" s="311">
        <v>0.49868842895739363</v>
      </c>
      <c r="AT152" s="311">
        <v>0.39790700543380808</v>
      </c>
      <c r="AU152" s="311">
        <v>0.39738181685243035</v>
      </c>
      <c r="AV152" s="311">
        <v>0.53775081730418606</v>
      </c>
      <c r="AW152" s="311">
        <v>0.55359474281431176</v>
      </c>
      <c r="AX152" s="311">
        <v>0.96404384856577963</v>
      </c>
      <c r="AY152" s="311">
        <v>0.53173926820454653</v>
      </c>
      <c r="AZ152" s="311">
        <v>0.43046874708488758</v>
      </c>
      <c r="BA152" s="311">
        <v>0.48060026247912901</v>
      </c>
      <c r="BB152" s="311">
        <v>0.44356063658779021</v>
      </c>
      <c r="BC152" s="311">
        <v>0.34673048957472474</v>
      </c>
      <c r="BD152" s="311">
        <v>0.50123157877533231</v>
      </c>
      <c r="BE152" s="311">
        <v>0.2327836611461862</v>
      </c>
      <c r="BF152" s="248"/>
      <c r="BG152" s="248"/>
    </row>
    <row r="153" spans="3:59" ht="17" x14ac:dyDescent="0.2">
      <c r="C153" s="6" t="s">
        <v>156</v>
      </c>
      <c r="D153" s="311">
        <v>0.44383311323417729</v>
      </c>
      <c r="E153" s="311">
        <v>0.40853924256271057</v>
      </c>
      <c r="F153" s="311">
        <v>0.6522283765989414</v>
      </c>
      <c r="G153" s="311">
        <v>0.41387667011076701</v>
      </c>
      <c r="H153" s="311">
        <v>0.6196070464575314</v>
      </c>
      <c r="I153" s="311">
        <v>0.68114412642898969</v>
      </c>
      <c r="J153" s="311">
        <v>0.5337713796106982</v>
      </c>
      <c r="K153" s="311">
        <v>0.44213437809230527</v>
      </c>
      <c r="L153" s="311">
        <v>0.15593731915456033</v>
      </c>
      <c r="M153" s="311">
        <v>0.6798306259297533</v>
      </c>
      <c r="N153" s="311">
        <v>0.61913065735279815</v>
      </c>
      <c r="O153" s="311">
        <v>0.41766267394905299</v>
      </c>
      <c r="P153" s="311">
        <v>0.41761866686283611</v>
      </c>
      <c r="Q153" s="311">
        <v>0.67544002057547914</v>
      </c>
      <c r="R153" s="311">
        <v>0.40792464305923204</v>
      </c>
      <c r="S153" s="311">
        <v>0.41447541961315437</v>
      </c>
      <c r="T153" s="311">
        <v>0.4754514253772868</v>
      </c>
      <c r="U153" s="311">
        <v>0.42358566596521996</v>
      </c>
      <c r="V153" s="311">
        <v>0.45047389690211048</v>
      </c>
      <c r="W153" s="311">
        <v>0.51382064581594022</v>
      </c>
      <c r="X153" s="311">
        <v>0.51717909440776566</v>
      </c>
      <c r="Y153" s="311">
        <v>0.59483372339764173</v>
      </c>
      <c r="Z153" s="311">
        <v>0.58793735636572819</v>
      </c>
      <c r="AA153" s="311">
        <v>0.65251083658949938</v>
      </c>
      <c r="AB153" s="311">
        <v>0.36129987052026991</v>
      </c>
      <c r="AC153" s="311">
        <v>0.55847274676489178</v>
      </c>
      <c r="AD153" s="311">
        <v>0.43213101826813727</v>
      </c>
      <c r="AE153" s="38">
        <f>'User Add-in Location'!B157</f>
        <v>0</v>
      </c>
      <c r="AF153" s="38">
        <f>'User Add-in Location'!C157</f>
        <v>0</v>
      </c>
      <c r="AG153" s="311">
        <v>0.45770029836239701</v>
      </c>
      <c r="AH153" s="311">
        <v>0.49611951185420367</v>
      </c>
      <c r="AI153" s="311">
        <v>0.55488631672506017</v>
      </c>
      <c r="AJ153" s="311">
        <v>0.60305295532452874</v>
      </c>
      <c r="AK153" s="311">
        <v>0.38657376603077864</v>
      </c>
      <c r="AL153" s="311">
        <v>0.48563972383999499</v>
      </c>
      <c r="AM153" s="311">
        <v>0.53473287293309113</v>
      </c>
      <c r="AN153" s="311">
        <v>0.39060141771096824</v>
      </c>
      <c r="AO153" s="311">
        <v>0.60179953769693384</v>
      </c>
      <c r="AP153" s="311">
        <v>0.45361256507021608</v>
      </c>
      <c r="AQ153" s="311">
        <v>0.48067929982062196</v>
      </c>
      <c r="AR153" s="311">
        <v>0.60483327932161046</v>
      </c>
      <c r="AS153" s="311">
        <v>0.51134769864802365</v>
      </c>
      <c r="AT153" s="311">
        <v>0.45563390709867235</v>
      </c>
      <c r="AU153" s="311">
        <v>0.40215889479077305</v>
      </c>
      <c r="AV153" s="311">
        <v>0.56947473567561246</v>
      </c>
      <c r="AW153" s="311">
        <v>0.64069978256156901</v>
      </c>
      <c r="AX153" s="311">
        <v>1.0562107416335493</v>
      </c>
      <c r="AY153" s="311">
        <v>0.60129043497909151</v>
      </c>
      <c r="AZ153" s="311">
        <v>0.47173743149596703</v>
      </c>
      <c r="BA153" s="311">
        <v>0.54775536289889715</v>
      </c>
      <c r="BB153" s="311">
        <v>0.49362804628253798</v>
      </c>
      <c r="BC153" s="311">
        <v>0.34575904373556909</v>
      </c>
      <c r="BD153" s="311">
        <v>0.52996827834431315</v>
      </c>
      <c r="BE153" s="311">
        <v>0.27653517079113499</v>
      </c>
      <c r="BF153" s="248"/>
      <c r="BG153" s="248"/>
    </row>
    <row r="154" spans="3:59" ht="17" x14ac:dyDescent="0.2">
      <c r="C154" s="6" t="s">
        <v>80</v>
      </c>
      <c r="D154" s="311">
        <v>0.47920489832722524</v>
      </c>
      <c r="E154" s="311">
        <v>0.54962323897962051</v>
      </c>
      <c r="F154" s="311">
        <v>0.70013280480998219</v>
      </c>
      <c r="G154" s="311">
        <v>0.55676296332421771</v>
      </c>
      <c r="H154" s="311">
        <v>0.67571134195895866</v>
      </c>
      <c r="I154" s="311">
        <v>0.76666435784864007</v>
      </c>
      <c r="J154" s="311">
        <v>0.52274795557787002</v>
      </c>
      <c r="K154" s="311">
        <v>0.54467988637554754</v>
      </c>
      <c r="L154" s="311">
        <v>0.1431579960434135</v>
      </c>
      <c r="M154" s="311">
        <v>0.7616689169080928</v>
      </c>
      <c r="N154" s="311">
        <v>0.77574247334268875</v>
      </c>
      <c r="O154" s="311">
        <v>0.55857536308485578</v>
      </c>
      <c r="P154" s="311">
        <v>0.57447065196174663</v>
      </c>
      <c r="Q154" s="311">
        <v>0.81434391489892732</v>
      </c>
      <c r="R154" s="311">
        <v>0.59888836108802934</v>
      </c>
      <c r="S154" s="311">
        <v>0.55958679235845921</v>
      </c>
      <c r="T154" s="311">
        <v>0.59806718885829468</v>
      </c>
      <c r="U154" s="311">
        <v>0.55957612630436415</v>
      </c>
      <c r="V154" s="311">
        <v>0.58636125890200219</v>
      </c>
      <c r="W154" s="311">
        <v>0.649404987512753</v>
      </c>
      <c r="X154" s="311">
        <v>0.5128146895149257</v>
      </c>
      <c r="Y154" s="311">
        <v>0.53714180957103963</v>
      </c>
      <c r="Z154" s="311">
        <v>0.69920981289760675</v>
      </c>
      <c r="AA154" s="311">
        <v>0.71679402703011874</v>
      </c>
      <c r="AB154" s="311">
        <v>0.5062444554960166</v>
      </c>
      <c r="AC154" s="311">
        <v>0.6935135432286188</v>
      </c>
      <c r="AD154" s="311">
        <v>0.5653083883362342</v>
      </c>
      <c r="AE154" s="38">
        <f>'User Add-in Location'!B158</f>
        <v>0</v>
      </c>
      <c r="AF154" s="38">
        <f>'User Add-in Location'!C158</f>
        <v>0</v>
      </c>
      <c r="AG154" s="311">
        <v>0.62893663778413611</v>
      </c>
      <c r="AH154" s="311">
        <v>0.5791802868961895</v>
      </c>
      <c r="AI154" s="311">
        <v>0.53826509202599482</v>
      </c>
      <c r="AJ154" s="311">
        <v>0.67732296209942433</v>
      </c>
      <c r="AK154" s="311">
        <v>0.37211660840512195</v>
      </c>
      <c r="AL154" s="311">
        <v>0.55678352100949269</v>
      </c>
      <c r="AM154" s="311">
        <v>0.72433075244771317</v>
      </c>
      <c r="AN154" s="311">
        <v>0.49373770620422874</v>
      </c>
      <c r="AO154" s="311">
        <v>0.72102771602658322</v>
      </c>
      <c r="AP154" s="311">
        <v>0.49917670332433772</v>
      </c>
      <c r="AQ154" s="311">
        <v>0.65153224743698956</v>
      </c>
      <c r="AR154" s="311">
        <v>0.70559551134647336</v>
      </c>
      <c r="AS154" s="311">
        <v>0.5685140389314256</v>
      </c>
      <c r="AT154" s="311">
        <v>0.56860341961873928</v>
      </c>
      <c r="AU154" s="311">
        <v>0.52211663444177248</v>
      </c>
      <c r="AV154" s="311">
        <v>0.65955109861079109</v>
      </c>
      <c r="AW154" s="311">
        <v>0.70658358915534336</v>
      </c>
      <c r="AX154" s="311">
        <v>1.1316275794524699</v>
      </c>
      <c r="AY154" s="311">
        <v>0.69783852020918857</v>
      </c>
      <c r="AZ154" s="311">
        <v>0.63114372532254492</v>
      </c>
      <c r="BA154" s="311">
        <v>0.54956945730191364</v>
      </c>
      <c r="BB154" s="311">
        <v>0.5686927274800837</v>
      </c>
      <c r="BC154" s="311">
        <v>0.4554412765241409</v>
      </c>
      <c r="BD154" s="311">
        <v>0.67838208661123645</v>
      </c>
      <c r="BE154" s="311">
        <v>0.38685206222828583</v>
      </c>
      <c r="BF154" s="248"/>
      <c r="BG154" s="248"/>
    </row>
    <row r="155" spans="3:59" ht="16" x14ac:dyDescent="0.2">
      <c r="D155" s="311"/>
      <c r="E155" s="311"/>
      <c r="F155" s="311"/>
      <c r="G155" s="311"/>
      <c r="H155" s="311"/>
      <c r="I155" s="311"/>
      <c r="J155" s="311"/>
      <c r="K155" s="311"/>
      <c r="L155" s="311"/>
      <c r="M155" s="311"/>
      <c r="N155" s="311"/>
      <c r="O155" s="311"/>
      <c r="P155" s="311"/>
      <c r="Q155" s="311"/>
      <c r="R155" s="311"/>
      <c r="S155" s="311"/>
      <c r="T155" s="311"/>
      <c r="U155" s="311"/>
      <c r="V155" s="311"/>
      <c r="W155" s="311"/>
      <c r="X155" s="311"/>
      <c r="Y155" s="311"/>
      <c r="Z155" s="311"/>
      <c r="AA155" s="311"/>
      <c r="AB155" s="311"/>
      <c r="AC155" s="311"/>
      <c r="AD155" s="311"/>
      <c r="AG155" s="311"/>
      <c r="AH155" s="311"/>
      <c r="AI155" s="311"/>
      <c r="AJ155" s="311"/>
      <c r="AK155" s="311"/>
      <c r="AL155" s="311"/>
      <c r="AM155" s="311"/>
      <c r="AN155" s="311"/>
      <c r="AO155" s="311"/>
      <c r="AP155" s="311"/>
      <c r="AQ155" s="311"/>
      <c r="AR155" s="311"/>
      <c r="AS155" s="311"/>
      <c r="AT155" s="311"/>
      <c r="AU155" s="311"/>
      <c r="AV155" s="311"/>
      <c r="AW155" s="311"/>
      <c r="AX155" s="311"/>
      <c r="AY155" s="311"/>
      <c r="AZ155" s="311"/>
      <c r="BA155" s="311"/>
      <c r="BB155" s="311"/>
      <c r="BC155" s="311"/>
      <c r="BD155" s="311"/>
      <c r="BE155" s="311"/>
      <c r="BF155" s="248"/>
      <c r="BG155" s="248"/>
    </row>
    <row r="156" spans="3:59" s="248" customFormat="1" ht="17" x14ac:dyDescent="0.25">
      <c r="C156" s="250" t="s">
        <v>609</v>
      </c>
      <c r="D156" s="311"/>
      <c r="E156" s="311"/>
      <c r="F156" s="311"/>
      <c r="G156" s="311"/>
      <c r="H156" s="311"/>
      <c r="I156" s="311"/>
      <c r="J156" s="311"/>
      <c r="K156" s="311"/>
      <c r="L156" s="311"/>
      <c r="M156" s="311"/>
      <c r="N156" s="311"/>
      <c r="O156" s="311"/>
      <c r="P156" s="311"/>
      <c r="Q156" s="311"/>
      <c r="R156" s="311"/>
      <c r="S156" s="311"/>
      <c r="T156" s="311"/>
      <c r="U156" s="311"/>
      <c r="V156" s="311"/>
      <c r="W156" s="311"/>
      <c r="X156" s="311"/>
      <c r="Y156" s="311"/>
      <c r="Z156" s="311"/>
      <c r="AA156" s="311"/>
      <c r="AB156" s="311"/>
      <c r="AC156" s="311"/>
      <c r="AD156" s="311"/>
      <c r="AG156" s="311"/>
      <c r="AH156" s="311"/>
      <c r="AI156" s="311"/>
      <c r="AJ156" s="311"/>
      <c r="AK156" s="311"/>
      <c r="AL156" s="311"/>
      <c r="AM156" s="311"/>
      <c r="AN156" s="311"/>
      <c r="AO156" s="311"/>
      <c r="AP156" s="311"/>
      <c r="AQ156" s="311"/>
      <c r="AR156" s="311"/>
      <c r="AS156" s="311"/>
      <c r="AT156" s="311"/>
      <c r="AU156" s="311"/>
      <c r="AV156" s="311"/>
      <c r="AW156" s="311"/>
      <c r="AX156" s="311"/>
      <c r="AY156" s="311"/>
      <c r="AZ156" s="311"/>
      <c r="BA156" s="311"/>
      <c r="BB156" s="311"/>
      <c r="BC156" s="311"/>
      <c r="BD156" s="311"/>
      <c r="BE156" s="311"/>
    </row>
    <row r="157" spans="3:59" s="248" customFormat="1" ht="17" x14ac:dyDescent="0.25">
      <c r="C157" s="250" t="s">
        <v>610</v>
      </c>
      <c r="D157" s="311" t="s">
        <v>82</v>
      </c>
      <c r="E157" s="311" t="s">
        <v>83</v>
      </c>
      <c r="F157" s="311" t="s">
        <v>84</v>
      </c>
      <c r="G157" s="311" t="s">
        <v>85</v>
      </c>
      <c r="H157" s="311" t="s">
        <v>86</v>
      </c>
      <c r="I157" s="311" t="s">
        <v>87</v>
      </c>
      <c r="J157" s="311" t="s">
        <v>88</v>
      </c>
      <c r="K157" s="311" t="s">
        <v>89</v>
      </c>
      <c r="L157" s="311" t="s">
        <v>90</v>
      </c>
      <c r="M157" s="311" t="s">
        <v>91</v>
      </c>
      <c r="N157" s="311" t="s">
        <v>92</v>
      </c>
      <c r="O157" s="311" t="s">
        <v>93</v>
      </c>
      <c r="P157" s="311" t="s">
        <v>94</v>
      </c>
      <c r="Q157" s="311" t="s">
        <v>95</v>
      </c>
      <c r="R157" s="311" t="s">
        <v>96</v>
      </c>
      <c r="S157" s="311" t="s">
        <v>97</v>
      </c>
      <c r="T157" s="311" t="s">
        <v>98</v>
      </c>
      <c r="U157" s="311" t="s">
        <v>99</v>
      </c>
      <c r="V157" s="311" t="s">
        <v>100</v>
      </c>
      <c r="W157" s="311" t="s">
        <v>101</v>
      </c>
      <c r="X157" s="311" t="s">
        <v>102</v>
      </c>
      <c r="Y157" s="311" t="s">
        <v>103</v>
      </c>
      <c r="Z157" s="311" t="s">
        <v>104</v>
      </c>
      <c r="AA157" s="311" t="s">
        <v>105</v>
      </c>
      <c r="AB157" s="311" t="s">
        <v>106</v>
      </c>
      <c r="AC157" s="311" t="s">
        <v>107</v>
      </c>
      <c r="AD157" s="311" t="s">
        <v>108</v>
      </c>
      <c r="AE157" s="38" t="s">
        <v>322</v>
      </c>
      <c r="AF157" s="38" t="s">
        <v>321</v>
      </c>
      <c r="AG157" s="311" t="s">
        <v>109</v>
      </c>
      <c r="AH157" s="311" t="s">
        <v>110</v>
      </c>
      <c r="AI157" s="311" t="s">
        <v>111</v>
      </c>
      <c r="AJ157" s="311" t="s">
        <v>112</v>
      </c>
      <c r="AK157" s="311" t="s">
        <v>113</v>
      </c>
      <c r="AL157" s="311" t="s">
        <v>114</v>
      </c>
      <c r="AM157" s="311" t="s">
        <v>115</v>
      </c>
      <c r="AN157" s="311" t="s">
        <v>116</v>
      </c>
      <c r="AO157" s="311" t="s">
        <v>117</v>
      </c>
      <c r="AP157" s="311" t="s">
        <v>118</v>
      </c>
      <c r="AQ157" s="311" t="s">
        <v>119</v>
      </c>
      <c r="AR157" s="311" t="s">
        <v>120</v>
      </c>
      <c r="AS157" s="311" t="s">
        <v>121</v>
      </c>
      <c r="AT157" s="311" t="s">
        <v>122</v>
      </c>
      <c r="AU157" s="311" t="s">
        <v>123</v>
      </c>
      <c r="AV157" s="311" t="s">
        <v>124</v>
      </c>
      <c r="AW157" s="311" t="s">
        <v>125</v>
      </c>
      <c r="AX157" s="311" t="s">
        <v>585</v>
      </c>
      <c r="AY157" s="311" t="s">
        <v>126</v>
      </c>
      <c r="AZ157" s="311" t="s">
        <v>127</v>
      </c>
      <c r="BA157" s="311" t="s">
        <v>128</v>
      </c>
      <c r="BB157" s="311" t="s">
        <v>129</v>
      </c>
      <c r="BC157" s="311" t="s">
        <v>130</v>
      </c>
      <c r="BD157" s="311" t="s">
        <v>131</v>
      </c>
      <c r="BE157" s="311" t="s">
        <v>81</v>
      </c>
    </row>
    <row r="158" spans="3:59" s="248" customFormat="1" ht="17" x14ac:dyDescent="0.25">
      <c r="C158" s="249" t="s">
        <v>76</v>
      </c>
      <c r="D158" s="311">
        <v>0.37711933588687135</v>
      </c>
      <c r="E158" s="311">
        <v>0.49677479822270509</v>
      </c>
      <c r="F158" s="311">
        <v>0.40605041206682679</v>
      </c>
      <c r="G158" s="311">
        <v>0.31489483282785008</v>
      </c>
      <c r="H158" s="311">
        <v>0.56051409110883177</v>
      </c>
      <c r="I158" s="311">
        <v>0.30484222030906005</v>
      </c>
      <c r="J158" s="311">
        <v>0.42604158545022153</v>
      </c>
      <c r="K158" s="311">
        <v>0.33902682731984957</v>
      </c>
      <c r="L158" s="311">
        <v>0.45603143886431063</v>
      </c>
      <c r="M158" s="311">
        <v>0.55841548778685746</v>
      </c>
      <c r="N158" s="311">
        <v>0.35671393894943543</v>
      </c>
      <c r="O158" s="311">
        <v>0.57633116778552851</v>
      </c>
      <c r="P158" s="311">
        <v>0.38899773580205188</v>
      </c>
      <c r="Q158" s="311">
        <v>0.24998881231321507</v>
      </c>
      <c r="R158" s="311">
        <v>0.31958756351353157</v>
      </c>
      <c r="S158" s="311">
        <v>0.29467020383689013</v>
      </c>
      <c r="T158" s="311">
        <v>0.24149480754921288</v>
      </c>
      <c r="U158" s="311">
        <v>0.35469870431160788</v>
      </c>
      <c r="V158" s="311">
        <v>0.39742696760252205</v>
      </c>
      <c r="W158" s="311">
        <v>0.51732382588267201</v>
      </c>
      <c r="X158" s="311">
        <v>0.30115112053328952</v>
      </c>
      <c r="Y158" s="311">
        <v>0.67124726665551515</v>
      </c>
      <c r="Z158" s="311">
        <v>0.36184861895180376</v>
      </c>
      <c r="AA158" s="311">
        <v>0.30606083411587004</v>
      </c>
      <c r="AB158" s="311">
        <v>0.37363140401074113</v>
      </c>
      <c r="AC158" s="311">
        <v>0.30247774148845979</v>
      </c>
      <c r="AD158" s="311">
        <v>0.38436759648408969</v>
      </c>
      <c r="AE158" s="38">
        <f>'User Add-in Location'!B162</f>
        <v>0</v>
      </c>
      <c r="AF158" s="38">
        <f>'User Add-in Location'!C162</f>
        <v>0</v>
      </c>
      <c r="AG158" s="311">
        <v>0.28173431860488518</v>
      </c>
      <c r="AH158" s="311">
        <v>0.33043654069889494</v>
      </c>
      <c r="AI158" s="311">
        <v>0.44434387649558227</v>
      </c>
      <c r="AJ158" s="311">
        <v>0.53696295682412598</v>
      </c>
      <c r="AK158" s="311">
        <v>0.34510389448144629</v>
      </c>
      <c r="AL158" s="311">
        <v>0.382108976190838</v>
      </c>
      <c r="AM158" s="311">
        <v>0.36607484397021123</v>
      </c>
      <c r="AN158" s="311">
        <v>0.23165445162700576</v>
      </c>
      <c r="AO158" s="311">
        <v>0.31332067940396091</v>
      </c>
      <c r="AP158" s="311">
        <v>0.36610968046692677</v>
      </c>
      <c r="AQ158" s="311">
        <v>0.53089304059972153</v>
      </c>
      <c r="AR158" s="311">
        <v>0.42064568419299631</v>
      </c>
      <c r="AS158" s="311">
        <v>0.64320358066744565</v>
      </c>
      <c r="AT158" s="311">
        <v>0.28890225616228998</v>
      </c>
      <c r="AU158" s="311">
        <v>0.32814746762695141</v>
      </c>
      <c r="AV158" s="311">
        <v>0.33256081072702559</v>
      </c>
      <c r="AW158" s="311">
        <v>0.39577969292365078</v>
      </c>
      <c r="AX158" s="311">
        <v>0.37970399538428357</v>
      </c>
      <c r="AY158" s="311">
        <v>0.37388065351259347</v>
      </c>
      <c r="AZ158" s="311">
        <v>0.33026352997233499</v>
      </c>
      <c r="BA158" s="311">
        <v>0.34223626410778657</v>
      </c>
      <c r="BB158" s="311">
        <v>0.54504443632604727</v>
      </c>
      <c r="BC158" s="311">
        <v>0.26824962781704409</v>
      </c>
      <c r="BD158" s="311">
        <v>0.35374609970718296</v>
      </c>
      <c r="BE158" s="311">
        <v>0.3142304578785195</v>
      </c>
      <c r="BF158" s="38"/>
      <c r="BG158" s="38"/>
    </row>
    <row r="159" spans="3:59" s="248" customFormat="1" ht="17" x14ac:dyDescent="0.25">
      <c r="C159" s="249" t="s">
        <v>148</v>
      </c>
      <c r="D159" s="311">
        <v>0.552933769243247</v>
      </c>
      <c r="E159" s="311">
        <v>0.82616714758806054</v>
      </c>
      <c r="F159" s="311">
        <v>0.49088640582051735</v>
      </c>
      <c r="G159" s="311">
        <v>0.57074938621905746</v>
      </c>
      <c r="H159" s="311">
        <v>0.6377956317231861</v>
      </c>
      <c r="I159" s="311">
        <v>0.68987783327744601</v>
      </c>
      <c r="J159" s="311">
        <v>0.45696127222534927</v>
      </c>
      <c r="K159" s="311">
        <v>-0.24851288286909337</v>
      </c>
      <c r="L159" s="311">
        <v>-2.4645728784539926</v>
      </c>
      <c r="M159" s="311">
        <v>0.30841084321166623</v>
      </c>
      <c r="N159" s="311">
        <v>0.56289008776473071</v>
      </c>
      <c r="O159" s="311">
        <v>0.46107444706288847</v>
      </c>
      <c r="P159" s="311">
        <v>0.55876445889430726</v>
      </c>
      <c r="Q159" s="311">
        <v>0.35027095390084872</v>
      </c>
      <c r="R159" s="311">
        <v>0.42322698108544698</v>
      </c>
      <c r="S159" s="311">
        <v>0.41293911103552339</v>
      </c>
      <c r="T159" s="311">
        <v>0.17154428344558431</v>
      </c>
      <c r="U159" s="311">
        <v>0.37899717818539758</v>
      </c>
      <c r="V159" s="311">
        <v>0.64951522042813603</v>
      </c>
      <c r="W159" s="311">
        <v>0.2308904242159239</v>
      </c>
      <c r="X159" s="311">
        <v>0.33198594520169122</v>
      </c>
      <c r="Y159" s="311">
        <v>0.20113104851738978</v>
      </c>
      <c r="Z159" s="311">
        <v>0.4389459907332825</v>
      </c>
      <c r="AA159" s="311">
        <v>0.54718064972731706</v>
      </c>
      <c r="AB159" s="311">
        <v>0.30666104364395158</v>
      </c>
      <c r="AC159" s="311">
        <v>0.44149561794740966</v>
      </c>
      <c r="AD159" s="311">
        <v>0.51975778569908815</v>
      </c>
      <c r="AE159" s="38">
        <f>'User Add-in Location'!B163</f>
        <v>0</v>
      </c>
      <c r="AF159" s="38">
        <f>'User Add-in Location'!C163</f>
        <v>0</v>
      </c>
      <c r="AG159" s="311">
        <v>0.39875330970762668</v>
      </c>
      <c r="AH159" s="311">
        <v>0.53461921836787263</v>
      </c>
      <c r="AI159" s="311">
        <v>0.27070919419858208</v>
      </c>
      <c r="AJ159" s="311">
        <v>0.31778582603825151</v>
      </c>
      <c r="AK159" s="311">
        <v>0.70989891182511999</v>
      </c>
      <c r="AL159" s="311">
        <v>0.26365823430779745</v>
      </c>
      <c r="AM159" s="311">
        <v>0.41249587183743608</v>
      </c>
      <c r="AN159" s="311">
        <v>0.71966320228764291</v>
      </c>
      <c r="AO159" s="311">
        <v>0.63816573130422549</v>
      </c>
      <c r="AP159" s="311">
        <v>0.67445310550641224</v>
      </c>
      <c r="AQ159" s="311">
        <v>0.31825947072319666</v>
      </c>
      <c r="AR159" s="311">
        <v>0.67418788809805741</v>
      </c>
      <c r="AS159" s="311">
        <v>0.42521779979765989</v>
      </c>
      <c r="AT159" s="311">
        <v>0.48407777921988909</v>
      </c>
      <c r="AU159" s="311">
        <v>0.36469988294566758</v>
      </c>
      <c r="AV159" s="311">
        <v>0.39600563460457106</v>
      </c>
      <c r="AW159" s="311">
        <v>0.79289620223291435</v>
      </c>
      <c r="AX159" s="311">
        <v>0.66409573983561143</v>
      </c>
      <c r="AY159" s="311">
        <v>0.56877182638966461</v>
      </c>
      <c r="AZ159" s="311">
        <v>0.67528824277034338</v>
      </c>
      <c r="BA159" s="311">
        <v>0.41797103515862599</v>
      </c>
      <c r="BB159" s="311">
        <v>0.30819292049735114</v>
      </c>
      <c r="BC159" s="311">
        <v>0.5155006029336251</v>
      </c>
      <c r="BD159" s="311">
        <v>0.59862232466307397</v>
      </c>
      <c r="BE159" s="311">
        <v>0.62608395641329484</v>
      </c>
      <c r="BF159" s="38"/>
      <c r="BG159" s="38"/>
    </row>
    <row r="160" spans="3:59" s="248" customFormat="1" ht="17" x14ac:dyDescent="0.25">
      <c r="C160" s="249" t="s">
        <v>77</v>
      </c>
      <c r="D160" s="311">
        <v>0.40245759962470323</v>
      </c>
      <c r="E160" s="311">
        <v>0.51909023006032273</v>
      </c>
      <c r="F160" s="311">
        <v>0.47331368330608514</v>
      </c>
      <c r="G160" s="311">
        <v>0.39092935934516837</v>
      </c>
      <c r="H160" s="311">
        <v>0.53684836735064878</v>
      </c>
      <c r="I160" s="311">
        <v>0.49288209855532605</v>
      </c>
      <c r="J160" s="311">
        <v>0.46382232650383126</v>
      </c>
      <c r="K160" s="311">
        <v>0.51489797575778185</v>
      </c>
      <c r="L160" s="311">
        <v>0.56237350745898451</v>
      </c>
      <c r="M160" s="311">
        <v>0.47503602364154696</v>
      </c>
      <c r="N160" s="311">
        <v>0.45110374246754426</v>
      </c>
      <c r="O160" s="311">
        <v>0.58342939890652834</v>
      </c>
      <c r="P160" s="311">
        <v>0.44428592069107875</v>
      </c>
      <c r="Q160" s="311">
        <v>0.51600366218702376</v>
      </c>
      <c r="R160" s="311">
        <v>0.45505267847168784</v>
      </c>
      <c r="S160" s="311">
        <v>0.46254131056510334</v>
      </c>
      <c r="T160" s="311">
        <v>0.45221778010995373</v>
      </c>
      <c r="U160" s="311">
        <v>0.4433020190250726</v>
      </c>
      <c r="V160" s="311">
        <v>0.46096904966041879</v>
      </c>
      <c r="W160" s="311">
        <v>0.34132207040592155</v>
      </c>
      <c r="X160" s="311">
        <v>0.49524536457062146</v>
      </c>
      <c r="Y160" s="311">
        <v>0.49448683801728349</v>
      </c>
      <c r="Z160" s="311">
        <v>0.47648998230263173</v>
      </c>
      <c r="AA160" s="311">
        <v>0.49123683701534399</v>
      </c>
      <c r="AB160" s="311">
        <v>0.38581349101359713</v>
      </c>
      <c r="AC160" s="311">
        <v>0.41528768988055642</v>
      </c>
      <c r="AD160" s="311">
        <v>0.43112237169918877</v>
      </c>
      <c r="AE160" s="38">
        <f>'User Add-in Location'!B164</f>
        <v>0</v>
      </c>
      <c r="AF160" s="38">
        <f>'User Add-in Location'!C164</f>
        <v>0</v>
      </c>
      <c r="AG160" s="311">
        <v>0.41540340440822859</v>
      </c>
      <c r="AH160" s="311">
        <v>0.51773219467530296</v>
      </c>
      <c r="AI160" s="311">
        <v>0.3656865540791101</v>
      </c>
      <c r="AJ160" s="311">
        <v>0.53830361274330818</v>
      </c>
      <c r="AK160" s="311">
        <v>0.43656587844266015</v>
      </c>
      <c r="AL160" s="311">
        <v>0.53907239543414887</v>
      </c>
      <c r="AM160" s="311">
        <v>0.42343486247822293</v>
      </c>
      <c r="AN160" s="311">
        <v>0.54740954060785785</v>
      </c>
      <c r="AO160" s="311">
        <v>0.45578762794755162</v>
      </c>
      <c r="AP160" s="311">
        <v>0.43091117973427984</v>
      </c>
      <c r="AQ160" s="311">
        <v>0.48850901619041781</v>
      </c>
      <c r="AR160" s="311">
        <v>0.49589073146412832</v>
      </c>
      <c r="AS160" s="311">
        <v>0.48573545039398769</v>
      </c>
      <c r="AT160" s="311">
        <v>0.47343695170490524</v>
      </c>
      <c r="AU160" s="311">
        <v>0.42950938172710651</v>
      </c>
      <c r="AV160" s="311">
        <v>0.41721577890982758</v>
      </c>
      <c r="AW160" s="311">
        <v>0.49971337140610217</v>
      </c>
      <c r="AX160" s="311">
        <v>0.48751018916800731</v>
      </c>
      <c r="AY160" s="311">
        <v>0.52069391584760116</v>
      </c>
      <c r="AZ160" s="311">
        <v>0.3247811793441035</v>
      </c>
      <c r="BA160" s="311">
        <v>0.48616078142733643</v>
      </c>
      <c r="BB160" s="311">
        <v>0.54437987356852924</v>
      </c>
      <c r="BC160" s="311">
        <v>0.52895936726361958</v>
      </c>
      <c r="BD160" s="311">
        <v>0.47605574269480389</v>
      </c>
      <c r="BE160" s="311">
        <v>0.51705558009214458</v>
      </c>
      <c r="BF160" s="38"/>
      <c r="BG160" s="38"/>
    </row>
    <row r="161" spans="3:59" s="248" customFormat="1" ht="17" x14ac:dyDescent="0.25">
      <c r="C161" s="249" t="s">
        <v>149</v>
      </c>
      <c r="D161" s="311">
        <v>0.25057043034209092</v>
      </c>
      <c r="E161" s="311">
        <v>0.22050362512190935</v>
      </c>
      <c r="F161" s="311">
        <v>0.29522359130456105</v>
      </c>
      <c r="G161" s="311">
        <v>0.24492650506848856</v>
      </c>
      <c r="H161" s="311">
        <v>0.37057240652382906</v>
      </c>
      <c r="I161" s="311">
        <v>0.31446103516766999</v>
      </c>
      <c r="J161" s="311">
        <v>0.3680842524183906</v>
      </c>
      <c r="K161" s="311">
        <v>0.26223419526245551</v>
      </c>
      <c r="L161" s="311">
        <v>0.38062577135622272</v>
      </c>
      <c r="M161" s="311">
        <v>0.29651041493522712</v>
      </c>
      <c r="N161" s="311">
        <v>0.30212316738536771</v>
      </c>
      <c r="O161" s="311">
        <v>0.21241894648795709</v>
      </c>
      <c r="P161" s="311">
        <v>0.22017990384546482</v>
      </c>
      <c r="Q161" s="311">
        <v>0.31160318773430612</v>
      </c>
      <c r="R161" s="311">
        <v>0.3227119872526375</v>
      </c>
      <c r="S161" s="311">
        <v>0.25663586151870066</v>
      </c>
      <c r="T161" s="311">
        <v>0.2461865526540199</v>
      </c>
      <c r="U161" s="311">
        <v>0.24842679483171073</v>
      </c>
      <c r="V161" s="311">
        <v>0.29636470671526671</v>
      </c>
      <c r="W161" s="311">
        <v>0.24625970957716081</v>
      </c>
      <c r="X161" s="311">
        <v>0.39250010220688181</v>
      </c>
      <c r="Y161" s="311">
        <v>0.38095897174548554</v>
      </c>
      <c r="Z161" s="311">
        <v>0.29548369634055349</v>
      </c>
      <c r="AA161" s="311">
        <v>0.31686087075777658</v>
      </c>
      <c r="AB161" s="311">
        <v>0.23698982134392332</v>
      </c>
      <c r="AC161" s="311">
        <v>0.25761611635238107</v>
      </c>
      <c r="AD161" s="311">
        <v>0.23333618970051356</v>
      </c>
      <c r="AE161" s="38">
        <f>'User Add-in Location'!B165</f>
        <v>0</v>
      </c>
      <c r="AF161" s="38">
        <f>'User Add-in Location'!C165</f>
        <v>0</v>
      </c>
      <c r="AG161" s="311">
        <v>0.22276691263857284</v>
      </c>
      <c r="AH161" s="311">
        <v>0.32067728545602214</v>
      </c>
      <c r="AI161" s="311">
        <v>0.33104300667744102</v>
      </c>
      <c r="AJ161" s="311">
        <v>0.33688720164627262</v>
      </c>
      <c r="AK161" s="311">
        <v>0.19587826912621187</v>
      </c>
      <c r="AL161" s="311">
        <v>0.33561658047278525</v>
      </c>
      <c r="AM161" s="311">
        <v>0.37286209612819837</v>
      </c>
      <c r="AN161" s="311">
        <v>0.22960439985418488</v>
      </c>
      <c r="AO161" s="311">
        <v>0.29200112464144412</v>
      </c>
      <c r="AP161" s="311">
        <v>0.25129056944854855</v>
      </c>
      <c r="AQ161" s="311">
        <v>0.29712814046063452</v>
      </c>
      <c r="AR161" s="311">
        <v>0.30874748980426558</v>
      </c>
      <c r="AS161" s="311">
        <v>0.29277976724074378</v>
      </c>
      <c r="AT161" s="311">
        <v>0.28158134682609814</v>
      </c>
      <c r="AU161" s="311">
        <v>0.22777085783421508</v>
      </c>
      <c r="AV161" s="311">
        <v>0.28711365650191295</v>
      </c>
      <c r="AW161" s="311">
        <v>0.30332663578351271</v>
      </c>
      <c r="AX161" s="311">
        <v>0.3077210581575951</v>
      </c>
      <c r="AY161" s="311">
        <v>0.27843257414674372</v>
      </c>
      <c r="AZ161" s="311">
        <v>0.20134559342748484</v>
      </c>
      <c r="BA161" s="311">
        <v>0.36632455356276228</v>
      </c>
      <c r="BB161" s="311">
        <v>0.3161127428965167</v>
      </c>
      <c r="BC161" s="311">
        <v>0.24598491336514072</v>
      </c>
      <c r="BD161" s="311">
        <v>0.28079246337169461</v>
      </c>
      <c r="BE161" s="311">
        <v>0.19567187365055327</v>
      </c>
      <c r="BF161" s="38"/>
      <c r="BG161" s="38"/>
    </row>
    <row r="162" spans="3:59" s="248" customFormat="1" ht="17" x14ac:dyDescent="0.25">
      <c r="C162" s="249" t="s">
        <v>611</v>
      </c>
      <c r="D162" s="311">
        <v>0.32709190691374801</v>
      </c>
      <c r="E162" s="311">
        <v>0.24408792075634012</v>
      </c>
      <c r="F162" s="311">
        <v>0.2987400159352559</v>
      </c>
      <c r="G162" s="311">
        <v>0.39363719064793457</v>
      </c>
      <c r="H162" s="311">
        <v>0.35131760095073761</v>
      </c>
      <c r="I162" s="311">
        <v>0.32888045092581397</v>
      </c>
      <c r="J162" s="311">
        <v>0.39199195527975428</v>
      </c>
      <c r="K162" s="311">
        <v>0.31658492097399304</v>
      </c>
      <c r="L162" s="311">
        <v>0</v>
      </c>
      <c r="M162" s="311">
        <v>0.33514268305794059</v>
      </c>
      <c r="N162" s="311">
        <v>0.3500422051472144</v>
      </c>
      <c r="O162" s="311">
        <v>0.34149648961053308</v>
      </c>
      <c r="P162" s="311">
        <v>0.27098697893971158</v>
      </c>
      <c r="Q162" s="311">
        <v>0.36039422421595108</v>
      </c>
      <c r="R162" s="311">
        <v>0.35834118606369303</v>
      </c>
      <c r="S162" s="311">
        <v>0.32184778285777649</v>
      </c>
      <c r="T162" s="311">
        <v>0.34615147737892216</v>
      </c>
      <c r="U162" s="311">
        <v>0.34244551827764569</v>
      </c>
      <c r="V162" s="311">
        <v>0.35909029769654011</v>
      </c>
      <c r="W162" s="311">
        <v>0.35263796378917051</v>
      </c>
      <c r="X162" s="311">
        <v>0.35354415667094719</v>
      </c>
      <c r="Y162" s="311">
        <v>0.42788892794674571</v>
      </c>
      <c r="Z162" s="311">
        <v>0.35740244055330939</v>
      </c>
      <c r="AA162" s="311">
        <v>0.36890016915774643</v>
      </c>
      <c r="AB162" s="311">
        <v>0.28774370392011861</v>
      </c>
      <c r="AC162" s="311">
        <v>0.3402201389885689</v>
      </c>
      <c r="AD162" s="311">
        <v>0.26663313425477059</v>
      </c>
      <c r="AE162" s="38">
        <f>'User Add-in Location'!B166</f>
        <v>0</v>
      </c>
      <c r="AF162" s="38">
        <f>'User Add-in Location'!C166</f>
        <v>0</v>
      </c>
      <c r="AG162" s="311">
        <v>0.33641227573927263</v>
      </c>
      <c r="AH162" s="311">
        <v>0.36901504091877796</v>
      </c>
      <c r="AI162" s="311">
        <v>0.3661377028486138</v>
      </c>
      <c r="AJ162" s="311">
        <v>0.37998740395251013</v>
      </c>
      <c r="AK162" s="311">
        <v>0.2443744342458414</v>
      </c>
      <c r="AL162" s="311">
        <v>0.373520120880655</v>
      </c>
      <c r="AM162" s="311">
        <v>0.32955819469314962</v>
      </c>
      <c r="AN162" s="311">
        <v>0.32288720500957413</v>
      </c>
      <c r="AO162" s="311">
        <v>0.35805131736578488</v>
      </c>
      <c r="AP162" s="311">
        <v>0.38700755119958874</v>
      </c>
      <c r="AQ162" s="311">
        <v>0.33968101134851258</v>
      </c>
      <c r="AR162" s="311">
        <v>0.34775326029669007</v>
      </c>
      <c r="AS162" s="311">
        <v>0.26422135662851126</v>
      </c>
      <c r="AT162" s="311">
        <v>0.44818789856760455</v>
      </c>
      <c r="AU162" s="311">
        <v>0.32988836687229306</v>
      </c>
      <c r="AV162" s="311">
        <v>0.35477619530951421</v>
      </c>
      <c r="AW162" s="311">
        <v>0.36230167204016756</v>
      </c>
      <c r="AX162" s="311">
        <v>0.35850698335062686</v>
      </c>
      <c r="AY162" s="311">
        <v>0.32594421440820931</v>
      </c>
      <c r="AZ162" s="311">
        <v>0.32348688876348158</v>
      </c>
      <c r="BA162" s="311">
        <v>0.42626060991268588</v>
      </c>
      <c r="BB162" s="311">
        <v>0.3872341028846451</v>
      </c>
      <c r="BC162" s="311">
        <v>0.27730351961687921</v>
      </c>
      <c r="BD162" s="311">
        <v>0.34952501386327961</v>
      </c>
      <c r="BE162" s="311">
        <v>0.31711654447556031</v>
      </c>
      <c r="BF162" s="38"/>
      <c r="BG162" s="38"/>
    </row>
    <row r="163" spans="3:59" s="248" customFormat="1" ht="17" x14ac:dyDescent="0.25">
      <c r="C163" s="249" t="s">
        <v>151</v>
      </c>
      <c r="D163" s="311">
        <v>0.19920983673923309</v>
      </c>
      <c r="E163" s="311">
        <v>0.32365884428593772</v>
      </c>
      <c r="F163" s="311">
        <v>0.31150751578194447</v>
      </c>
      <c r="G163" s="311">
        <v>0.24997184579083709</v>
      </c>
      <c r="H163" s="311">
        <v>0.36433417038099908</v>
      </c>
      <c r="I163" s="311">
        <v>0.24490602150372759</v>
      </c>
      <c r="J163" s="311">
        <v>0.32383771693156738</v>
      </c>
      <c r="K163" s="311">
        <v>0.37638547280917523</v>
      </c>
      <c r="L163" s="311">
        <v>0.19903506518745964</v>
      </c>
      <c r="M163" s="311">
        <v>0.23622021668654647</v>
      </c>
      <c r="N163" s="311">
        <v>0.31876742904495209</v>
      </c>
      <c r="O163" s="311">
        <v>6.781755810571527E-2</v>
      </c>
      <c r="P163" s="311">
        <v>0.20453276479008989</v>
      </c>
      <c r="Q163" s="311">
        <v>0.37347403053889416</v>
      </c>
      <c r="R163" s="311">
        <v>0.2363568359142843</v>
      </c>
      <c r="S163" s="311">
        <v>0.33764551081432953</v>
      </c>
      <c r="T163" s="311">
        <v>0.26506531294289981</v>
      </c>
      <c r="U163" s="311">
        <v>0.23918740595873356</v>
      </c>
      <c r="V163" s="311">
        <v>0.29513560491165736</v>
      </c>
      <c r="W163" s="311">
        <v>0.23029665461620083</v>
      </c>
      <c r="X163" s="311">
        <v>0.1701901767968344</v>
      </c>
      <c r="Y163" s="311">
        <v>0.34042863462358947</v>
      </c>
      <c r="Z163" s="311">
        <v>0.33065934467346914</v>
      </c>
      <c r="AA163" s="311">
        <v>0.31672017327433566</v>
      </c>
      <c r="AB163" s="311">
        <v>0.17830123062471659</v>
      </c>
      <c r="AC163" s="311">
        <v>0.17424467778416142</v>
      </c>
      <c r="AD163" s="311">
        <v>0.1149735837811077</v>
      </c>
      <c r="AE163" s="38">
        <f>'User Add-in Location'!B167</f>
        <v>0</v>
      </c>
      <c r="AF163" s="38">
        <f>'User Add-in Location'!C167</f>
        <v>0</v>
      </c>
      <c r="AG163" s="311">
        <v>0.31142772813856079</v>
      </c>
      <c r="AH163" s="311">
        <v>0.27298479882102167</v>
      </c>
      <c r="AI163" s="311">
        <v>0.36555423191955549</v>
      </c>
      <c r="AJ163" s="311">
        <v>0.32846147584218865</v>
      </c>
      <c r="AK163" s="311">
        <v>0.18165529472883474</v>
      </c>
      <c r="AL163" s="311">
        <v>0.33703159756261714</v>
      </c>
      <c r="AM163" s="311">
        <v>0.34273097930168073</v>
      </c>
      <c r="AN163" s="311">
        <v>0.39312182336985191</v>
      </c>
      <c r="AO163" s="311">
        <v>0.30580269088999712</v>
      </c>
      <c r="AP163" s="311">
        <v>0.2904898734002973</v>
      </c>
      <c r="AQ163" s="311">
        <v>0.31253407142163137</v>
      </c>
      <c r="AR163" s="311">
        <v>0.29295125972737251</v>
      </c>
      <c r="AS163" s="311">
        <v>0.35627023510290201</v>
      </c>
      <c r="AT163" s="311">
        <v>0.27904120116792441</v>
      </c>
      <c r="AU163" s="311">
        <v>0.24258680680579836</v>
      </c>
      <c r="AV163" s="311">
        <v>0.27288504223514798</v>
      </c>
      <c r="AW163" s="311">
        <v>0.3708130442698081</v>
      </c>
      <c r="AX163" s="311">
        <v>0.29997835923841104</v>
      </c>
      <c r="AY163" s="311">
        <v>0.18276332809152285</v>
      </c>
      <c r="AZ163" s="311">
        <v>0.32827433774248682</v>
      </c>
      <c r="BA163" s="311">
        <v>0.3067122182076944</v>
      </c>
      <c r="BB163" s="311">
        <v>0.30050045318506735</v>
      </c>
      <c r="BC163" s="311">
        <v>0.30037111228511681</v>
      </c>
      <c r="BD163" s="311">
        <v>0.25173889593895449</v>
      </c>
      <c r="BE163" s="311">
        <v>0.15279013239634087</v>
      </c>
      <c r="BF163" s="38"/>
      <c r="BG163" s="38"/>
    </row>
    <row r="164" spans="3:59" s="248" customFormat="1" ht="17" x14ac:dyDescent="0.25">
      <c r="C164" s="249" t="s">
        <v>612</v>
      </c>
      <c r="D164" s="311">
        <v>0.33322552527620197</v>
      </c>
      <c r="E164" s="311">
        <v>0</v>
      </c>
      <c r="F164" s="311">
        <v>0.44189630547975078</v>
      </c>
      <c r="G164" s="311">
        <v>0.36512089293781241</v>
      </c>
      <c r="H164" s="311">
        <v>0.5205798634406148</v>
      </c>
      <c r="I164" s="311">
        <v>0.3279175501318381</v>
      </c>
      <c r="J164" s="311">
        <v>0.39128155640038065</v>
      </c>
      <c r="K164" s="311">
        <v>0.40911428663493316</v>
      </c>
      <c r="L164" s="311">
        <v>0.32418642635395506</v>
      </c>
      <c r="M164" s="311">
        <v>0.39808991588909148</v>
      </c>
      <c r="N164" s="311">
        <v>0.34231172784660907</v>
      </c>
      <c r="O164" s="311">
        <v>0.20687965741175954</v>
      </c>
      <c r="P164" s="311">
        <v>0.34736923625107763</v>
      </c>
      <c r="Q164" s="311">
        <v>0.38844449348444743</v>
      </c>
      <c r="R164" s="311">
        <v>0.43818428966188738</v>
      </c>
      <c r="S164" s="311">
        <v>0.35691926907278548</v>
      </c>
      <c r="T164" s="311">
        <v>0.31797604864597495</v>
      </c>
      <c r="U164" s="311">
        <v>0.3280239071783827</v>
      </c>
      <c r="V164" s="311">
        <v>0.33691117622177197</v>
      </c>
      <c r="W164" s="311">
        <v>0.43374216476986716</v>
      </c>
      <c r="X164" s="311">
        <v>0.40648323515781792</v>
      </c>
      <c r="Y164" s="311">
        <v>0.4098072369764314</v>
      </c>
      <c r="Z164" s="311">
        <v>0.29331152873981725</v>
      </c>
      <c r="AA164" s="311">
        <v>0.31452698332604578</v>
      </c>
      <c r="AB164" s="311">
        <v>0.22816705286254935</v>
      </c>
      <c r="AC164" s="311">
        <v>0.5217826766298459</v>
      </c>
      <c r="AD164" s="311">
        <v>0.25429257456125393</v>
      </c>
      <c r="AE164" s="38">
        <f>'User Add-in Location'!B168</f>
        <v>0</v>
      </c>
      <c r="AF164" s="38">
        <f>'User Add-in Location'!C168</f>
        <v>0</v>
      </c>
      <c r="AG164" s="311">
        <v>0.3683943696193312</v>
      </c>
      <c r="AH164" s="311">
        <v>0.32408787278690177</v>
      </c>
      <c r="AI164" s="311">
        <v>0.35739643446710889</v>
      </c>
      <c r="AJ164" s="311">
        <v>0.39371006488494592</v>
      </c>
      <c r="AK164" s="311">
        <v>0.41262500784642964</v>
      </c>
      <c r="AL164" s="311">
        <v>0.35775928602388496</v>
      </c>
      <c r="AM164" s="311">
        <v>0.42527364580101451</v>
      </c>
      <c r="AN164" s="311">
        <v>0.29014108425739593</v>
      </c>
      <c r="AO164" s="311">
        <v>0.30882649386368144</v>
      </c>
      <c r="AP164" s="311">
        <v>0.31202929219445419</v>
      </c>
      <c r="AQ164" s="311">
        <v>0.68899255693830685</v>
      </c>
      <c r="AR164" s="311">
        <v>0.40598690983418539</v>
      </c>
      <c r="AS164" s="311">
        <v>0.33466974947382422</v>
      </c>
      <c r="AT164" s="311">
        <v>0.5310249038574183</v>
      </c>
      <c r="AU164" s="311">
        <v>0.26810537779316324</v>
      </c>
      <c r="AV164" s="311">
        <v>0.37855888158177164</v>
      </c>
      <c r="AW164" s="311">
        <v>0.47731920608282086</v>
      </c>
      <c r="AX164" s="311">
        <v>0.48433590989992925</v>
      </c>
      <c r="AY164" s="311">
        <v>0.33340310324242284</v>
      </c>
      <c r="AZ164" s="311">
        <v>0.27227587488207416</v>
      </c>
      <c r="BA164" s="311">
        <v>0.35059123788747848</v>
      </c>
      <c r="BB164" s="311">
        <v>0.34840713422221364</v>
      </c>
      <c r="BC164" s="311">
        <v>0.21740470133699624</v>
      </c>
      <c r="BD164" s="311">
        <v>0.28937571438013199</v>
      </c>
      <c r="BE164" s="311">
        <v>0</v>
      </c>
      <c r="BF164" s="38"/>
      <c r="BG164" s="38"/>
    </row>
    <row r="165" spans="3:59" s="248" customFormat="1" ht="17" x14ac:dyDescent="0.25">
      <c r="C165" s="249" t="s">
        <v>153</v>
      </c>
      <c r="D165" s="311">
        <v>0.3474204189149358</v>
      </c>
      <c r="E165" s="311">
        <v>0.59893430136113424</v>
      </c>
      <c r="F165" s="311">
        <v>0.4469431076819349</v>
      </c>
      <c r="G165" s="311">
        <v>0.40747158939898115</v>
      </c>
      <c r="H165" s="311">
        <v>0.48175051239317335</v>
      </c>
      <c r="I165" s="311">
        <v>0.49273603867645066</v>
      </c>
      <c r="J165" s="311">
        <v>0.51396169013488913</v>
      </c>
      <c r="K165" s="311">
        <v>0.3961771665983832</v>
      </c>
      <c r="L165" s="311">
        <v>0.45505628487816779</v>
      </c>
      <c r="M165" s="311">
        <v>0.45261567529435331</v>
      </c>
      <c r="N165" s="311">
        <v>0.43825487689598486</v>
      </c>
      <c r="O165" s="311">
        <v>0.41831441296727923</v>
      </c>
      <c r="P165" s="311">
        <v>0.40138920076443418</v>
      </c>
      <c r="Q165" s="311">
        <v>0.46072164571665392</v>
      </c>
      <c r="R165" s="311">
        <v>0.40053176379797961</v>
      </c>
      <c r="S165" s="311">
        <v>0.42000250233694697</v>
      </c>
      <c r="T165" s="311">
        <v>0.44515912769663368</v>
      </c>
      <c r="U165" s="311">
        <v>0.37683306303118952</v>
      </c>
      <c r="V165" s="311">
        <v>0.38119875936529612</v>
      </c>
      <c r="W165" s="311">
        <v>0.44887272688394231</v>
      </c>
      <c r="X165" s="311">
        <v>0.44782389451603188</v>
      </c>
      <c r="Y165" s="311">
        <v>0.4487730655405332</v>
      </c>
      <c r="Z165" s="311">
        <v>0.40013626628777627</v>
      </c>
      <c r="AA165" s="311">
        <v>0.42675683262623754</v>
      </c>
      <c r="AB165" s="311">
        <v>0.37144479908609224</v>
      </c>
      <c r="AC165" s="311">
        <v>0.44663207438127894</v>
      </c>
      <c r="AD165" s="311">
        <v>0.41647278940040622</v>
      </c>
      <c r="AE165" s="38">
        <f>'User Add-in Location'!B169</f>
        <v>0</v>
      </c>
      <c r="AF165" s="38">
        <f>'User Add-in Location'!C169</f>
        <v>0</v>
      </c>
      <c r="AG165" s="311">
        <v>0.57667604784178783</v>
      </c>
      <c r="AH165" s="311">
        <v>0.52464362783476837</v>
      </c>
      <c r="AI165" s="311">
        <v>0.43383378308472975</v>
      </c>
      <c r="AJ165" s="311">
        <v>0.51926242216351925</v>
      </c>
      <c r="AK165" s="311">
        <v>0.40437409060866103</v>
      </c>
      <c r="AL165" s="311">
        <v>0.43394113056607903</v>
      </c>
      <c r="AM165" s="311">
        <v>0.4442341809571741</v>
      </c>
      <c r="AN165" s="311">
        <v>0.43892916983900498</v>
      </c>
      <c r="AO165" s="311">
        <v>0.45841624292203614</v>
      </c>
      <c r="AP165" s="311">
        <v>0.48564622658868639</v>
      </c>
      <c r="AQ165" s="311">
        <v>0.46872129721379452</v>
      </c>
      <c r="AR165" s="311">
        <v>0.45713671365947345</v>
      </c>
      <c r="AS165" s="311">
        <v>0.44711320470918542</v>
      </c>
      <c r="AT165" s="311">
        <v>0.39568983159397669</v>
      </c>
      <c r="AU165" s="311">
        <v>0.40764466311377462</v>
      </c>
      <c r="AV165" s="311">
        <v>0.37408485211016634</v>
      </c>
      <c r="AW165" s="311">
        <v>0.48103329970472158</v>
      </c>
      <c r="AX165" s="311">
        <v>0.4506048085990394</v>
      </c>
      <c r="AY165" s="311">
        <v>0.4403221409459358</v>
      </c>
      <c r="AZ165" s="311">
        <v>0.37170414780563155</v>
      </c>
      <c r="BA165" s="311">
        <v>0.45244995399682997</v>
      </c>
      <c r="BB165" s="311">
        <v>0.45934018941627996</v>
      </c>
      <c r="BC165" s="311">
        <v>0.38978197117004709</v>
      </c>
      <c r="BD165" s="311">
        <v>0.44061224072282129</v>
      </c>
      <c r="BE165" s="311">
        <v>0.48496460981767131</v>
      </c>
      <c r="BF165" s="38"/>
      <c r="BG165" s="38"/>
    </row>
    <row r="166" spans="3:59" s="248" customFormat="1" ht="17" x14ac:dyDescent="0.25">
      <c r="C166" s="249" t="s">
        <v>613</v>
      </c>
      <c r="D166" s="311">
        <v>0.62155747106179293</v>
      </c>
      <c r="E166" s="311">
        <v>0.66150872988447429</v>
      </c>
      <c r="F166" s="311">
        <v>0.65359119301699942</v>
      </c>
      <c r="G166" s="311">
        <v>0.67009602311023653</v>
      </c>
      <c r="H166" s="311">
        <v>0.67521682977311226</v>
      </c>
      <c r="I166" s="311">
        <v>0.64655128460304589</v>
      </c>
      <c r="J166" s="311">
        <v>0.73474284017852698</v>
      </c>
      <c r="K166" s="311">
        <v>0.6703989828236423</v>
      </c>
      <c r="L166" s="311">
        <v>0.69703035618220655</v>
      </c>
      <c r="M166" s="311">
        <v>0.65495383561922083</v>
      </c>
      <c r="N166" s="311">
        <v>0.66902919843788278</v>
      </c>
      <c r="O166" s="311">
        <v>0.57636036768328969</v>
      </c>
      <c r="P166" s="311">
        <v>0.60326280421539513</v>
      </c>
      <c r="Q166" s="311">
        <v>0.69274512801962285</v>
      </c>
      <c r="R166" s="311">
        <v>0.64265087908395357</v>
      </c>
      <c r="S166" s="311">
        <v>0.62941910942761181</v>
      </c>
      <c r="T166" s="311">
        <v>0.65234394104202154</v>
      </c>
      <c r="U166" s="311">
        <v>0.65794428368109048</v>
      </c>
      <c r="V166" s="311">
        <v>0.6447987713083797</v>
      </c>
      <c r="W166" s="311">
        <v>0.6307657820703626</v>
      </c>
      <c r="X166" s="311">
        <v>0.66595908869071574</v>
      </c>
      <c r="Y166" s="311">
        <v>0.69224104729988334</v>
      </c>
      <c r="Z166" s="311">
        <v>0.66555408819856932</v>
      </c>
      <c r="AA166" s="311">
        <v>0.65308388501360359</v>
      </c>
      <c r="AB166" s="311">
        <v>0.62107923766586937</v>
      </c>
      <c r="AC166" s="311">
        <v>0.64722399802769126</v>
      </c>
      <c r="AD166" s="311">
        <v>0.60727224146209391</v>
      </c>
      <c r="AE166" s="38">
        <f>'User Add-in Location'!B170</f>
        <v>0</v>
      </c>
      <c r="AF166" s="38">
        <f>'User Add-in Location'!C170</f>
        <v>0</v>
      </c>
      <c r="AG166" s="311">
        <v>0.66943104183749924</v>
      </c>
      <c r="AH166" s="311">
        <v>0.63902540621166781</v>
      </c>
      <c r="AI166" s="311">
        <v>0.65967747676055877</v>
      </c>
      <c r="AJ166" s="311">
        <v>0.69816204841772334</v>
      </c>
      <c r="AK166" s="311">
        <v>0.56766939761201884</v>
      </c>
      <c r="AL166" s="311">
        <v>0.68262153057920116</v>
      </c>
      <c r="AM166" s="311">
        <v>0.64080730040562517</v>
      </c>
      <c r="AN166" s="311">
        <v>0.66548357004986713</v>
      </c>
      <c r="AO166" s="311">
        <v>0.64004342232790279</v>
      </c>
      <c r="AP166" s="311">
        <v>0.65035913954207369</v>
      </c>
      <c r="AQ166" s="311">
        <v>0.62798183433292876</v>
      </c>
      <c r="AR166" s="311">
        <v>0.67119828968163842</v>
      </c>
      <c r="AS166" s="311">
        <v>0.67788792165992118</v>
      </c>
      <c r="AT166" s="311">
        <v>0.64094150974063369</v>
      </c>
      <c r="AU166" s="311">
        <v>0.65097403874352255</v>
      </c>
      <c r="AV166" s="311">
        <v>0.67128376550884439</v>
      </c>
      <c r="AW166" s="311">
        <v>0.70575496155050077</v>
      </c>
      <c r="AX166" s="311">
        <v>0.66862582637517576</v>
      </c>
      <c r="AY166" s="311">
        <v>0.61709422368331546</v>
      </c>
      <c r="AZ166" s="311">
        <v>0.63785920753905745</v>
      </c>
      <c r="BA166" s="311">
        <v>0.66471274528127866</v>
      </c>
      <c r="BB166" s="311">
        <v>0.67764291684495315</v>
      </c>
      <c r="BC166" s="311">
        <v>0.63102033328313878</v>
      </c>
      <c r="BD166" s="311">
        <v>0.62330315949949755</v>
      </c>
      <c r="BE166" s="311">
        <v>0.65582860197252568</v>
      </c>
      <c r="BF166" s="38"/>
      <c r="BG166" s="38"/>
    </row>
    <row r="167" spans="3:59" s="248" customFormat="1" ht="17" x14ac:dyDescent="0.25">
      <c r="C167" s="249" t="s">
        <v>614</v>
      </c>
      <c r="D167" s="311">
        <v>0.63500641060292673</v>
      </c>
      <c r="E167" s="311">
        <v>0.62877504217833446</v>
      </c>
      <c r="F167" s="311">
        <v>0.65741115014803175</v>
      </c>
      <c r="G167" s="311">
        <v>0.62816534903574206</v>
      </c>
      <c r="H167" s="311">
        <v>0.6936826346024253</v>
      </c>
      <c r="I167" s="311">
        <v>0.63304370739480798</v>
      </c>
      <c r="J167" s="311">
        <v>0.67490706983578908</v>
      </c>
      <c r="K167" s="311">
        <v>0.60917064496270323</v>
      </c>
      <c r="L167" s="311">
        <v>0.6780330855303951</v>
      </c>
      <c r="M167" s="311">
        <v>0.64086670782053456</v>
      </c>
      <c r="N167" s="311">
        <v>0.63112315666948127</v>
      </c>
      <c r="O167" s="311">
        <v>0.67612654081959533</v>
      </c>
      <c r="P167" s="311">
        <v>0.63182071084850899</v>
      </c>
      <c r="Q167" s="311">
        <v>0.64460419381354228</v>
      </c>
      <c r="R167" s="311">
        <v>0.61820294282767163</v>
      </c>
      <c r="S167" s="311">
        <v>0.58627900788537868</v>
      </c>
      <c r="T167" s="311">
        <v>0.63112802657486333</v>
      </c>
      <c r="U167" s="311">
        <v>0.6043456096494062</v>
      </c>
      <c r="V167" s="311">
        <v>0.64498765141459569</v>
      </c>
      <c r="W167" s="311">
        <v>0.62120775721903798</v>
      </c>
      <c r="X167" s="311">
        <v>0.6493168140771155</v>
      </c>
      <c r="Y167" s="311">
        <v>0.63859884879723094</v>
      </c>
      <c r="Z167" s="311">
        <v>0.6473098670087879</v>
      </c>
      <c r="AA167" s="311">
        <v>0.62424794066122113</v>
      </c>
      <c r="AB167" s="311">
        <v>0.63456156283074228</v>
      </c>
      <c r="AC167" s="311">
        <v>0.61722591038132024</v>
      </c>
      <c r="AD167" s="311">
        <v>0.57070454780741608</v>
      </c>
      <c r="AE167" s="38">
        <f>'User Add-in Location'!B171</f>
        <v>0</v>
      </c>
      <c r="AF167" s="38">
        <f>'User Add-in Location'!C171</f>
        <v>0</v>
      </c>
      <c r="AG167" s="311">
        <v>0.5990888551803748</v>
      </c>
      <c r="AH167" s="311">
        <v>0.67230800504027344</v>
      </c>
      <c r="AI167" s="311">
        <v>0.61645720043372187</v>
      </c>
      <c r="AJ167" s="311">
        <v>0.66891940702939912</v>
      </c>
      <c r="AK167" s="311">
        <v>0.62399621671162686</v>
      </c>
      <c r="AL167" s="311">
        <v>0.68009111890378504</v>
      </c>
      <c r="AM167" s="311">
        <v>0.60374464041691178</v>
      </c>
      <c r="AN167" s="311">
        <v>0.62622664457587307</v>
      </c>
      <c r="AO167" s="311">
        <v>0.63643640452183803</v>
      </c>
      <c r="AP167" s="311">
        <v>0.61460961265527136</v>
      </c>
      <c r="AQ167" s="311">
        <v>0.59521716600645647</v>
      </c>
      <c r="AR167" s="311">
        <v>0.61141848376422381</v>
      </c>
      <c r="AS167" s="311">
        <v>0.65001708463378094</v>
      </c>
      <c r="AT167" s="311">
        <v>0.62727444383435826</v>
      </c>
      <c r="AU167" s="311">
        <v>0.63103621035739343</v>
      </c>
      <c r="AV167" s="311">
        <v>0.64488109915640668</v>
      </c>
      <c r="AW167" s="311">
        <v>0.66034000495004674</v>
      </c>
      <c r="AX167" s="311">
        <v>0.64982529498602426</v>
      </c>
      <c r="AY167" s="311">
        <v>0.62338217141590502</v>
      </c>
      <c r="AZ167" s="311">
        <v>0.62513656990004729</v>
      </c>
      <c r="BA167" s="311">
        <v>0.63362672845284052</v>
      </c>
      <c r="BB167" s="311">
        <v>0.75280169200000591</v>
      </c>
      <c r="BC167" s="311">
        <v>0.61487217280673545</v>
      </c>
      <c r="BD167" s="311">
        <v>0.60276208606807546</v>
      </c>
      <c r="BE167" s="311">
        <v>0.64102194108834887</v>
      </c>
      <c r="BF167" s="38"/>
      <c r="BG167" s="38"/>
    </row>
    <row r="168" spans="3:59" s="248" customFormat="1" ht="17" x14ac:dyDescent="0.25">
      <c r="C168" s="249" t="s">
        <v>154</v>
      </c>
      <c r="D168" s="311">
        <v>0.55514274609024783</v>
      </c>
      <c r="E168" s="311">
        <v>0.63717460343260635</v>
      </c>
      <c r="F168" s="311">
        <v>0.55340736967988113</v>
      </c>
      <c r="G168" s="311">
        <v>0.56217373287919037</v>
      </c>
      <c r="H168" s="311">
        <v>0.67337186089194057</v>
      </c>
      <c r="I168" s="311">
        <v>0.54777729579468437</v>
      </c>
      <c r="J168" s="311">
        <v>0.62735165886541444</v>
      </c>
      <c r="K168" s="311">
        <v>0.76791203032018152</v>
      </c>
      <c r="L168" s="311">
        <v>0.718539682187325</v>
      </c>
      <c r="M168" s="311">
        <v>0.53785952998846098</v>
      </c>
      <c r="N168" s="311">
        <v>0.62621599890668345</v>
      </c>
      <c r="O168" s="311">
        <v>0.6661355494936323</v>
      </c>
      <c r="P168" s="311">
        <v>0.52601556747016243</v>
      </c>
      <c r="Q168" s="311">
        <v>0.64286760575727286</v>
      </c>
      <c r="R168" s="311">
        <v>0.60787472465032166</v>
      </c>
      <c r="S168" s="311">
        <v>0.61940295459282213</v>
      </c>
      <c r="T168" s="311">
        <v>0.59559731868585963</v>
      </c>
      <c r="U168" s="311">
        <v>0.55910053191973419</v>
      </c>
      <c r="V168" s="311">
        <v>0.54096070111571504</v>
      </c>
      <c r="W168" s="311">
        <v>0.59134008845057751</v>
      </c>
      <c r="X168" s="311">
        <v>0.64550484890222548</v>
      </c>
      <c r="Y168" s="311">
        <v>0.65588758422790039</v>
      </c>
      <c r="Z168" s="311">
        <v>0.57962793684280678</v>
      </c>
      <c r="AA168" s="311">
        <v>0.55414632256383944</v>
      </c>
      <c r="AB168" s="311">
        <v>0.54148147546779679</v>
      </c>
      <c r="AC168" s="311">
        <v>0.57894077466535654</v>
      </c>
      <c r="AD168" s="311">
        <v>0.5506540506947708</v>
      </c>
      <c r="AE168" s="38">
        <f>'User Add-in Location'!B172</f>
        <v>0</v>
      </c>
      <c r="AF168" s="38">
        <f>'User Add-in Location'!C172</f>
        <v>0</v>
      </c>
      <c r="AG168" s="311">
        <v>0.58536027350907105</v>
      </c>
      <c r="AH168" s="311">
        <v>0.53375722713841522</v>
      </c>
      <c r="AI168" s="311">
        <v>0.63278194897034745</v>
      </c>
      <c r="AJ168" s="311">
        <v>0.61618774079425842</v>
      </c>
      <c r="AK168" s="311">
        <v>0.59323186972414255</v>
      </c>
      <c r="AL168" s="311">
        <v>0.74017401472887212</v>
      </c>
      <c r="AM168" s="311">
        <v>0.6356423077496125</v>
      </c>
      <c r="AN168" s="311">
        <v>0.54921948858428127</v>
      </c>
      <c r="AO168" s="311">
        <v>0.6209959066140921</v>
      </c>
      <c r="AP168" s="311">
        <v>0.50889129404436773</v>
      </c>
      <c r="AQ168" s="311">
        <v>0.61157199659079475</v>
      </c>
      <c r="AR168" s="311">
        <v>0.59141649999720647</v>
      </c>
      <c r="AS168" s="311">
        <v>0.635160171925235</v>
      </c>
      <c r="AT168" s="311">
        <v>0.54954486254325396</v>
      </c>
      <c r="AU168" s="311">
        <v>0.63469491382665322</v>
      </c>
      <c r="AV168" s="311">
        <v>0.58395464287201793</v>
      </c>
      <c r="AW168" s="311">
        <v>0.53433220485352606</v>
      </c>
      <c r="AX168" s="311">
        <v>0.6217257540063903</v>
      </c>
      <c r="AY168" s="311">
        <v>0.56818393877622864</v>
      </c>
      <c r="AZ168" s="311">
        <v>0.62581824457180846</v>
      </c>
      <c r="BA168" s="311">
        <v>0.6318291459355867</v>
      </c>
      <c r="BB168" s="311">
        <v>0.63451838313671538</v>
      </c>
      <c r="BC168" s="311">
        <v>0.59905833210592851</v>
      </c>
      <c r="BD168" s="311">
        <v>0.60014339422977581</v>
      </c>
      <c r="BE168" s="311">
        <v>0.52362374261964506</v>
      </c>
      <c r="BF168" s="38"/>
      <c r="BG168" s="38"/>
    </row>
    <row r="169" spans="3:59" s="248" customFormat="1" ht="17" x14ac:dyDescent="0.25">
      <c r="C169" s="249" t="s">
        <v>615</v>
      </c>
      <c r="D169" s="311">
        <v>0.55580455166676079</v>
      </c>
      <c r="E169" s="311">
        <v>0.58696221971352847</v>
      </c>
      <c r="F169" s="311">
        <v>0.56815499608953912</v>
      </c>
      <c r="G169" s="311">
        <v>0.56291951761378911</v>
      </c>
      <c r="H169" s="311">
        <v>0.63906491112493957</v>
      </c>
      <c r="I169" s="311">
        <v>0.587592071243078</v>
      </c>
      <c r="J169" s="311">
        <v>0.63694287843070552</v>
      </c>
      <c r="K169" s="311">
        <v>0.64093633038519993</v>
      </c>
      <c r="L169" s="311">
        <v>0.67751810327072526</v>
      </c>
      <c r="M169" s="311">
        <v>0.58640668307244814</v>
      </c>
      <c r="N169" s="311">
        <v>0.58089015618590745</v>
      </c>
      <c r="O169" s="311">
        <v>0.6011644251626348</v>
      </c>
      <c r="P169" s="311">
        <v>0.53596998125970841</v>
      </c>
      <c r="Q169" s="311">
        <v>0.60970700749006435</v>
      </c>
      <c r="R169" s="311">
        <v>0.57521222847303921</v>
      </c>
      <c r="S169" s="311">
        <v>0.56388629047635819</v>
      </c>
      <c r="T169" s="311">
        <v>0.57036384711838939</v>
      </c>
      <c r="U169" s="311">
        <v>0.56166181328336884</v>
      </c>
      <c r="V169" s="311">
        <v>0.57508689544150504</v>
      </c>
      <c r="W169" s="311">
        <v>0.56278422057017607</v>
      </c>
      <c r="X169" s="311">
        <v>0.61391495627011494</v>
      </c>
      <c r="Y169" s="311">
        <v>0.63623643657729778</v>
      </c>
      <c r="Z169" s="311">
        <v>0.58487227769910377</v>
      </c>
      <c r="AA169" s="311">
        <v>0.60459918042018224</v>
      </c>
      <c r="AB169" s="311">
        <v>0.52041562480341785</v>
      </c>
      <c r="AC169" s="311">
        <v>0.56680853836215794</v>
      </c>
      <c r="AD169" s="311">
        <v>0.5358136294229191</v>
      </c>
      <c r="AE169" s="38">
        <f>'User Add-in Location'!B173</f>
        <v>0</v>
      </c>
      <c r="AF169" s="38">
        <f>'User Add-in Location'!C173</f>
        <v>0</v>
      </c>
      <c r="AG169" s="311">
        <v>0.55888733878622243</v>
      </c>
      <c r="AH169" s="311">
        <v>0.6312447228635496</v>
      </c>
      <c r="AI169" s="311">
        <v>0.61655965730895379</v>
      </c>
      <c r="AJ169" s="311">
        <v>0.63386919662410279</v>
      </c>
      <c r="AK169" s="311">
        <v>0.52018031593815528</v>
      </c>
      <c r="AL169" s="311">
        <v>0.65039796285186835</v>
      </c>
      <c r="AM169" s="311">
        <v>0.56962746452970303</v>
      </c>
      <c r="AN169" s="311">
        <v>0.5838147539077162</v>
      </c>
      <c r="AO169" s="311">
        <v>0.58771347635495386</v>
      </c>
      <c r="AP169" s="311">
        <v>0.55736502779930741</v>
      </c>
      <c r="AQ169" s="311">
        <v>0.59415934619733402</v>
      </c>
      <c r="AR169" s="311">
        <v>0.6335244953716358</v>
      </c>
      <c r="AS169" s="311">
        <v>0.60126855869747875</v>
      </c>
      <c r="AT169" s="311">
        <v>0.5489707602305911</v>
      </c>
      <c r="AU169" s="311">
        <v>0.56375021762317601</v>
      </c>
      <c r="AV169" s="311">
        <v>0.58445081847446134</v>
      </c>
      <c r="AW169" s="311">
        <v>0.59404604657379112</v>
      </c>
      <c r="AX169" s="311">
        <v>0.60546806679221765</v>
      </c>
      <c r="AY169" s="311">
        <v>0.56254081759853025</v>
      </c>
      <c r="AZ169" s="311">
        <v>0.56685063252949475</v>
      </c>
      <c r="BA169" s="311">
        <v>0.61837076791763212</v>
      </c>
      <c r="BB169" s="311">
        <v>0.62311695966324077</v>
      </c>
      <c r="BC169" s="311">
        <v>0.55323626641418344</v>
      </c>
      <c r="BD169" s="311">
        <v>0.58162949211562276</v>
      </c>
      <c r="BE169" s="311">
        <v>0.55342242842687506</v>
      </c>
      <c r="BF169" s="38"/>
      <c r="BG169" s="38"/>
    </row>
    <row r="170" spans="3:59" s="248" customFormat="1" ht="17" x14ac:dyDescent="0.25">
      <c r="C170" s="249" t="s">
        <v>616</v>
      </c>
      <c r="D170" s="311">
        <v>0.57864386414724389</v>
      </c>
      <c r="E170" s="311">
        <v>0.57045800902345078</v>
      </c>
      <c r="F170" s="311">
        <v>0.59171503796080016</v>
      </c>
      <c r="G170" s="311">
        <v>0.51566746574149336</v>
      </c>
      <c r="H170" s="311">
        <v>0.67096687080692607</v>
      </c>
      <c r="I170" s="311">
        <v>0.60687601350044473</v>
      </c>
      <c r="J170" s="311">
        <v>0.6466592579416317</v>
      </c>
      <c r="K170" s="311">
        <v>0.67782959065126724</v>
      </c>
      <c r="L170" s="311">
        <v>0.76652513642309761</v>
      </c>
      <c r="M170" s="311">
        <v>0.626705460469825</v>
      </c>
      <c r="N170" s="311">
        <v>0.628665302663867</v>
      </c>
      <c r="O170" s="311">
        <v>0.57005215089781736</v>
      </c>
      <c r="P170" s="311">
        <v>0.53004028824089211</v>
      </c>
      <c r="Q170" s="311">
        <v>0.68283516237776753</v>
      </c>
      <c r="R170" s="311">
        <v>0.6242098800577095</v>
      </c>
      <c r="S170" s="311">
        <v>0.55132593191980406</v>
      </c>
      <c r="T170" s="311">
        <v>0.56788644553928314</v>
      </c>
      <c r="U170" s="311">
        <v>0.55969818276805938</v>
      </c>
      <c r="V170" s="311">
        <v>0.59836375228676009</v>
      </c>
      <c r="W170" s="311">
        <v>0.54791548000474921</v>
      </c>
      <c r="X170" s="311">
        <v>0.62795656889890017</v>
      </c>
      <c r="Y170" s="311">
        <v>0.6629338682192415</v>
      </c>
      <c r="Z170" s="311">
        <v>0.60233613628743587</v>
      </c>
      <c r="AA170" s="311">
        <v>0.63240773406074746</v>
      </c>
      <c r="AB170" s="311">
        <v>0.5261701555039916</v>
      </c>
      <c r="AC170" s="311">
        <v>0.61561853713592396</v>
      </c>
      <c r="AD170" s="311">
        <v>0.5286177859008907</v>
      </c>
      <c r="AE170" s="38">
        <f>'User Add-in Location'!B174</f>
        <v>0</v>
      </c>
      <c r="AF170" s="38">
        <f>'User Add-in Location'!C174</f>
        <v>0</v>
      </c>
      <c r="AG170" s="311">
        <v>0.5755277986334435</v>
      </c>
      <c r="AH170" s="311">
        <v>0.61323046378804658</v>
      </c>
      <c r="AI170" s="311">
        <v>0.61423822982320986</v>
      </c>
      <c r="AJ170" s="311">
        <v>0.67617808080397923</v>
      </c>
      <c r="AK170" s="311">
        <v>0.55446578269897817</v>
      </c>
      <c r="AL170" s="311">
        <v>0.70385873468881599</v>
      </c>
      <c r="AM170" s="311">
        <v>0.61446637986383823</v>
      </c>
      <c r="AN170" s="311">
        <v>0.5519905819283728</v>
      </c>
      <c r="AO170" s="311">
        <v>0.58751684951085581</v>
      </c>
      <c r="AP170" s="311">
        <v>0.57779290197344979</v>
      </c>
      <c r="AQ170" s="311">
        <v>0.62571732089283616</v>
      </c>
      <c r="AR170" s="311">
        <v>0.63601552624376412</v>
      </c>
      <c r="AS170" s="311">
        <v>0.58664088426058614</v>
      </c>
      <c r="AT170" s="311">
        <v>0.5806132083417207</v>
      </c>
      <c r="AU170" s="311">
        <v>0.52675013835187712</v>
      </c>
      <c r="AV170" s="311">
        <v>0.61133381322471658</v>
      </c>
      <c r="AW170" s="311">
        <v>0.64731973991501235</v>
      </c>
      <c r="AX170" s="311">
        <v>0.64130983301307221</v>
      </c>
      <c r="AY170" s="311">
        <v>0.54671681234642722</v>
      </c>
      <c r="AZ170" s="311">
        <v>0.5500725239206814</v>
      </c>
      <c r="BA170" s="311">
        <v>0.6577735981154581</v>
      </c>
      <c r="BB170" s="311">
        <v>0.63222559887161411</v>
      </c>
      <c r="BC170" s="311">
        <v>0.57433320405994281</v>
      </c>
      <c r="BD170" s="311">
        <v>0.57467476688395824</v>
      </c>
      <c r="BE170" s="311">
        <v>0.53802062614039858</v>
      </c>
      <c r="BF170" s="38"/>
      <c r="BG170" s="38"/>
    </row>
    <row r="171" spans="3:59" s="248" customFormat="1" ht="17" x14ac:dyDescent="0.25">
      <c r="C171" s="249" t="s">
        <v>80</v>
      </c>
      <c r="D171" s="311">
        <v>0.89732744457601332</v>
      </c>
      <c r="E171" s="311">
        <v>0.96239135283367039</v>
      </c>
      <c r="F171" s="311">
        <v>0.87039137643763875</v>
      </c>
      <c r="G171" s="311">
        <v>0.91143028401445614</v>
      </c>
      <c r="H171" s="311">
        <v>0.91516277371305743</v>
      </c>
      <c r="I171" s="311">
        <v>0.95201820993561503</v>
      </c>
      <c r="J171" s="311">
        <v>0.87600007605492403</v>
      </c>
      <c r="K171" s="311">
        <v>0.96831791970043668</v>
      </c>
      <c r="L171" s="311">
        <v>0.98930229061370001</v>
      </c>
      <c r="M171" s="311">
        <v>0.92744931544223808</v>
      </c>
      <c r="N171" s="311">
        <v>0.96855103674889365</v>
      </c>
      <c r="O171" s="311">
        <v>0.93806662392874129</v>
      </c>
      <c r="P171" s="311">
        <v>0.89325662152244645</v>
      </c>
      <c r="Q171" s="311">
        <v>0.97405145845130514</v>
      </c>
      <c r="R171" s="311">
        <v>0.93672558192209254</v>
      </c>
      <c r="S171" s="311">
        <v>0.93440690158512729</v>
      </c>
      <c r="T171" s="311">
        <v>0.92233319932415747</v>
      </c>
      <c r="U171" s="311">
        <v>0.90230239922430666</v>
      </c>
      <c r="V171" s="311">
        <v>0.88151779613559267</v>
      </c>
      <c r="W171" s="311">
        <v>0.91293901993409632</v>
      </c>
      <c r="X171" s="311">
        <v>0.98746228484649723</v>
      </c>
      <c r="Y171" s="311">
        <v>0.97326938227785964</v>
      </c>
      <c r="Z171" s="311">
        <v>0.9410289820834371</v>
      </c>
      <c r="AA171" s="311">
        <v>0.88880501103845666</v>
      </c>
      <c r="AB171" s="311">
        <v>0.92103572060853767</v>
      </c>
      <c r="AC171" s="311">
        <v>0.92355745409289303</v>
      </c>
      <c r="AD171" s="311">
        <v>0.90374940403616655</v>
      </c>
      <c r="AE171" s="38">
        <f>'User Add-in Location'!B175</f>
        <v>0</v>
      </c>
      <c r="AF171" s="38">
        <f>'User Add-in Location'!C175</f>
        <v>0</v>
      </c>
      <c r="AG171" s="311">
        <v>0.93517350723629888</v>
      </c>
      <c r="AH171" s="311">
        <v>0.78597680604444531</v>
      </c>
      <c r="AI171" s="311">
        <v>0.92566038609639079</v>
      </c>
      <c r="AJ171" s="311">
        <v>0.93390117675381235</v>
      </c>
      <c r="AK171" s="311">
        <v>0.87616642583505189</v>
      </c>
      <c r="AL171" s="311">
        <v>0.93232147433530355</v>
      </c>
      <c r="AM171" s="311">
        <v>0.95265161163820145</v>
      </c>
      <c r="AN171" s="311">
        <v>0.79629923352751142</v>
      </c>
      <c r="AO171" s="311">
        <v>0.94040752170972886</v>
      </c>
      <c r="AP171" s="311">
        <v>0.79415504555102345</v>
      </c>
      <c r="AQ171" s="311">
        <v>0.90652650805340007</v>
      </c>
      <c r="AR171" s="311">
        <v>0.90241740822081529</v>
      </c>
      <c r="AS171" s="311">
        <v>0.97103579941401197</v>
      </c>
      <c r="AT171" s="311">
        <v>0.93046968268715002</v>
      </c>
      <c r="AU171" s="311">
        <v>0.79790211426079805</v>
      </c>
      <c r="AV171" s="311">
        <v>0.89631627522991253</v>
      </c>
      <c r="AW171" s="311">
        <v>0.92262688769149315</v>
      </c>
      <c r="AX171" s="311">
        <v>0.92347738211907282</v>
      </c>
      <c r="AY171" s="311">
        <v>0.9504389432673308</v>
      </c>
      <c r="AZ171" s="311">
        <v>0.94578245294551944</v>
      </c>
      <c r="BA171" s="311">
        <v>0.93411204166416195</v>
      </c>
      <c r="BB171" s="311">
        <v>0.87288418131234602</v>
      </c>
      <c r="BC171" s="311">
        <v>0.90980947887314911</v>
      </c>
      <c r="BD171" s="311">
        <v>0.91427348047114632</v>
      </c>
      <c r="BE171" s="311">
        <v>0.91771933838432218</v>
      </c>
      <c r="BF171" s="38"/>
      <c r="BG171" s="38"/>
    </row>
    <row r="172" spans="3:59" s="248" customFormat="1" ht="17" x14ac:dyDescent="0.25">
      <c r="C172" s="249"/>
      <c r="D172" s="311"/>
      <c r="E172" s="311"/>
      <c r="F172" s="311"/>
      <c r="G172" s="311"/>
      <c r="H172" s="311"/>
      <c r="I172" s="311"/>
      <c r="J172" s="311"/>
      <c r="K172" s="311"/>
      <c r="L172" s="311"/>
      <c r="M172" s="311"/>
      <c r="N172" s="311"/>
      <c r="O172" s="311"/>
      <c r="P172" s="311"/>
      <c r="Q172" s="311"/>
      <c r="R172" s="311"/>
      <c r="S172" s="311"/>
      <c r="T172" s="311"/>
      <c r="U172" s="311"/>
      <c r="V172" s="311"/>
      <c r="W172" s="311"/>
      <c r="X172" s="311"/>
      <c r="Y172" s="311"/>
      <c r="Z172" s="311"/>
      <c r="AA172" s="311"/>
      <c r="AB172" s="311"/>
      <c r="AC172" s="311"/>
      <c r="AD172" s="311"/>
      <c r="AE172" s="38"/>
      <c r="AF172" s="38"/>
      <c r="AG172" s="311"/>
      <c r="AH172" s="311"/>
      <c r="AI172" s="311"/>
      <c r="AJ172" s="311"/>
      <c r="AK172" s="311"/>
      <c r="AL172" s="311"/>
      <c r="AM172" s="311"/>
      <c r="AN172" s="311"/>
      <c r="AO172" s="311"/>
      <c r="AP172" s="311"/>
      <c r="AQ172" s="311"/>
      <c r="AR172" s="311"/>
      <c r="AS172" s="311"/>
      <c r="AT172" s="311"/>
      <c r="AU172" s="311"/>
      <c r="AV172" s="311"/>
      <c r="AW172" s="311"/>
      <c r="AX172" s="311"/>
      <c r="AY172" s="311"/>
      <c r="AZ172" s="311"/>
      <c r="BA172" s="311"/>
      <c r="BB172" s="311"/>
      <c r="BC172" s="311"/>
      <c r="BD172" s="311"/>
      <c r="BE172" s="311"/>
      <c r="BF172" s="38"/>
      <c r="BG172" s="38"/>
    </row>
    <row r="173" spans="3:59" s="248" customFormat="1" ht="17" x14ac:dyDescent="0.25">
      <c r="C173" s="250" t="s">
        <v>609</v>
      </c>
      <c r="D173" s="311"/>
      <c r="E173" s="311"/>
      <c r="F173" s="311"/>
      <c r="G173" s="311"/>
      <c r="H173" s="311"/>
      <c r="I173" s="311"/>
      <c r="J173" s="311"/>
      <c r="K173" s="311"/>
      <c r="L173" s="311"/>
      <c r="M173" s="311"/>
      <c r="N173" s="311"/>
      <c r="O173" s="311"/>
      <c r="P173" s="311"/>
      <c r="Q173" s="311"/>
      <c r="R173" s="311"/>
      <c r="S173" s="311"/>
      <c r="T173" s="311"/>
      <c r="U173" s="311"/>
      <c r="V173" s="311"/>
      <c r="W173" s="311"/>
      <c r="X173" s="311"/>
      <c r="Y173" s="311"/>
      <c r="Z173" s="311"/>
      <c r="AA173" s="311"/>
      <c r="AB173" s="311"/>
      <c r="AC173" s="311"/>
      <c r="AD173" s="311"/>
      <c r="AE173" s="38"/>
      <c r="AF173" s="38"/>
      <c r="AG173" s="311"/>
      <c r="AH173" s="311"/>
      <c r="AI173" s="311"/>
      <c r="AJ173" s="311"/>
      <c r="AK173" s="311"/>
      <c r="AL173" s="311"/>
      <c r="AM173" s="311"/>
      <c r="AN173" s="311"/>
      <c r="AO173" s="311"/>
      <c r="AP173" s="311"/>
      <c r="AQ173" s="311"/>
      <c r="AR173" s="311"/>
      <c r="AS173" s="311"/>
      <c r="AT173" s="311"/>
      <c r="AU173" s="311"/>
      <c r="AV173" s="311"/>
      <c r="AW173" s="311"/>
      <c r="AX173" s="311"/>
      <c r="AY173" s="311"/>
      <c r="AZ173" s="311"/>
      <c r="BA173" s="311"/>
      <c r="BB173" s="311"/>
      <c r="BC173" s="311"/>
      <c r="BD173" s="311"/>
      <c r="BE173" s="311"/>
      <c r="BF173" s="38"/>
      <c r="BG173" s="38"/>
    </row>
    <row r="174" spans="3:59" s="248" customFormat="1" ht="17" x14ac:dyDescent="0.25">
      <c r="C174" s="250" t="s">
        <v>617</v>
      </c>
      <c r="D174" s="311" t="s">
        <v>82</v>
      </c>
      <c r="E174" s="311" t="s">
        <v>83</v>
      </c>
      <c r="F174" s="311" t="s">
        <v>84</v>
      </c>
      <c r="G174" s="311" t="s">
        <v>85</v>
      </c>
      <c r="H174" s="311" t="s">
        <v>86</v>
      </c>
      <c r="I174" s="311" t="s">
        <v>87</v>
      </c>
      <c r="J174" s="311" t="s">
        <v>88</v>
      </c>
      <c r="K174" s="311" t="s">
        <v>89</v>
      </c>
      <c r="L174" s="311" t="s">
        <v>90</v>
      </c>
      <c r="M174" s="311" t="s">
        <v>91</v>
      </c>
      <c r="N174" s="311" t="s">
        <v>92</v>
      </c>
      <c r="O174" s="311" t="s">
        <v>93</v>
      </c>
      <c r="P174" s="311" t="s">
        <v>94</v>
      </c>
      <c r="Q174" s="311" t="s">
        <v>95</v>
      </c>
      <c r="R174" s="311" t="s">
        <v>96</v>
      </c>
      <c r="S174" s="311" t="s">
        <v>97</v>
      </c>
      <c r="T174" s="311" t="s">
        <v>98</v>
      </c>
      <c r="U174" s="311" t="s">
        <v>99</v>
      </c>
      <c r="V174" s="311" t="s">
        <v>100</v>
      </c>
      <c r="W174" s="311" t="s">
        <v>101</v>
      </c>
      <c r="X174" s="311" t="s">
        <v>102</v>
      </c>
      <c r="Y174" s="311" t="s">
        <v>103</v>
      </c>
      <c r="Z174" s="311" t="s">
        <v>104</v>
      </c>
      <c r="AA174" s="311" t="s">
        <v>105</v>
      </c>
      <c r="AB174" s="311" t="s">
        <v>106</v>
      </c>
      <c r="AC174" s="311" t="s">
        <v>107</v>
      </c>
      <c r="AD174" s="311" t="s">
        <v>108</v>
      </c>
      <c r="AE174" s="38" t="s">
        <v>322</v>
      </c>
      <c r="AF174" s="38" t="s">
        <v>321</v>
      </c>
      <c r="AG174" s="311" t="s">
        <v>109</v>
      </c>
      <c r="AH174" s="311" t="s">
        <v>110</v>
      </c>
      <c r="AI174" s="311" t="s">
        <v>111</v>
      </c>
      <c r="AJ174" s="311" t="s">
        <v>112</v>
      </c>
      <c r="AK174" s="311" t="s">
        <v>113</v>
      </c>
      <c r="AL174" s="311" t="s">
        <v>114</v>
      </c>
      <c r="AM174" s="311" t="s">
        <v>115</v>
      </c>
      <c r="AN174" s="311" t="s">
        <v>116</v>
      </c>
      <c r="AO174" s="311" t="s">
        <v>117</v>
      </c>
      <c r="AP174" s="311" t="s">
        <v>118</v>
      </c>
      <c r="AQ174" s="311" t="s">
        <v>119</v>
      </c>
      <c r="AR174" s="311" t="s">
        <v>120</v>
      </c>
      <c r="AS174" s="311" t="s">
        <v>121</v>
      </c>
      <c r="AT174" s="311" t="s">
        <v>122</v>
      </c>
      <c r="AU174" s="311" t="s">
        <v>123</v>
      </c>
      <c r="AV174" s="311" t="s">
        <v>124</v>
      </c>
      <c r="AW174" s="311" t="s">
        <v>125</v>
      </c>
      <c r="AX174" s="311" t="s">
        <v>585</v>
      </c>
      <c r="AY174" s="311" t="s">
        <v>126</v>
      </c>
      <c r="AZ174" s="311" t="s">
        <v>127</v>
      </c>
      <c r="BA174" s="311" t="s">
        <v>128</v>
      </c>
      <c r="BB174" s="311" t="s">
        <v>129</v>
      </c>
      <c r="BC174" s="311" t="s">
        <v>130</v>
      </c>
      <c r="BD174" s="311" t="s">
        <v>131</v>
      </c>
      <c r="BE174" s="311" t="s">
        <v>81</v>
      </c>
      <c r="BF174" s="38"/>
      <c r="BG174" s="38"/>
    </row>
    <row r="175" spans="3:59" s="248" customFormat="1" ht="17" x14ac:dyDescent="0.25">
      <c r="C175" s="249" t="s">
        <v>76</v>
      </c>
      <c r="D175" s="311">
        <v>0.15934251462633306</v>
      </c>
      <c r="E175" s="311">
        <v>0.16265315964921018</v>
      </c>
      <c r="F175" s="311">
        <v>0.20697580100368201</v>
      </c>
      <c r="G175" s="311">
        <v>0.23149107339982236</v>
      </c>
      <c r="H175" s="311">
        <v>0.20905919111072019</v>
      </c>
      <c r="I175" s="311">
        <v>0.29727699977447669</v>
      </c>
      <c r="J175" s="311">
        <v>0.15337289388653816</v>
      </c>
      <c r="K175" s="311">
        <v>0.21857984311645678</v>
      </c>
      <c r="L175" s="311">
        <v>8.6154338204908421E-2</v>
      </c>
      <c r="M175" s="311">
        <v>0.16484025364131918</v>
      </c>
      <c r="N175" s="311">
        <v>0.22876460238455282</v>
      </c>
      <c r="O175" s="311">
        <v>0.13485093069454548</v>
      </c>
      <c r="P175" s="311">
        <v>0.23979608584308668</v>
      </c>
      <c r="Q175" s="311">
        <v>0.26831137200200994</v>
      </c>
      <c r="R175" s="311">
        <v>0.17230626779898378</v>
      </c>
      <c r="S175" s="311">
        <v>0.25434354725551767</v>
      </c>
      <c r="T175" s="311">
        <v>0.26116210176190752</v>
      </c>
      <c r="U175" s="311">
        <v>0.14792371926034983</v>
      </c>
      <c r="V175" s="311">
        <v>0.13667236808694255</v>
      </c>
      <c r="W175" s="311">
        <v>0.14334922705100367</v>
      </c>
      <c r="X175" s="311">
        <v>0.17891389393941115</v>
      </c>
      <c r="Y175" s="311">
        <v>9.9072594726778235E-2</v>
      </c>
      <c r="Z175" s="311">
        <v>0.18160738027473849</v>
      </c>
      <c r="AA175" s="311">
        <v>0.27648323975152989</v>
      </c>
      <c r="AB175" s="311">
        <v>0.16714382798916511</v>
      </c>
      <c r="AC175" s="311">
        <v>0.20275753371937194</v>
      </c>
      <c r="AD175" s="311">
        <v>0.20169469192051054</v>
      </c>
      <c r="AE175" s="38">
        <f>'User Add-in Location'!B179</f>
        <v>0</v>
      </c>
      <c r="AF175" s="38">
        <f>'User Add-in Location'!C179</f>
        <v>0</v>
      </c>
      <c r="AG175" s="311">
        <v>0.28906601255686332</v>
      </c>
      <c r="AH175" s="311">
        <v>0.15838769332344144</v>
      </c>
      <c r="AI175" s="311">
        <v>0.14288118513617434</v>
      </c>
      <c r="AJ175" s="311">
        <v>0.13639660023895625</v>
      </c>
      <c r="AK175" s="311">
        <v>0.17268800641878604</v>
      </c>
      <c r="AL175" s="311">
        <v>0.2050504568286961</v>
      </c>
      <c r="AM175" s="311">
        <v>0.21860614342922391</v>
      </c>
      <c r="AN175" s="311">
        <v>0.23665705215805954</v>
      </c>
      <c r="AO175" s="311">
        <v>0.20540391033020799</v>
      </c>
      <c r="AP175" s="311">
        <v>0.18454263943438182</v>
      </c>
      <c r="AQ175" s="311">
        <v>0.18793809021438293</v>
      </c>
      <c r="AR175" s="311">
        <v>0.18975604840333529</v>
      </c>
      <c r="AS175" s="311">
        <v>8.8600544642567766E-2</v>
      </c>
      <c r="AT175" s="311">
        <v>0.15506526715831911</v>
      </c>
      <c r="AU175" s="311">
        <v>0.25426390559916601</v>
      </c>
      <c r="AV175" s="311">
        <v>0.16948232018178316</v>
      </c>
      <c r="AW175" s="311">
        <v>0.23997181651427099</v>
      </c>
      <c r="AX175" s="311">
        <v>0.45342609952386381</v>
      </c>
      <c r="AY175" s="311">
        <v>0.20089967291087318</v>
      </c>
      <c r="AZ175" s="311">
        <v>0.2171725208952604</v>
      </c>
      <c r="BA175" s="311">
        <v>0.18645624634382035</v>
      </c>
      <c r="BB175" s="311">
        <v>0.17262444437535673</v>
      </c>
      <c r="BC175" s="311">
        <v>0.13350598316811846</v>
      </c>
      <c r="BD175" s="311">
        <v>0.24378811969978686</v>
      </c>
      <c r="BE175" s="311">
        <v>0.15692876185042359</v>
      </c>
      <c r="BF175" s="38"/>
      <c r="BG175" s="38"/>
    </row>
    <row r="176" spans="3:59" s="248" customFormat="1" ht="17" x14ac:dyDescent="0.25">
      <c r="C176" s="249" t="s">
        <v>148</v>
      </c>
      <c r="D176" s="311">
        <v>0.11011348901678251</v>
      </c>
      <c r="E176" s="311">
        <v>8.9486554612361921E-2</v>
      </c>
      <c r="F176" s="311">
        <v>0.16947574018142908</v>
      </c>
      <c r="G176" s="311">
        <v>0.1152440219095201</v>
      </c>
      <c r="H176" s="311">
        <v>0.15629413035296477</v>
      </c>
      <c r="I176" s="311">
        <v>0.14377734681290488</v>
      </c>
      <c r="J176" s="311">
        <v>0.16128510947534025</v>
      </c>
      <c r="K176" s="311">
        <v>0.31359066985137324</v>
      </c>
      <c r="L176" s="311">
        <v>0.69186086780300293</v>
      </c>
      <c r="M176" s="311">
        <v>0.23408051554494674</v>
      </c>
      <c r="N176" s="311">
        <v>0.13286387822871215</v>
      </c>
      <c r="O176" s="311">
        <v>0.13400847195852572</v>
      </c>
      <c r="P176" s="311">
        <v>0.11528256373866173</v>
      </c>
      <c r="Q176" s="311">
        <v>0.22284008561959362</v>
      </c>
      <c r="R176" s="311">
        <v>0.14631733080350301</v>
      </c>
      <c r="S176" s="311">
        <v>0.13396412070188798</v>
      </c>
      <c r="T176" s="311">
        <v>0.24628600969384046</v>
      </c>
      <c r="U176" s="311">
        <v>0.14143772852473052</v>
      </c>
      <c r="V176" s="311">
        <v>0.14883970831521365</v>
      </c>
      <c r="W176" s="311">
        <v>0.18841394474998424</v>
      </c>
      <c r="X176" s="311">
        <v>0.18692678605951576</v>
      </c>
      <c r="Y176" s="311">
        <v>0.25984869494495522</v>
      </c>
      <c r="Z176" s="311">
        <v>0.16289061593502135</v>
      </c>
      <c r="AA176" s="311">
        <v>0.14832000505903645</v>
      </c>
      <c r="AB176" s="311">
        <v>0.15896247642591066</v>
      </c>
      <c r="AC176" s="311">
        <v>0.15311415680601298</v>
      </c>
      <c r="AD176" s="311">
        <v>0.166297654684263</v>
      </c>
      <c r="AE176" s="38">
        <f>'User Add-in Location'!B180</f>
        <v>0</v>
      </c>
      <c r="AF176" s="38">
        <f>'User Add-in Location'!C180</f>
        <v>0</v>
      </c>
      <c r="AG176" s="311">
        <v>0.15882386323243408</v>
      </c>
      <c r="AH176" s="311">
        <v>0.15491798337672052</v>
      </c>
      <c r="AI176" s="311">
        <v>0.19290094652759782</v>
      </c>
      <c r="AJ176" s="311">
        <v>0.22007609981200038</v>
      </c>
      <c r="AK176" s="311">
        <v>0.12794093488267788</v>
      </c>
      <c r="AL176" s="311">
        <v>0.23920119686284455</v>
      </c>
      <c r="AM176" s="311">
        <v>0.16973658134168179</v>
      </c>
      <c r="AN176" s="311">
        <v>0.13521480272681097</v>
      </c>
      <c r="AO176" s="311">
        <v>0.12485834206525269</v>
      </c>
      <c r="AP176" s="311">
        <v>0.15785372258742386</v>
      </c>
      <c r="AQ176" s="311">
        <v>0.19806064782035321</v>
      </c>
      <c r="AR176" s="311">
        <v>0.13077045697816655</v>
      </c>
      <c r="AS176" s="311">
        <v>0.15421027597617568</v>
      </c>
      <c r="AT176" s="311">
        <v>0.11729721235255966</v>
      </c>
      <c r="AU176" s="311">
        <v>0.15434589602122456</v>
      </c>
      <c r="AV176" s="311">
        <v>0.1609383002032812</v>
      </c>
      <c r="AW176" s="311">
        <v>0.13820194047368228</v>
      </c>
      <c r="AX176" s="311">
        <v>0.24296686349438479</v>
      </c>
      <c r="AY176" s="311">
        <v>0.16646804983795993</v>
      </c>
      <c r="AZ176" s="311">
        <v>7.9265134540577098E-2</v>
      </c>
      <c r="BA176" s="311">
        <v>0.16662472839036579</v>
      </c>
      <c r="BB176" s="311">
        <v>0.21621472991084534</v>
      </c>
      <c r="BC176" s="311">
        <v>0.1466648857203654</v>
      </c>
      <c r="BD176" s="311">
        <v>0.1086741688615986</v>
      </c>
      <c r="BE176" s="311">
        <v>0.15426987211480342</v>
      </c>
      <c r="BF176" s="38"/>
      <c r="BG176" s="38"/>
    </row>
    <row r="177" spans="3:59" s="248" customFormat="1" ht="17" x14ac:dyDescent="0.25">
      <c r="C177" s="249" t="s">
        <v>77</v>
      </c>
      <c r="D177" s="311">
        <v>0.17236641140758402</v>
      </c>
      <c r="E177" s="311">
        <v>0.13868391621275916</v>
      </c>
      <c r="F177" s="311">
        <v>0.19236609769960911</v>
      </c>
      <c r="G177" s="311">
        <v>0.17534120366680706</v>
      </c>
      <c r="H177" s="311">
        <v>0.23831630697444706</v>
      </c>
      <c r="I177" s="311">
        <v>0.20350203280231488</v>
      </c>
      <c r="J177" s="311">
        <v>0.20017777291433955</v>
      </c>
      <c r="K177" s="311">
        <v>0.15278128019588244</v>
      </c>
      <c r="L177" s="311">
        <v>9.7705546704073637E-2</v>
      </c>
      <c r="M177" s="311">
        <v>0.21233115309906278</v>
      </c>
      <c r="N177" s="311">
        <v>0.2072512509439583</v>
      </c>
      <c r="O177" s="311">
        <v>0.12839113520990608</v>
      </c>
      <c r="P177" s="311">
        <v>0.16259276868597725</v>
      </c>
      <c r="Q177" s="311">
        <v>0.2017000895959484</v>
      </c>
      <c r="R177" s="311">
        <v>0.17475555736520715</v>
      </c>
      <c r="S177" s="311">
        <v>0.15129960472795517</v>
      </c>
      <c r="T177" s="311">
        <v>0.17419701353469391</v>
      </c>
      <c r="U177" s="311">
        <v>0.15473385894059177</v>
      </c>
      <c r="V177" s="311">
        <v>0.16505203279726749</v>
      </c>
      <c r="W177" s="311">
        <v>0.20534023446663774</v>
      </c>
      <c r="X177" s="311">
        <v>0.16468456475575285</v>
      </c>
      <c r="Y177" s="311">
        <v>0.19954809773602428</v>
      </c>
      <c r="Z177" s="311">
        <v>0.1906810248611113</v>
      </c>
      <c r="AA177" s="311">
        <v>0.20771884241763811</v>
      </c>
      <c r="AB177" s="311">
        <v>0.15457372266728764</v>
      </c>
      <c r="AC177" s="311">
        <v>0.19900991449997096</v>
      </c>
      <c r="AD177" s="311">
        <v>0.16048848531258542</v>
      </c>
      <c r="AE177" s="38">
        <f>'User Add-in Location'!B181</f>
        <v>0</v>
      </c>
      <c r="AF177" s="38">
        <f>'User Add-in Location'!C181</f>
        <v>0</v>
      </c>
      <c r="AG177" s="311">
        <v>0.18732355165652267</v>
      </c>
      <c r="AH177" s="311">
        <v>0.1529822288522848</v>
      </c>
      <c r="AI177" s="311">
        <v>0.2163852779397466</v>
      </c>
      <c r="AJ177" s="311">
        <v>0.18441942275410689</v>
      </c>
      <c r="AK177" s="311">
        <v>0.15251285040149193</v>
      </c>
      <c r="AL177" s="311">
        <v>0.18251220623238068</v>
      </c>
      <c r="AM177" s="311">
        <v>0.21360135017340637</v>
      </c>
      <c r="AN177" s="311">
        <v>0.14219688716635934</v>
      </c>
      <c r="AO177" s="311">
        <v>0.20805739746443988</v>
      </c>
      <c r="AP177" s="311">
        <v>0.18277466270730966</v>
      </c>
      <c r="AQ177" s="311">
        <v>0.17765745031614427</v>
      </c>
      <c r="AR177" s="311">
        <v>0.19755822423426622</v>
      </c>
      <c r="AS177" s="311">
        <v>0.16697863601638174</v>
      </c>
      <c r="AT177" s="311">
        <v>0.15307463870037305</v>
      </c>
      <c r="AU177" s="311">
        <v>0.16747688457118662</v>
      </c>
      <c r="AV177" s="311">
        <v>0.2007611469891234</v>
      </c>
      <c r="AW177" s="311">
        <v>0.23609748668246178</v>
      </c>
      <c r="AX177" s="311">
        <v>0.388294091921077</v>
      </c>
      <c r="AY177" s="311">
        <v>0.18686062785560092</v>
      </c>
      <c r="AZ177" s="311">
        <v>0.19307238123693102</v>
      </c>
      <c r="BA177" s="311">
        <v>0.17224014136710197</v>
      </c>
      <c r="BB177" s="311">
        <v>0.18284015435922463</v>
      </c>
      <c r="BC177" s="311">
        <v>0.11345336860563854</v>
      </c>
      <c r="BD177" s="311">
        <v>0.17855313940217904</v>
      </c>
      <c r="BE177" s="311">
        <v>0.12068964247085728</v>
      </c>
      <c r="BF177" s="38"/>
      <c r="BG177" s="38"/>
    </row>
    <row r="178" spans="3:59" s="248" customFormat="1" ht="17" x14ac:dyDescent="0.25">
      <c r="C178" s="249" t="s">
        <v>149</v>
      </c>
      <c r="D178" s="311">
        <v>0.15676838270351634</v>
      </c>
      <c r="E178" s="311">
        <v>0.21110190846951665</v>
      </c>
      <c r="F178" s="311">
        <v>0.19781604988415694</v>
      </c>
      <c r="G178" s="311">
        <v>0.18064869334282843</v>
      </c>
      <c r="H178" s="311">
        <v>0.27056808050165715</v>
      </c>
      <c r="I178" s="311">
        <v>0.23414331924994311</v>
      </c>
      <c r="J178" s="311">
        <v>0.16539864741305491</v>
      </c>
      <c r="K178" s="311">
        <v>0.16546772655385322</v>
      </c>
      <c r="L178" s="311">
        <v>9.2228399949923684E-2</v>
      </c>
      <c r="M178" s="311">
        <v>0.21682785996928933</v>
      </c>
      <c r="N178" s="311">
        <v>0.20049113666381913</v>
      </c>
      <c r="O178" s="311">
        <v>0.18235550482771751</v>
      </c>
      <c r="P178" s="311">
        <v>0.18690547069577584</v>
      </c>
      <c r="Q178" s="311">
        <v>0.21676637143812877</v>
      </c>
      <c r="R178" s="311">
        <v>0.15644494391867081</v>
      </c>
      <c r="S178" s="311">
        <v>0.16638712819290946</v>
      </c>
      <c r="T178" s="311">
        <v>0.18655757364020664</v>
      </c>
      <c r="U178" s="311">
        <v>0.15233922852545895</v>
      </c>
      <c r="V178" s="311">
        <v>0.17224421429249981</v>
      </c>
      <c r="W178" s="311">
        <v>0.17174223607350514</v>
      </c>
      <c r="X178" s="311">
        <v>0.14219340738437219</v>
      </c>
      <c r="Y178" s="311">
        <v>0.18183354367840571</v>
      </c>
      <c r="Z178" s="311">
        <v>0.18781528987207713</v>
      </c>
      <c r="AA178" s="311">
        <v>0.22046508141305329</v>
      </c>
      <c r="AB178" s="311">
        <v>0.14804668162023524</v>
      </c>
      <c r="AC178" s="311">
        <v>0.18528703783763117</v>
      </c>
      <c r="AD178" s="311">
        <v>0.18348642331450332</v>
      </c>
      <c r="AE178" s="38">
        <f>'User Add-in Location'!B182</f>
        <v>0</v>
      </c>
      <c r="AF178" s="38">
        <f>'User Add-in Location'!C182</f>
        <v>0</v>
      </c>
      <c r="AG178" s="311">
        <v>0.19909079930731172</v>
      </c>
      <c r="AH178" s="311">
        <v>0.15259052086475461</v>
      </c>
      <c r="AI178" s="311">
        <v>0.1562022995650712</v>
      </c>
      <c r="AJ178" s="311">
        <v>0.18976738691463579</v>
      </c>
      <c r="AK178" s="311">
        <v>0.18689756412814273</v>
      </c>
      <c r="AL178" s="311">
        <v>0.1929489357670921</v>
      </c>
      <c r="AM178" s="311">
        <v>0.17956752115622082</v>
      </c>
      <c r="AN178" s="311">
        <v>0.21066940712143883</v>
      </c>
      <c r="AO178" s="311">
        <v>0.20415334542684344</v>
      </c>
      <c r="AP178" s="311">
        <v>0.20907643053970165</v>
      </c>
      <c r="AQ178" s="311">
        <v>0.20280087580747772</v>
      </c>
      <c r="AR178" s="311">
        <v>0.21434823230799421</v>
      </c>
      <c r="AS178" s="311">
        <v>0.15946038366196941</v>
      </c>
      <c r="AT178" s="311">
        <v>0.14301815537864956</v>
      </c>
      <c r="AU178" s="311">
        <v>0.17817849031767602</v>
      </c>
      <c r="AV178" s="311">
        <v>0.17356251493077296</v>
      </c>
      <c r="AW178" s="311">
        <v>0.2931530582797689</v>
      </c>
      <c r="AX178" s="311">
        <v>0.48871823631393851</v>
      </c>
      <c r="AY178" s="311">
        <v>0.2135180489836003</v>
      </c>
      <c r="AZ178" s="311">
        <v>0.17415970185922044</v>
      </c>
      <c r="BA178" s="311">
        <v>0.15568014830309246</v>
      </c>
      <c r="BB178" s="311">
        <v>0.21099426884908137</v>
      </c>
      <c r="BC178" s="311">
        <v>0.13628502079814625</v>
      </c>
      <c r="BD178" s="311">
        <v>0.19421080355562456</v>
      </c>
      <c r="BE178" s="311">
        <v>0.16939894870001698</v>
      </c>
      <c r="BF178" s="38"/>
      <c r="BG178" s="38"/>
    </row>
    <row r="179" spans="3:59" s="248" customFormat="1" ht="17" x14ac:dyDescent="0.25">
      <c r="C179" s="249" t="s">
        <v>611</v>
      </c>
      <c r="D179" s="311">
        <v>0.14113116741995652</v>
      </c>
      <c r="E179" s="311">
        <v>0.15584759939976817</v>
      </c>
      <c r="F179" s="311">
        <v>0.19249101900312895</v>
      </c>
      <c r="G179" s="311">
        <v>0.13052672837644408</v>
      </c>
      <c r="H179" s="311">
        <v>0.28838170486365605</v>
      </c>
      <c r="I179" s="311">
        <v>0.21203155388074846</v>
      </c>
      <c r="J179" s="311">
        <v>0.17326948711160478</v>
      </c>
      <c r="K179" s="311">
        <v>0.15791439125724901</v>
      </c>
      <c r="L179" s="311">
        <v>0</v>
      </c>
      <c r="M179" s="311">
        <v>0.20878387736158041</v>
      </c>
      <c r="N179" s="311">
        <v>0.19041657475347157</v>
      </c>
      <c r="O179" s="311">
        <v>0.15025403218916061</v>
      </c>
      <c r="P179" s="311">
        <v>0.15094498135475523</v>
      </c>
      <c r="Q179" s="311">
        <v>0.21362745672346495</v>
      </c>
      <c r="R179" s="311">
        <v>0.15661572719060651</v>
      </c>
      <c r="S179" s="311">
        <v>0.14040664697958408</v>
      </c>
      <c r="T179" s="311">
        <v>0.15156919339751757</v>
      </c>
      <c r="U179" s="311">
        <v>0.13557889099800793</v>
      </c>
      <c r="V179" s="311">
        <v>0.14286711744468272</v>
      </c>
      <c r="W179" s="311">
        <v>0.14686594643801448</v>
      </c>
      <c r="X179" s="311">
        <v>0.16109926847370595</v>
      </c>
      <c r="Y179" s="311">
        <v>0.18493517831678785</v>
      </c>
      <c r="Z179" s="311">
        <v>0.18295771959777582</v>
      </c>
      <c r="AA179" s="311">
        <v>0.20704848960059563</v>
      </c>
      <c r="AB179" s="311">
        <v>0.12517858137520893</v>
      </c>
      <c r="AC179" s="311">
        <v>0.16891372075175698</v>
      </c>
      <c r="AD179" s="311">
        <v>0.14756533728441523</v>
      </c>
      <c r="AE179" s="38">
        <f>'User Add-in Location'!B183</f>
        <v>0</v>
      </c>
      <c r="AF179" s="38">
        <f>'User Add-in Location'!C183</f>
        <v>0</v>
      </c>
      <c r="AG179" s="311">
        <v>0.15593527691625214</v>
      </c>
      <c r="AH179" s="311">
        <v>0.13902674810061322</v>
      </c>
      <c r="AI179" s="311">
        <v>0.15968728686122458</v>
      </c>
      <c r="AJ179" s="311">
        <v>0.19173068412261399</v>
      </c>
      <c r="AK179" s="311">
        <v>0.13890156093289108</v>
      </c>
      <c r="AL179" s="311">
        <v>0.19547496927437161</v>
      </c>
      <c r="AM179" s="311">
        <v>0.1986249571272746</v>
      </c>
      <c r="AN179" s="311">
        <v>0.14656956280050376</v>
      </c>
      <c r="AO179" s="311">
        <v>0.19265370933647874</v>
      </c>
      <c r="AP179" s="311">
        <v>0.14531679956315463</v>
      </c>
      <c r="AQ179" s="311">
        <v>0.18458612365617338</v>
      </c>
      <c r="AR179" s="311">
        <v>0.20477365358272634</v>
      </c>
      <c r="AS179" s="311">
        <v>0.17998470544783884</v>
      </c>
      <c r="AT179" s="311">
        <v>0.11821483462928631</v>
      </c>
      <c r="AU179" s="311">
        <v>0.13701294112270779</v>
      </c>
      <c r="AV179" s="311">
        <v>0.16714491529605868</v>
      </c>
      <c r="AW179" s="311">
        <v>0.24677164262260587</v>
      </c>
      <c r="AX179" s="311">
        <v>0.46206736923000397</v>
      </c>
      <c r="AY179" s="311">
        <v>0.20673318318468151</v>
      </c>
      <c r="AZ179" s="311">
        <v>0.13830184791542782</v>
      </c>
      <c r="BA179" s="311">
        <v>0.14879669673144447</v>
      </c>
      <c r="BB179" s="311">
        <v>0.19584006365616666</v>
      </c>
      <c r="BC179" s="311">
        <v>0.11811134657730123</v>
      </c>
      <c r="BD179" s="311">
        <v>0.17403329603561926</v>
      </c>
      <c r="BE179" s="311">
        <v>0.11224473193434292</v>
      </c>
      <c r="BF179" s="38"/>
      <c r="BG179" s="38"/>
    </row>
    <row r="180" spans="3:59" s="248" customFormat="1" ht="17" x14ac:dyDescent="0.25">
      <c r="C180" s="249" t="s">
        <v>151</v>
      </c>
      <c r="D180" s="311">
        <v>0.1567520984411741</v>
      </c>
      <c r="E180" s="311">
        <v>0.12581741687367676</v>
      </c>
      <c r="F180" s="311">
        <v>0.17667277333661491</v>
      </c>
      <c r="G180" s="311">
        <v>0.15596194670450617</v>
      </c>
      <c r="H180" s="311">
        <v>0.26086610494782642</v>
      </c>
      <c r="I180" s="311">
        <v>0.22050285544309828</v>
      </c>
      <c r="J180" s="311">
        <v>0.17648483042001895</v>
      </c>
      <c r="K180" s="311">
        <v>0.12955425874559509</v>
      </c>
      <c r="L180" s="311">
        <v>0.12076027846923802</v>
      </c>
      <c r="M180" s="311">
        <v>0.2201111486129648</v>
      </c>
      <c r="N180" s="311">
        <v>0.18749502714623312</v>
      </c>
      <c r="O180" s="311">
        <v>0.19447638522766392</v>
      </c>
      <c r="P180" s="311">
        <v>0.16073411637802165</v>
      </c>
      <c r="Q180" s="311">
        <v>0.19693186550850139</v>
      </c>
      <c r="R180" s="311">
        <v>0.17689350814293728</v>
      </c>
      <c r="S180" s="311">
        <v>0.1344651608268852</v>
      </c>
      <c r="T180" s="311">
        <v>0.16116777417300565</v>
      </c>
      <c r="U180" s="311">
        <v>0.14912207246405851</v>
      </c>
      <c r="V180" s="311">
        <v>0.14438420519223888</v>
      </c>
      <c r="W180" s="311">
        <v>0.16133636007319735</v>
      </c>
      <c r="X180" s="311">
        <v>0.1884659874526568</v>
      </c>
      <c r="Y180" s="311">
        <v>0.19347593809380054</v>
      </c>
      <c r="Z180" s="311">
        <v>0.17676189518270952</v>
      </c>
      <c r="AA180" s="311">
        <v>0.21132591612191992</v>
      </c>
      <c r="AB180" s="311">
        <v>0.13727103491859721</v>
      </c>
      <c r="AC180" s="311">
        <v>0.19710600477117782</v>
      </c>
      <c r="AD180" s="311">
        <v>0.16814664345593239</v>
      </c>
      <c r="AE180" s="38">
        <f>'User Add-in Location'!B184</f>
        <v>0</v>
      </c>
      <c r="AF180" s="38">
        <f>'User Add-in Location'!C184</f>
        <v>0</v>
      </c>
      <c r="AG180" s="311">
        <v>0.15858242911703463</v>
      </c>
      <c r="AH180" s="311">
        <v>0.14788510700273777</v>
      </c>
      <c r="AI180" s="311">
        <v>0.14825564056872167</v>
      </c>
      <c r="AJ180" s="311">
        <v>0.19090275649063784</v>
      </c>
      <c r="AK180" s="311">
        <v>0.13999476880255129</v>
      </c>
      <c r="AL180" s="311">
        <v>0.19032789947917589</v>
      </c>
      <c r="AM180" s="311">
        <v>0.18118996997365538</v>
      </c>
      <c r="AN180" s="311">
        <v>0.14071204578456631</v>
      </c>
      <c r="AO180" s="311">
        <v>0.19393164054249692</v>
      </c>
      <c r="AP180" s="311">
        <v>0.1560806222316766</v>
      </c>
      <c r="AQ180" s="311">
        <v>0.18221167680302042</v>
      </c>
      <c r="AR180" s="311">
        <v>0.20296967379703199</v>
      </c>
      <c r="AS180" s="311">
        <v>0.1460760734134634</v>
      </c>
      <c r="AT180" s="311">
        <v>0.14097397862288688</v>
      </c>
      <c r="AU180" s="311">
        <v>0.1579429687121221</v>
      </c>
      <c r="AV180" s="311">
        <v>0.17507213931403307</v>
      </c>
      <c r="AW180" s="311">
        <v>0.2239694190150246</v>
      </c>
      <c r="AX180" s="311">
        <v>0.48844895672204713</v>
      </c>
      <c r="AY180" s="311">
        <v>0.2213849574641899</v>
      </c>
      <c r="AZ180" s="311">
        <v>0.12687705747241951</v>
      </c>
      <c r="BA180" s="311">
        <v>0.16200345721987808</v>
      </c>
      <c r="BB180" s="311">
        <v>0.20280929055796548</v>
      </c>
      <c r="BC180" s="311">
        <v>0.10694537849638916</v>
      </c>
      <c r="BD180" s="311">
        <v>0.18965716538995198</v>
      </c>
      <c r="BE180" s="311">
        <v>0.13327584889897823</v>
      </c>
      <c r="BF180" s="38"/>
      <c r="BG180" s="38"/>
    </row>
    <row r="181" spans="3:59" s="248" customFormat="1" ht="17" x14ac:dyDescent="0.25">
      <c r="C181" s="249" t="s">
        <v>612</v>
      </c>
      <c r="D181" s="311">
        <v>0.14692594345755716</v>
      </c>
      <c r="E181" s="311">
        <v>0</v>
      </c>
      <c r="F181" s="311">
        <v>0.19480511212546264</v>
      </c>
      <c r="G181" s="311">
        <v>0.14805452413966991</v>
      </c>
      <c r="H181" s="311">
        <v>0.26917398183130359</v>
      </c>
      <c r="I181" s="311">
        <v>0.23250889416789036</v>
      </c>
      <c r="J181" s="311">
        <v>0.19038995783950716</v>
      </c>
      <c r="K181" s="311">
        <v>0.14661088965394062</v>
      </c>
      <c r="L181" s="311">
        <v>0.13257813530132984</v>
      </c>
      <c r="M181" s="311">
        <v>0.21831201459188204</v>
      </c>
      <c r="N181" s="311">
        <v>0.2036286892332459</v>
      </c>
      <c r="O181" s="311">
        <v>0.19233483746842139</v>
      </c>
      <c r="P181" s="311">
        <v>0.16434653175973785</v>
      </c>
      <c r="Q181" s="311">
        <v>0.21314800324194805</v>
      </c>
      <c r="R181" s="311">
        <v>0.14013039008034456</v>
      </c>
      <c r="S181" s="311">
        <v>0.14081597246861122</v>
      </c>
      <c r="T181" s="311">
        <v>0.16700160815237935</v>
      </c>
      <c r="U181" s="311">
        <v>0.14994680058917137</v>
      </c>
      <c r="V181" s="311">
        <v>0.15323248727048061</v>
      </c>
      <c r="W181" s="311">
        <v>0.14376743880505927</v>
      </c>
      <c r="X181" s="311">
        <v>0.16427689401732354</v>
      </c>
      <c r="Y181" s="311">
        <v>0.23509135110959717</v>
      </c>
      <c r="Z181" s="311">
        <v>0.20667517528612778</v>
      </c>
      <c r="AA181" s="311">
        <v>0.24368721009618127</v>
      </c>
      <c r="AB181" s="311">
        <v>0.147206641334483</v>
      </c>
      <c r="AC181" s="311">
        <v>0.13752947378070846</v>
      </c>
      <c r="AD181" s="311">
        <v>0.16461116445828405</v>
      </c>
      <c r="AE181" s="38">
        <f>'User Add-in Location'!B185</f>
        <v>0</v>
      </c>
      <c r="AF181" s="38">
        <f>'User Add-in Location'!C185</f>
        <v>0</v>
      </c>
      <c r="AG181" s="311">
        <v>0.16139670566991909</v>
      </c>
      <c r="AH181" s="311">
        <v>0.16856279091873516</v>
      </c>
      <c r="AI181" s="311">
        <v>0.18738638216607467</v>
      </c>
      <c r="AJ181" s="311">
        <v>0.20662327217582263</v>
      </c>
      <c r="AK181" s="311">
        <v>0.13597009998630735</v>
      </c>
      <c r="AL181" s="311">
        <v>0.22596667911296708</v>
      </c>
      <c r="AM181" s="311">
        <v>0.18617294173526183</v>
      </c>
      <c r="AN181" s="311">
        <v>0.17375442432248223</v>
      </c>
      <c r="AO181" s="311">
        <v>0.2118614557962035</v>
      </c>
      <c r="AP181" s="311">
        <v>0.17375451269517247</v>
      </c>
      <c r="AQ181" s="311">
        <v>0.11837615481064492</v>
      </c>
      <c r="AR181" s="311">
        <v>0.19643187671079843</v>
      </c>
      <c r="AS181" s="311">
        <v>0.18297962511895161</v>
      </c>
      <c r="AT181" s="311">
        <v>0.10678011862017815</v>
      </c>
      <c r="AU181" s="311">
        <v>0.16710605133188738</v>
      </c>
      <c r="AV181" s="311">
        <v>0.17153307720126837</v>
      </c>
      <c r="AW181" s="311">
        <v>0.22888969107681906</v>
      </c>
      <c r="AX181" s="311">
        <v>0.37784951670722233</v>
      </c>
      <c r="AY181" s="311">
        <v>0.21032282807689734</v>
      </c>
      <c r="AZ181" s="311">
        <v>0.17916409699877472</v>
      </c>
      <c r="BA181" s="311">
        <v>0.1832906242038046</v>
      </c>
      <c r="BB181" s="311">
        <v>0.21570057722021627</v>
      </c>
      <c r="BC181" s="311">
        <v>0.14656785800799058</v>
      </c>
      <c r="BD181" s="311">
        <v>0.19638081992109102</v>
      </c>
      <c r="BE181" s="311">
        <v>0</v>
      </c>
      <c r="BF181" s="38"/>
      <c r="BG181" s="38"/>
    </row>
    <row r="182" spans="3:59" s="248" customFormat="1" ht="17" x14ac:dyDescent="0.25">
      <c r="C182" s="249" t="s">
        <v>153</v>
      </c>
      <c r="D182" s="311">
        <v>0.24220588554916622</v>
      </c>
      <c r="E182" s="311">
        <v>0.2049486710087601</v>
      </c>
      <c r="F182" s="311">
        <v>0.27158969074881634</v>
      </c>
      <c r="G182" s="311">
        <v>0.233906237590706</v>
      </c>
      <c r="H182" s="311">
        <v>0.28414672058897894</v>
      </c>
      <c r="I182" s="311">
        <v>0.27677999638786815</v>
      </c>
      <c r="J182" s="311">
        <v>0.22466287485932537</v>
      </c>
      <c r="K182" s="311">
        <v>0.24237812768606706</v>
      </c>
      <c r="L182" s="311">
        <v>0.180300023383726</v>
      </c>
      <c r="M182" s="311">
        <v>0.28116677540107182</v>
      </c>
      <c r="N182" s="311">
        <v>0.26590400270657966</v>
      </c>
      <c r="O182" s="311">
        <v>0.22618404851229235</v>
      </c>
      <c r="P182" s="311">
        <v>0.22520205785528818</v>
      </c>
      <c r="Q182" s="311">
        <v>0.28443498482316576</v>
      </c>
      <c r="R182" s="311">
        <v>0.23264736193349561</v>
      </c>
      <c r="S182" s="311">
        <v>0.2212305673384482</v>
      </c>
      <c r="T182" s="311">
        <v>0.22923033308457416</v>
      </c>
      <c r="U182" s="311">
        <v>0.22209263783554767</v>
      </c>
      <c r="V182" s="311">
        <v>0.26705214122897292</v>
      </c>
      <c r="W182" s="311">
        <v>0.22572538575731851</v>
      </c>
      <c r="X182" s="311">
        <v>0.23962901051910307</v>
      </c>
      <c r="Y182" s="311">
        <v>0.26398694019497998</v>
      </c>
      <c r="Z182" s="311">
        <v>0.25675423899211963</v>
      </c>
      <c r="AA182" s="311">
        <v>0.29220373283189516</v>
      </c>
      <c r="AB182" s="311">
        <v>0.22053609049733572</v>
      </c>
      <c r="AC182" s="311">
        <v>0.24740225544728214</v>
      </c>
      <c r="AD182" s="311">
        <v>0.24823262895573811</v>
      </c>
      <c r="AE182" s="38">
        <f>'User Add-in Location'!B186</f>
        <v>0</v>
      </c>
      <c r="AF182" s="38">
        <f>'User Add-in Location'!C186</f>
        <v>0</v>
      </c>
      <c r="AG182" s="311">
        <v>0.19219506618910079</v>
      </c>
      <c r="AH182" s="311">
        <v>0.21776826011874212</v>
      </c>
      <c r="AI182" s="311">
        <v>0.22574944861654905</v>
      </c>
      <c r="AJ182" s="311">
        <v>0.24481679642483842</v>
      </c>
      <c r="AK182" s="311">
        <v>0.24967691617254875</v>
      </c>
      <c r="AL182" s="311">
        <v>0.28365288379898984</v>
      </c>
      <c r="AM182" s="311">
        <v>0.24456160223179751</v>
      </c>
      <c r="AN182" s="311">
        <v>0.27643255468327455</v>
      </c>
      <c r="AO182" s="311">
        <v>0.26008318958962218</v>
      </c>
      <c r="AP182" s="311">
        <v>0.26303280376732607</v>
      </c>
      <c r="AQ182" s="311">
        <v>0.24453419792577683</v>
      </c>
      <c r="AR182" s="311">
        <v>0.2840877713425905</v>
      </c>
      <c r="AS182" s="311">
        <v>0.22915918225676474</v>
      </c>
      <c r="AT182" s="311">
        <v>0.21067264554756335</v>
      </c>
      <c r="AU182" s="311">
        <v>0.23059682277251126</v>
      </c>
      <c r="AV182" s="311">
        <v>0.258142997010822</v>
      </c>
      <c r="AW182" s="311">
        <v>0.33799462094157823</v>
      </c>
      <c r="AX182" s="311">
        <v>0.44312693560961935</v>
      </c>
      <c r="AY182" s="311">
        <v>0.27789640747162625</v>
      </c>
      <c r="AZ182" s="311">
        <v>0.23090395997650986</v>
      </c>
      <c r="BA182" s="311">
        <v>0.24431467659939077</v>
      </c>
      <c r="BB182" s="311">
        <v>0.25436923809230938</v>
      </c>
      <c r="BC182" s="311">
        <v>0.21618625638727895</v>
      </c>
      <c r="BD182" s="311">
        <v>0.23805608292657399</v>
      </c>
      <c r="BE182" s="311">
        <v>0.2198471170889737</v>
      </c>
      <c r="BF182" s="38"/>
      <c r="BG182" s="38"/>
    </row>
    <row r="183" spans="3:59" s="248" customFormat="1" ht="17" x14ac:dyDescent="0.25">
      <c r="C183" s="249" t="s">
        <v>613</v>
      </c>
      <c r="D183" s="311">
        <v>0.17889508035512888</v>
      </c>
      <c r="E183" s="311">
        <v>0.16653506834417134</v>
      </c>
      <c r="F183" s="311">
        <v>0.22460652198033912</v>
      </c>
      <c r="G183" s="311">
        <v>0.15833770087863741</v>
      </c>
      <c r="H183" s="311">
        <v>0.25794186917317663</v>
      </c>
      <c r="I183" s="311">
        <v>0.24415224053257775</v>
      </c>
      <c r="J183" s="311">
        <v>0.18253171939603346</v>
      </c>
      <c r="K183" s="311">
        <v>0.20940179252931554</v>
      </c>
      <c r="L183" s="311">
        <v>0.18001173018565908</v>
      </c>
      <c r="M183" s="311">
        <v>0.24513962461723049</v>
      </c>
      <c r="N183" s="311">
        <v>0.21907967504393008</v>
      </c>
      <c r="O183" s="311">
        <v>0.24026592431818722</v>
      </c>
      <c r="P183" s="311">
        <v>0.19289342285000982</v>
      </c>
      <c r="Q183" s="311">
        <v>0.22581256149805584</v>
      </c>
      <c r="R183" s="311">
        <v>0.18786170923207571</v>
      </c>
      <c r="S183" s="311">
        <v>0.18332875555272898</v>
      </c>
      <c r="T183" s="311">
        <v>0.19060149209760693</v>
      </c>
      <c r="U183" s="311">
        <v>0.16482386296496826</v>
      </c>
      <c r="V183" s="311">
        <v>0.17416192359648983</v>
      </c>
      <c r="W183" s="311">
        <v>0.20812529800420082</v>
      </c>
      <c r="X183" s="311">
        <v>0.21404515817763622</v>
      </c>
      <c r="Y183" s="311">
        <v>0.23290499156942296</v>
      </c>
      <c r="Z183" s="311">
        <v>0.19876220764609731</v>
      </c>
      <c r="AA183" s="311">
        <v>0.22845720140811815</v>
      </c>
      <c r="AB183" s="311">
        <v>0.15563131498869481</v>
      </c>
      <c r="AC183" s="311">
        <v>0.2147692345236695</v>
      </c>
      <c r="AD183" s="311">
        <v>0.18756888337898492</v>
      </c>
      <c r="AE183" s="38">
        <f>'User Add-in Location'!B187</f>
        <v>0</v>
      </c>
      <c r="AF183" s="38">
        <f>'User Add-in Location'!C187</f>
        <v>0</v>
      </c>
      <c r="AG183" s="311">
        <v>0.18614643589123467</v>
      </c>
      <c r="AH183" s="311">
        <v>0.21116331507172365</v>
      </c>
      <c r="AI183" s="311">
        <v>0.21520224484435382</v>
      </c>
      <c r="AJ183" s="311">
        <v>0.21820127098517783</v>
      </c>
      <c r="AK183" s="311">
        <v>0.19945658895679164</v>
      </c>
      <c r="AL183" s="311">
        <v>0.23981026547086787</v>
      </c>
      <c r="AM183" s="311">
        <v>0.22323161370338152</v>
      </c>
      <c r="AN183" s="311">
        <v>0.16402205321153307</v>
      </c>
      <c r="AO183" s="311">
        <v>0.22799128315284412</v>
      </c>
      <c r="AP183" s="311">
        <v>0.17762954174210038</v>
      </c>
      <c r="AQ183" s="311">
        <v>0.22908567239857502</v>
      </c>
      <c r="AR183" s="311">
        <v>0.22180935276896968</v>
      </c>
      <c r="AS183" s="311">
        <v>0.21173834670208</v>
      </c>
      <c r="AT183" s="311">
        <v>0.1770161225104725</v>
      </c>
      <c r="AU183" s="311">
        <v>0.17830619801021197</v>
      </c>
      <c r="AV183" s="311">
        <v>0.19404936059366817</v>
      </c>
      <c r="AW183" s="311">
        <v>0.19762369569754232</v>
      </c>
      <c r="AX183" s="311">
        <v>0.29502957206508684</v>
      </c>
      <c r="AY183" s="311">
        <v>0.25071408978926918</v>
      </c>
      <c r="AZ183" s="311">
        <v>0.1928284282478317</v>
      </c>
      <c r="BA183" s="311">
        <v>0.20784347787254914</v>
      </c>
      <c r="BB183" s="311">
        <v>0.21093123816043285</v>
      </c>
      <c r="BC183" s="311">
        <v>0.1529631998462021</v>
      </c>
      <c r="BD183" s="311">
        <v>0.2189000738942653</v>
      </c>
      <c r="BE183" s="311">
        <v>0.13783022016066998</v>
      </c>
      <c r="BF183" s="38"/>
      <c r="BG183" s="38"/>
    </row>
    <row r="184" spans="3:59" s="248" customFormat="1" ht="17" x14ac:dyDescent="0.25">
      <c r="C184" s="249" t="s">
        <v>614</v>
      </c>
      <c r="D184" s="311">
        <v>0.17409843691190968</v>
      </c>
      <c r="E184" s="311">
        <v>0.18819928332912067</v>
      </c>
      <c r="F184" s="311">
        <v>0.22557086718254898</v>
      </c>
      <c r="G184" s="311">
        <v>0.17886585502218366</v>
      </c>
      <c r="H184" s="311">
        <v>0.24000107888024719</v>
      </c>
      <c r="I184" s="311">
        <v>0.25462079176323749</v>
      </c>
      <c r="J184" s="311">
        <v>0.22226791367191601</v>
      </c>
      <c r="K184" s="311">
        <v>0.25971627277660192</v>
      </c>
      <c r="L184" s="311">
        <v>0.1971741336170815</v>
      </c>
      <c r="M184" s="311">
        <v>0.25592917974834256</v>
      </c>
      <c r="N184" s="311">
        <v>0.24628187931355566</v>
      </c>
      <c r="O184" s="311">
        <v>0.18973156172314987</v>
      </c>
      <c r="P184" s="311">
        <v>0.18179435526405446</v>
      </c>
      <c r="Q184" s="311">
        <v>0.26429719194548928</v>
      </c>
      <c r="R184" s="311">
        <v>0.20207101198401284</v>
      </c>
      <c r="S184" s="311">
        <v>0.21463584150793144</v>
      </c>
      <c r="T184" s="311">
        <v>0.20517138063867646</v>
      </c>
      <c r="U184" s="311">
        <v>0.1912567767765786</v>
      </c>
      <c r="V184" s="311">
        <v>0.1736652750611932</v>
      </c>
      <c r="W184" s="311">
        <v>0.21573170104107753</v>
      </c>
      <c r="X184" s="311">
        <v>0.22547086666808319</v>
      </c>
      <c r="Y184" s="311">
        <v>0.27203873805808776</v>
      </c>
      <c r="Z184" s="311">
        <v>0.20816859816587413</v>
      </c>
      <c r="AA184" s="311">
        <v>0.24604334571468198</v>
      </c>
      <c r="AB184" s="311">
        <v>0.15238093114176826</v>
      </c>
      <c r="AC184" s="311">
        <v>0.23219601867227418</v>
      </c>
      <c r="AD184" s="311">
        <v>0.20970448719183774</v>
      </c>
      <c r="AE184" s="38">
        <f>'User Add-in Location'!B188</f>
        <v>0</v>
      </c>
      <c r="AF184" s="38">
        <f>'User Add-in Location'!C188</f>
        <v>0</v>
      </c>
      <c r="AG184" s="311">
        <v>0.23292095328508899</v>
      </c>
      <c r="AH184" s="311">
        <v>0.19622154601086195</v>
      </c>
      <c r="AI184" s="311">
        <v>0.24221400215548985</v>
      </c>
      <c r="AJ184" s="311">
        <v>0.23934052912466325</v>
      </c>
      <c r="AK184" s="311">
        <v>0.17475930933657563</v>
      </c>
      <c r="AL184" s="311">
        <v>0.2436236742374201</v>
      </c>
      <c r="AM184" s="311">
        <v>0.24655396060506843</v>
      </c>
      <c r="AN184" s="311">
        <v>0.18824869054945451</v>
      </c>
      <c r="AO184" s="311">
        <v>0.23333549979779861</v>
      </c>
      <c r="AP184" s="311">
        <v>0.19595353803939886</v>
      </c>
      <c r="AQ184" s="311">
        <v>0.24878103208566787</v>
      </c>
      <c r="AR184" s="311">
        <v>0.26137080836951521</v>
      </c>
      <c r="AS184" s="311">
        <v>0.23422101807409285</v>
      </c>
      <c r="AT184" s="311">
        <v>0.18330011052507378</v>
      </c>
      <c r="AU184" s="311">
        <v>0.19641454979011874</v>
      </c>
      <c r="AV184" s="311">
        <v>0.20721828344387397</v>
      </c>
      <c r="AW184" s="311">
        <v>0.2303641401606423</v>
      </c>
      <c r="AX184" s="311">
        <v>0.31317878747983841</v>
      </c>
      <c r="AY184" s="311">
        <v>0.25234536347400227</v>
      </c>
      <c r="AZ184" s="311">
        <v>0.20039806973832169</v>
      </c>
      <c r="BA184" s="311">
        <v>0.22953071850523216</v>
      </c>
      <c r="BB184" s="311">
        <v>0.16043558079240239</v>
      </c>
      <c r="BC184" s="311">
        <v>0.15849734309221675</v>
      </c>
      <c r="BD184" s="311">
        <v>0.23437253407036049</v>
      </c>
      <c r="BE184" s="311">
        <v>0.15202308650913818</v>
      </c>
      <c r="BF184" s="38"/>
      <c r="BG184" s="38"/>
    </row>
    <row r="185" spans="3:59" s="248" customFormat="1" ht="17" x14ac:dyDescent="0.25">
      <c r="C185" s="249" t="s">
        <v>154</v>
      </c>
      <c r="D185" s="311">
        <v>0.2294436511462036</v>
      </c>
      <c r="E185" s="311">
        <v>0.19215528737038712</v>
      </c>
      <c r="F185" s="311">
        <v>0.31727886361729235</v>
      </c>
      <c r="G185" s="311">
        <v>0.21432371358746999</v>
      </c>
      <c r="H185" s="311">
        <v>0.26892225234402045</v>
      </c>
      <c r="I185" s="311">
        <v>0.33571826592041548</v>
      </c>
      <c r="J185" s="311">
        <v>0.27134885891527383</v>
      </c>
      <c r="K185" s="311">
        <v>0.18217864374081177</v>
      </c>
      <c r="L185" s="311">
        <v>0.19756555180094809</v>
      </c>
      <c r="M185" s="311">
        <v>0.35032155901795559</v>
      </c>
      <c r="N185" s="311">
        <v>0.26746945305041392</v>
      </c>
      <c r="O185" s="311">
        <v>0.21477414482622897</v>
      </c>
      <c r="P185" s="311">
        <v>0.25367309931343973</v>
      </c>
      <c r="Q185" s="311">
        <v>0.29025811449973543</v>
      </c>
      <c r="R185" s="311">
        <v>0.22260490434177244</v>
      </c>
      <c r="S185" s="311">
        <v>0.2231228585490283</v>
      </c>
      <c r="T185" s="311">
        <v>0.24205239945492599</v>
      </c>
      <c r="U185" s="311">
        <v>0.22488316659094659</v>
      </c>
      <c r="V185" s="311">
        <v>0.23272410076167649</v>
      </c>
      <c r="W185" s="311">
        <v>0.24794097384622821</v>
      </c>
      <c r="X185" s="311">
        <v>0.24685247059462412</v>
      </c>
      <c r="Y185" s="311">
        <v>0.28318876617584932</v>
      </c>
      <c r="Z185" s="311">
        <v>0.26303791668391074</v>
      </c>
      <c r="AA185" s="311">
        <v>0.30493008993801413</v>
      </c>
      <c r="AB185" s="311">
        <v>0.19937314903420669</v>
      </c>
      <c r="AC185" s="311">
        <v>0.26688801990840033</v>
      </c>
      <c r="AD185" s="311">
        <v>0.23538519008327385</v>
      </c>
      <c r="AE185" s="38">
        <f>'User Add-in Location'!B189</f>
        <v>0</v>
      </c>
      <c r="AF185" s="38">
        <f>'User Add-in Location'!C189</f>
        <v>0</v>
      </c>
      <c r="AG185" s="311">
        <v>0.26036079703429765</v>
      </c>
      <c r="AH185" s="311">
        <v>0.30291805281013551</v>
      </c>
      <c r="AI185" s="311">
        <v>0.25444666461636201</v>
      </c>
      <c r="AJ185" s="311">
        <v>0.2990403412196454</v>
      </c>
      <c r="AK185" s="311">
        <v>0.20175021300283735</v>
      </c>
      <c r="AL185" s="311">
        <v>0.21765217036959233</v>
      </c>
      <c r="AM185" s="311">
        <v>0.24296967147125359</v>
      </c>
      <c r="AN185" s="311">
        <v>0.24376215450821567</v>
      </c>
      <c r="AO185" s="311">
        <v>0.26205139403654165</v>
      </c>
      <c r="AP185" s="311">
        <v>0.25119521105955545</v>
      </c>
      <c r="AQ185" s="311">
        <v>0.25119040437049145</v>
      </c>
      <c r="AR185" s="311">
        <v>0.28972695243626895</v>
      </c>
      <c r="AS185" s="311">
        <v>0.27567596861404775</v>
      </c>
      <c r="AT185" s="311">
        <v>0.23739333537708987</v>
      </c>
      <c r="AU185" s="311">
        <v>0.21764521842998155</v>
      </c>
      <c r="AV185" s="311">
        <v>0.25179461775160672</v>
      </c>
      <c r="AW185" s="311">
        <v>0.3324975739711753</v>
      </c>
      <c r="AX185" s="311">
        <v>0.34781021714000093</v>
      </c>
      <c r="AY185" s="311">
        <v>0.31959563956773879</v>
      </c>
      <c r="AZ185" s="311">
        <v>0.21667506054301952</v>
      </c>
      <c r="BA185" s="311">
        <v>0.24996074221919373</v>
      </c>
      <c r="BB185" s="311">
        <v>0.24797966597219023</v>
      </c>
      <c r="BC185" s="311">
        <v>0.17283737468354776</v>
      </c>
      <c r="BD185" s="311">
        <v>0.25533214092687756</v>
      </c>
      <c r="BE185" s="311">
        <v>0.22653734015087235</v>
      </c>
      <c r="BF185" s="38"/>
      <c r="BG185" s="38"/>
    </row>
    <row r="186" spans="3:59" s="248" customFormat="1" ht="17" x14ac:dyDescent="0.25">
      <c r="C186" s="249" t="s">
        <v>615</v>
      </c>
      <c r="D186" s="311">
        <v>0.18895496177040094</v>
      </c>
      <c r="E186" s="311">
        <v>0.18375572080740232</v>
      </c>
      <c r="F186" s="311">
        <v>0.25099187208491541</v>
      </c>
      <c r="G186" s="311">
        <v>0.18586158529327412</v>
      </c>
      <c r="H186" s="311">
        <v>0.26432331055631952</v>
      </c>
      <c r="I186" s="311">
        <v>0.25690342753198125</v>
      </c>
      <c r="J186" s="311">
        <v>0.22266446141908369</v>
      </c>
      <c r="K186" s="311">
        <v>0.20730823868726106</v>
      </c>
      <c r="L186" s="311">
        <v>0.17326576050082745</v>
      </c>
      <c r="M186" s="311">
        <v>0.26352827405150281</v>
      </c>
      <c r="N186" s="311">
        <v>0.24899167009348105</v>
      </c>
      <c r="O186" s="311">
        <v>0.20306726986061202</v>
      </c>
      <c r="P186" s="311">
        <v>0.20263913366970948</v>
      </c>
      <c r="Q186" s="311">
        <v>0.25956794494276281</v>
      </c>
      <c r="R186" s="311">
        <v>0.20196523016471807</v>
      </c>
      <c r="S186" s="311">
        <v>0.19490921485370988</v>
      </c>
      <c r="T186" s="311">
        <v>0.21214993393270531</v>
      </c>
      <c r="U186" s="311">
        <v>0.18765207638993395</v>
      </c>
      <c r="V186" s="311">
        <v>0.18733450165412679</v>
      </c>
      <c r="W186" s="311">
        <v>0.219873267210526</v>
      </c>
      <c r="X186" s="311">
        <v>0.22106182998675225</v>
      </c>
      <c r="Y186" s="311">
        <v>0.2481316975285241</v>
      </c>
      <c r="Z186" s="311">
        <v>0.22254984423718932</v>
      </c>
      <c r="AA186" s="311">
        <v>0.23504001993045032</v>
      </c>
      <c r="AB186" s="311">
        <v>0.17603891272324357</v>
      </c>
      <c r="AC186" s="311">
        <v>0.23520963390796118</v>
      </c>
      <c r="AD186" s="311">
        <v>0.19806312799497916</v>
      </c>
      <c r="AE186" s="38">
        <f>'User Add-in Location'!B190</f>
        <v>0</v>
      </c>
      <c r="AF186" s="38">
        <f>'User Add-in Location'!C190</f>
        <v>0</v>
      </c>
      <c r="AG186" s="311">
        <v>0.2223877404870703</v>
      </c>
      <c r="AH186" s="311">
        <v>0.19218204839750663</v>
      </c>
      <c r="AI186" s="311">
        <v>0.21546346901631613</v>
      </c>
      <c r="AJ186" s="311">
        <v>0.2371721556590479</v>
      </c>
      <c r="AK186" s="311">
        <v>0.19914768227260132</v>
      </c>
      <c r="AL186" s="311">
        <v>0.23776323865634719</v>
      </c>
      <c r="AM186" s="311">
        <v>0.24182347703615892</v>
      </c>
      <c r="AN186" s="311">
        <v>0.18016623270966758</v>
      </c>
      <c r="AO186" s="311">
        <v>0.2361988088865567</v>
      </c>
      <c r="AP186" s="311">
        <v>0.20033161821361861</v>
      </c>
      <c r="AQ186" s="311">
        <v>0.22545727621735215</v>
      </c>
      <c r="AR186" s="311">
        <v>0.22279984355869942</v>
      </c>
      <c r="AS186" s="311">
        <v>0.23345570669933963</v>
      </c>
      <c r="AT186" s="311">
        <v>0.19841521902014095</v>
      </c>
      <c r="AU186" s="311">
        <v>0.19839879522845155</v>
      </c>
      <c r="AV186" s="311">
        <v>0.21845323003353012</v>
      </c>
      <c r="AW186" s="311">
        <v>0.25058994955506025</v>
      </c>
      <c r="AX186" s="311">
        <v>0.33824991583601305</v>
      </c>
      <c r="AY186" s="311">
        <v>0.26005422447620763</v>
      </c>
      <c r="AZ186" s="311">
        <v>0.20660722195868278</v>
      </c>
      <c r="BA186" s="311">
        <v>0.21264981044993381</v>
      </c>
      <c r="BB186" s="311">
        <v>0.22293562774494899</v>
      </c>
      <c r="BC186" s="311">
        <v>0.16416568095911288</v>
      </c>
      <c r="BD186" s="311">
        <v>0.21910010465762331</v>
      </c>
      <c r="BE186" s="311">
        <v>0.16027582362846865</v>
      </c>
      <c r="BF186" s="38"/>
      <c r="BG186" s="38"/>
    </row>
    <row r="187" spans="3:59" s="248" customFormat="1" ht="17" x14ac:dyDescent="0.25">
      <c r="C187" s="249" t="s">
        <v>616</v>
      </c>
      <c r="D187" s="311">
        <v>0.20463638954467941</v>
      </c>
      <c r="E187" s="311">
        <v>0.20115600397984462</v>
      </c>
      <c r="F187" s="311">
        <v>0.26060011653629478</v>
      </c>
      <c r="G187" s="311">
        <v>0.21112400579592086</v>
      </c>
      <c r="H187" s="311">
        <v>0.26690192708788563</v>
      </c>
      <c r="I187" s="311">
        <v>0.27574028324460903</v>
      </c>
      <c r="J187" s="311">
        <v>0.24784006174302192</v>
      </c>
      <c r="K187" s="311">
        <v>0.2173178518830885</v>
      </c>
      <c r="L187" s="311">
        <v>0.147474592991517</v>
      </c>
      <c r="M187" s="311">
        <v>0.26520390915300285</v>
      </c>
      <c r="N187" s="311">
        <v>0.24414702890498352</v>
      </c>
      <c r="O187" s="311">
        <v>0.22635574621595075</v>
      </c>
      <c r="P187" s="311">
        <v>0.22473348121245984</v>
      </c>
      <c r="Q187" s="311">
        <v>0.2420131937583363</v>
      </c>
      <c r="R187" s="311">
        <v>0.19930978584827436</v>
      </c>
      <c r="S187" s="311">
        <v>0.21517452451999319</v>
      </c>
      <c r="T187" s="311">
        <v>0.23592210670519334</v>
      </c>
      <c r="U187" s="311">
        <v>0.20150379339576946</v>
      </c>
      <c r="V187" s="311">
        <v>0.19320989980342723</v>
      </c>
      <c r="W187" s="311">
        <v>0.24974917299410976</v>
      </c>
      <c r="X187" s="311">
        <v>0.24411288160522915</v>
      </c>
      <c r="Y187" s="311">
        <v>0.26892412652269565</v>
      </c>
      <c r="Z187" s="311">
        <v>0.24241552394684729</v>
      </c>
      <c r="AA187" s="311">
        <v>0.24715126120157124</v>
      </c>
      <c r="AB187" s="311">
        <v>0.18342376334056992</v>
      </c>
      <c r="AC187" s="311">
        <v>0.2339777166513744</v>
      </c>
      <c r="AD187" s="311">
        <v>0.21598719830938914</v>
      </c>
      <c r="AE187" s="38">
        <f>'User Add-in Location'!B191</f>
        <v>0</v>
      </c>
      <c r="AF187" s="38">
        <f>'User Add-in Location'!C191</f>
        <v>0</v>
      </c>
      <c r="AG187" s="311">
        <v>0.23079296603800914</v>
      </c>
      <c r="AH187" s="311">
        <v>0.2209395206460939</v>
      </c>
      <c r="AI187" s="311">
        <v>0.24857332706648672</v>
      </c>
      <c r="AJ187" s="311">
        <v>0.24255077405764591</v>
      </c>
      <c r="AK187" s="311">
        <v>0.20706415536418921</v>
      </c>
      <c r="AL187" s="311">
        <v>0.23319262725280376</v>
      </c>
      <c r="AM187" s="311">
        <v>0.24261726640723325</v>
      </c>
      <c r="AN187" s="311">
        <v>0.19951079530283786</v>
      </c>
      <c r="AO187" s="311">
        <v>0.26058687684722925</v>
      </c>
      <c r="AP187" s="311">
        <v>0.2038099595191869</v>
      </c>
      <c r="AQ187" s="311">
        <v>0.23074727378753684</v>
      </c>
      <c r="AR187" s="311">
        <v>0.25108511917744553</v>
      </c>
      <c r="AS187" s="311">
        <v>0.27530131131360391</v>
      </c>
      <c r="AT187" s="311">
        <v>0.2065065333740666</v>
      </c>
      <c r="AU187" s="311">
        <v>0.22709017440530238</v>
      </c>
      <c r="AV187" s="311">
        <v>0.22590921795636118</v>
      </c>
      <c r="AW187" s="311">
        <v>0.23628967530565886</v>
      </c>
      <c r="AX187" s="311">
        <v>0.32289714811815778</v>
      </c>
      <c r="AY187" s="311">
        <v>0.30071128724755347</v>
      </c>
      <c r="AZ187" s="311">
        <v>0.24517612057126123</v>
      </c>
      <c r="BA187" s="311">
        <v>0.21623561417267567</v>
      </c>
      <c r="BB187" s="311">
        <v>0.24450658252254442</v>
      </c>
      <c r="BC187" s="311">
        <v>0.17475810391187052</v>
      </c>
      <c r="BD187" s="311">
        <v>0.24343249982916601</v>
      </c>
      <c r="BE187" s="311">
        <v>0.17415218828370249</v>
      </c>
      <c r="BF187" s="38"/>
      <c r="BG187" s="38"/>
    </row>
    <row r="188" spans="3:59" s="248" customFormat="1" ht="17" x14ac:dyDescent="0.25">
      <c r="C188" s="249" t="s">
        <v>80</v>
      </c>
      <c r="D188" s="311">
        <v>4.6722290195037153E-2</v>
      </c>
      <c r="E188" s="311">
        <v>1.8823747961488155E-2</v>
      </c>
      <c r="F188" s="311">
        <v>7.5712837023086163E-2</v>
      </c>
      <c r="G188" s="311">
        <v>3.8712067633025052E-2</v>
      </c>
      <c r="H188" s="311">
        <v>6.1174134957374449E-2</v>
      </c>
      <c r="I188" s="311">
        <v>3.0938931473397061E-2</v>
      </c>
      <c r="J188" s="311">
        <v>7.4423765697237632E-2</v>
      </c>
      <c r="K188" s="311">
        <v>1.9064202082209283E-2</v>
      </c>
      <c r="L188" s="311">
        <v>5.3165629669337418E-3</v>
      </c>
      <c r="M188" s="311">
        <v>4.5960809888279247E-2</v>
      </c>
      <c r="N188" s="311">
        <v>1.8621518335293387E-2</v>
      </c>
      <c r="O188" s="311">
        <v>3.299478489631677E-2</v>
      </c>
      <c r="P188" s="311">
        <v>5.03242596216412E-2</v>
      </c>
      <c r="Q188" s="311">
        <v>1.737538223793398E-2</v>
      </c>
      <c r="R188" s="311">
        <v>3.1826254969622284E-2</v>
      </c>
      <c r="S188" s="311">
        <v>3.1397339580526082E-2</v>
      </c>
      <c r="T188" s="311">
        <v>3.9792214367987064E-2</v>
      </c>
      <c r="U188" s="311">
        <v>4.3782712983361519E-2</v>
      </c>
      <c r="V188" s="311">
        <v>5.8441911246877115E-2</v>
      </c>
      <c r="W188" s="311">
        <v>4.3235491836479886E-2</v>
      </c>
      <c r="X188" s="311">
        <v>7.264704523023211E-3</v>
      </c>
      <c r="Y188" s="311">
        <v>1.8014616679479505E-2</v>
      </c>
      <c r="Z188" s="311">
        <v>3.2867266941360877E-2</v>
      </c>
      <c r="AA188" s="311">
        <v>6.7261007500666839E-2</v>
      </c>
      <c r="AB188" s="311">
        <v>3.109226794401905E-2</v>
      </c>
      <c r="AC188" s="311">
        <v>4.1343738162779538E-2</v>
      </c>
      <c r="AD188" s="311">
        <v>4.5251203005945678E-2</v>
      </c>
      <c r="AE188" s="38">
        <f>'User Add-in Location'!B192</f>
        <v>0</v>
      </c>
      <c r="AF188" s="38">
        <f>'User Add-in Location'!C192</f>
        <v>0</v>
      </c>
      <c r="AG188" s="311">
        <v>3.3053529812213642E-2</v>
      </c>
      <c r="AH188" s="311">
        <v>0.11679031726424903</v>
      </c>
      <c r="AI188" s="311">
        <v>4.1373969039447234E-2</v>
      </c>
      <c r="AJ188" s="311">
        <v>4.3322943207482353E-2</v>
      </c>
      <c r="AK188" s="311">
        <v>5.6966252960954207E-2</v>
      </c>
      <c r="AL188" s="311">
        <v>4.5692749724778228E-2</v>
      </c>
      <c r="AM188" s="311">
        <v>2.6879146639086207E-2</v>
      </c>
      <c r="AN188" s="311">
        <v>0.10378357291354788</v>
      </c>
      <c r="AO188" s="311">
        <v>3.4828090640765183E-2</v>
      </c>
      <c r="AP188" s="311">
        <v>0.10077253761776662</v>
      </c>
      <c r="AQ188" s="311">
        <v>5.2744735628382368E-2</v>
      </c>
      <c r="AR188" s="311">
        <v>6.0800335727023508E-2</v>
      </c>
      <c r="AS188" s="311">
        <v>1.7136040518456921E-2</v>
      </c>
      <c r="AT188" s="311">
        <v>3.3173116003779736E-2</v>
      </c>
      <c r="AU188" s="311">
        <v>9.5499449728218222E-2</v>
      </c>
      <c r="AV188" s="311">
        <v>5.4577679329216075E-2</v>
      </c>
      <c r="AW188" s="311">
        <v>5.1809412050216282E-2</v>
      </c>
      <c r="AX188" s="311">
        <v>6.5755444559519677E-2</v>
      </c>
      <c r="AY188" s="311">
        <v>3.092754399898583E-2</v>
      </c>
      <c r="AZ188" s="311">
        <v>2.5987885965463343E-2</v>
      </c>
      <c r="BA188" s="311">
        <v>3.7464332574415241E-2</v>
      </c>
      <c r="BB188" s="311">
        <v>7.7019501450993122E-2</v>
      </c>
      <c r="BC188" s="311">
        <v>3.8911617354891945E-2</v>
      </c>
      <c r="BD188" s="311">
        <v>4.6284949629489959E-2</v>
      </c>
      <c r="BE188" s="311">
        <v>3.6694753018291025E-2</v>
      </c>
      <c r="BF188" s="38"/>
      <c r="BG188" s="38"/>
    </row>
    <row r="189" spans="3:59" s="248" customFormat="1" ht="17" x14ac:dyDescent="0.25">
      <c r="C189" s="249"/>
      <c r="D189" s="311"/>
      <c r="E189" s="311"/>
      <c r="F189" s="311"/>
      <c r="G189" s="311"/>
      <c r="H189" s="311"/>
      <c r="I189" s="311"/>
      <c r="J189" s="311"/>
      <c r="K189" s="311"/>
      <c r="L189" s="311"/>
      <c r="M189" s="311"/>
      <c r="N189" s="311"/>
      <c r="O189" s="311"/>
      <c r="P189" s="311"/>
      <c r="Q189" s="311"/>
      <c r="R189" s="311"/>
      <c r="S189" s="311"/>
      <c r="T189" s="311"/>
      <c r="U189" s="311"/>
      <c r="V189" s="311"/>
      <c r="W189" s="311"/>
      <c r="X189" s="311"/>
      <c r="Y189" s="311"/>
      <c r="Z189" s="311"/>
      <c r="AA189" s="311"/>
      <c r="AB189" s="311"/>
      <c r="AC189" s="311"/>
      <c r="AD189" s="311"/>
      <c r="AE189" s="38"/>
      <c r="AF189" s="38"/>
      <c r="AG189" s="311"/>
      <c r="AH189" s="311"/>
      <c r="AI189" s="311"/>
      <c r="AJ189" s="311"/>
      <c r="AK189" s="311"/>
      <c r="AL189" s="311"/>
      <c r="AM189" s="311"/>
      <c r="AN189" s="311"/>
      <c r="AO189" s="311"/>
      <c r="AP189" s="311"/>
      <c r="AQ189" s="311"/>
      <c r="AR189" s="311"/>
      <c r="AS189" s="311"/>
      <c r="AT189" s="311"/>
      <c r="AU189" s="311"/>
      <c r="AV189" s="311"/>
      <c r="AW189" s="311"/>
      <c r="AX189" s="311"/>
      <c r="AY189" s="311"/>
      <c r="AZ189" s="311"/>
      <c r="BA189" s="311"/>
      <c r="BB189" s="311"/>
      <c r="BC189" s="311"/>
      <c r="BD189" s="311"/>
      <c r="BE189" s="311"/>
      <c r="BF189" s="38"/>
      <c r="BG189" s="38"/>
    </row>
    <row r="190" spans="3:59" s="248" customFormat="1" ht="17" x14ac:dyDescent="0.25">
      <c r="C190" s="250" t="s">
        <v>609</v>
      </c>
      <c r="D190" s="311"/>
      <c r="E190" s="311"/>
      <c r="F190" s="311"/>
      <c r="G190" s="311"/>
      <c r="H190" s="311"/>
      <c r="I190" s="311"/>
      <c r="J190" s="311"/>
      <c r="K190" s="311"/>
      <c r="L190" s="311"/>
      <c r="M190" s="311"/>
      <c r="N190" s="311"/>
      <c r="O190" s="311"/>
      <c r="P190" s="311"/>
      <c r="Q190" s="311"/>
      <c r="R190" s="311"/>
      <c r="S190" s="311"/>
      <c r="T190" s="311"/>
      <c r="U190" s="311"/>
      <c r="V190" s="311"/>
      <c r="W190" s="311"/>
      <c r="X190" s="311"/>
      <c r="Y190" s="311"/>
      <c r="Z190" s="311"/>
      <c r="AA190" s="311"/>
      <c r="AB190" s="311"/>
      <c r="AC190" s="311"/>
      <c r="AD190" s="311"/>
      <c r="AE190" s="38"/>
      <c r="AF190" s="38"/>
      <c r="AG190" s="311"/>
      <c r="AH190" s="311"/>
      <c r="AI190" s="311"/>
      <c r="AJ190" s="311"/>
      <c r="AK190" s="311"/>
      <c r="AL190" s="311"/>
      <c r="AM190" s="311"/>
      <c r="AN190" s="311"/>
      <c r="AO190" s="311"/>
      <c r="AP190" s="311"/>
      <c r="AQ190" s="311"/>
      <c r="AR190" s="311"/>
      <c r="AS190" s="311"/>
      <c r="AT190" s="311"/>
      <c r="AU190" s="311"/>
      <c r="AV190" s="311"/>
      <c r="AW190" s="311"/>
      <c r="AX190" s="311"/>
      <c r="AY190" s="311"/>
      <c r="AZ190" s="311"/>
      <c r="BA190" s="311"/>
      <c r="BB190" s="311"/>
      <c r="BC190" s="311"/>
      <c r="BD190" s="311"/>
      <c r="BE190" s="311"/>
      <c r="BF190" s="38"/>
      <c r="BG190" s="38"/>
    </row>
    <row r="191" spans="3:59" s="248" customFormat="1" ht="17" x14ac:dyDescent="0.25">
      <c r="C191" s="250" t="s">
        <v>618</v>
      </c>
      <c r="D191" s="311" t="s">
        <v>82</v>
      </c>
      <c r="E191" s="311" t="s">
        <v>83</v>
      </c>
      <c r="F191" s="311" t="s">
        <v>84</v>
      </c>
      <c r="G191" s="311" t="s">
        <v>85</v>
      </c>
      <c r="H191" s="311" t="s">
        <v>86</v>
      </c>
      <c r="I191" s="311" t="s">
        <v>87</v>
      </c>
      <c r="J191" s="311" t="s">
        <v>88</v>
      </c>
      <c r="K191" s="311" t="s">
        <v>89</v>
      </c>
      <c r="L191" s="311" t="s">
        <v>90</v>
      </c>
      <c r="M191" s="311" t="s">
        <v>91</v>
      </c>
      <c r="N191" s="311" t="s">
        <v>92</v>
      </c>
      <c r="O191" s="311" t="s">
        <v>93</v>
      </c>
      <c r="P191" s="311" t="s">
        <v>94</v>
      </c>
      <c r="Q191" s="311" t="s">
        <v>95</v>
      </c>
      <c r="R191" s="311" t="s">
        <v>96</v>
      </c>
      <c r="S191" s="311" t="s">
        <v>97</v>
      </c>
      <c r="T191" s="311" t="s">
        <v>98</v>
      </c>
      <c r="U191" s="311" t="s">
        <v>99</v>
      </c>
      <c r="V191" s="311" t="s">
        <v>100</v>
      </c>
      <c r="W191" s="311" t="s">
        <v>101</v>
      </c>
      <c r="X191" s="311" t="s">
        <v>102</v>
      </c>
      <c r="Y191" s="311" t="s">
        <v>103</v>
      </c>
      <c r="Z191" s="311" t="s">
        <v>104</v>
      </c>
      <c r="AA191" s="311" t="s">
        <v>105</v>
      </c>
      <c r="AB191" s="311" t="s">
        <v>106</v>
      </c>
      <c r="AC191" s="311" t="s">
        <v>107</v>
      </c>
      <c r="AD191" s="311" t="s">
        <v>108</v>
      </c>
      <c r="AE191" s="38" t="s">
        <v>322</v>
      </c>
      <c r="AF191" s="38" t="s">
        <v>321</v>
      </c>
      <c r="AG191" s="311" t="s">
        <v>109</v>
      </c>
      <c r="AH191" s="311" t="s">
        <v>110</v>
      </c>
      <c r="AI191" s="311" t="s">
        <v>111</v>
      </c>
      <c r="AJ191" s="311" t="s">
        <v>112</v>
      </c>
      <c r="AK191" s="311" t="s">
        <v>113</v>
      </c>
      <c r="AL191" s="311" t="s">
        <v>114</v>
      </c>
      <c r="AM191" s="311" t="s">
        <v>115</v>
      </c>
      <c r="AN191" s="311" t="s">
        <v>116</v>
      </c>
      <c r="AO191" s="311" t="s">
        <v>117</v>
      </c>
      <c r="AP191" s="311" t="s">
        <v>118</v>
      </c>
      <c r="AQ191" s="311" t="s">
        <v>119</v>
      </c>
      <c r="AR191" s="311" t="s">
        <v>120</v>
      </c>
      <c r="AS191" s="311" t="s">
        <v>121</v>
      </c>
      <c r="AT191" s="311" t="s">
        <v>122</v>
      </c>
      <c r="AU191" s="311" t="s">
        <v>123</v>
      </c>
      <c r="AV191" s="311" t="s">
        <v>124</v>
      </c>
      <c r="AW191" s="311" t="s">
        <v>125</v>
      </c>
      <c r="AX191" s="311" t="s">
        <v>585</v>
      </c>
      <c r="AY191" s="311" t="s">
        <v>126</v>
      </c>
      <c r="AZ191" s="311" t="s">
        <v>127</v>
      </c>
      <c r="BA191" s="311" t="s">
        <v>128</v>
      </c>
      <c r="BB191" s="311" t="s">
        <v>129</v>
      </c>
      <c r="BC191" s="311" t="s">
        <v>130</v>
      </c>
      <c r="BD191" s="311" t="s">
        <v>131</v>
      </c>
      <c r="BE191" s="311" t="s">
        <v>81</v>
      </c>
      <c r="BF191" s="38"/>
      <c r="BG191" s="38"/>
    </row>
    <row r="192" spans="3:59" s="248" customFormat="1" ht="17" x14ac:dyDescent="0.25">
      <c r="C192" s="249" t="s">
        <v>76</v>
      </c>
      <c r="D192" s="311">
        <v>0.17631017969408197</v>
      </c>
      <c r="E192" s="311">
        <v>0.14476462484547092</v>
      </c>
      <c r="F192" s="311">
        <v>0.27741416070180808</v>
      </c>
      <c r="G192" s="311">
        <v>0.17263071015783971</v>
      </c>
      <c r="H192" s="311">
        <v>0.32459387886904489</v>
      </c>
      <c r="I192" s="311">
        <v>0.24722625941377122</v>
      </c>
      <c r="J192" s="311">
        <v>0.23243925117246267</v>
      </c>
      <c r="K192" s="311">
        <v>0.20442795622065463</v>
      </c>
      <c r="L192" s="311">
        <v>0.14463805983595704</v>
      </c>
      <c r="M192" s="311">
        <v>0.32003134296213731</v>
      </c>
      <c r="N192" s="311">
        <v>0.23963032705054249</v>
      </c>
      <c r="O192" s="311">
        <v>0.23523591269556088</v>
      </c>
      <c r="P192" s="311">
        <v>0.20232676019434151</v>
      </c>
      <c r="Q192" s="311">
        <v>0.11613711408898428</v>
      </c>
      <c r="R192" s="311">
        <v>0.13098628132087997</v>
      </c>
      <c r="S192" s="311">
        <v>0.16999867644171712</v>
      </c>
      <c r="T192" s="311">
        <v>0.1453464744608805</v>
      </c>
      <c r="U192" s="311">
        <v>0.13623589332722918</v>
      </c>
      <c r="V192" s="311">
        <v>0.1477108234691431</v>
      </c>
      <c r="W192" s="311">
        <v>0.26776667280964417</v>
      </c>
      <c r="X192" s="311">
        <v>0.14855403600770328</v>
      </c>
      <c r="Y192" s="311">
        <v>0.36048542873506856</v>
      </c>
      <c r="Z192" s="311">
        <v>0.18460740273661869</v>
      </c>
      <c r="AA192" s="311">
        <v>0.22531884425776319</v>
      </c>
      <c r="AB192" s="311">
        <v>0.13754916224178748</v>
      </c>
      <c r="AC192" s="311">
        <v>0.11839875609370644</v>
      </c>
      <c r="AD192" s="311">
        <v>0.13750391080494842</v>
      </c>
      <c r="AE192" s="38">
        <f>'User Add-in Location'!B196</f>
        <v>0</v>
      </c>
      <c r="AF192" s="38">
        <f>'User Add-in Location'!C196</f>
        <v>0</v>
      </c>
      <c r="AG192" s="311">
        <v>0.19006371337115874</v>
      </c>
      <c r="AH192" s="311">
        <v>0.15068000778589624</v>
      </c>
      <c r="AI192" s="311">
        <v>0.24102630268571168</v>
      </c>
      <c r="AJ192" s="311">
        <v>0.24680260315828584</v>
      </c>
      <c r="AK192" s="311">
        <v>0.15517931858434525</v>
      </c>
      <c r="AL192" s="311">
        <v>0.18975065607682201</v>
      </c>
      <c r="AM192" s="311">
        <v>0.24466275117279296</v>
      </c>
      <c r="AN192" s="311">
        <v>6.8216644467482435E-2</v>
      </c>
      <c r="AO192" s="311">
        <v>0.17668223227720548</v>
      </c>
      <c r="AP192" s="311">
        <v>0.17663476632760863</v>
      </c>
      <c r="AQ192" s="311">
        <v>0.28635728154913309</v>
      </c>
      <c r="AR192" s="311">
        <v>0.23273798376481333</v>
      </c>
      <c r="AS192" s="311">
        <v>0.26595524788038438</v>
      </c>
      <c r="AT192" s="311">
        <v>0.11293231029567417</v>
      </c>
      <c r="AU192" s="311">
        <v>0.15385082657018864</v>
      </c>
      <c r="AV192" s="311">
        <v>0.13133347173241119</v>
      </c>
      <c r="AW192" s="311">
        <v>0.23696684730661896</v>
      </c>
      <c r="AX192" s="311">
        <v>0.4598388549548974</v>
      </c>
      <c r="AY192" s="311">
        <v>0.2092005663743689</v>
      </c>
      <c r="AZ192" s="311">
        <v>0.15959227386023028</v>
      </c>
      <c r="BA192" s="311">
        <v>0.14790625384366513</v>
      </c>
      <c r="BB192" s="311">
        <v>0.3052736203666101</v>
      </c>
      <c r="BC192" s="311">
        <v>7.4691653401220318E-2</v>
      </c>
      <c r="BD192" s="311">
        <v>0.20463861138958911</v>
      </c>
      <c r="BE192" s="311">
        <v>8.8111637768586826E-2</v>
      </c>
      <c r="BF192" s="38"/>
      <c r="BG192" s="38"/>
    </row>
    <row r="193" spans="3:59" s="248" customFormat="1" ht="17" x14ac:dyDescent="0.25">
      <c r="C193" s="249" t="s">
        <v>148</v>
      </c>
      <c r="D193" s="311">
        <v>7.9356111413158834E-2</v>
      </c>
      <c r="E193" s="311">
        <v>0.10809481637432067</v>
      </c>
      <c r="F193" s="311">
        <v>0.17458457083471954</v>
      </c>
      <c r="G193" s="311">
        <v>9.7740769449177728E-2</v>
      </c>
      <c r="H193" s="311">
        <v>0.24084950067230748</v>
      </c>
      <c r="I193" s="311">
        <v>0.39085381309293521</v>
      </c>
      <c r="J193" s="311">
        <v>4.8244579446800953E-2</v>
      </c>
      <c r="K193" s="311">
        <v>-4.6768676056515406E-2</v>
      </c>
      <c r="L193" s="311">
        <v>-0.6737481014640696</v>
      </c>
      <c r="M193" s="311">
        <v>0.1081213467724855</v>
      </c>
      <c r="N193" s="311">
        <v>0.17423924144875746</v>
      </c>
      <c r="O193" s="311">
        <v>0.12517435512148417</v>
      </c>
      <c r="P193" s="311">
        <v>0.15628072351072436</v>
      </c>
      <c r="Q193" s="311">
        <v>0.20944800944181324</v>
      </c>
      <c r="R193" s="311">
        <v>0.1104294603511876</v>
      </c>
      <c r="S193" s="311">
        <v>0.12171220698222007</v>
      </c>
      <c r="T193" s="311">
        <v>0.2664749712486511</v>
      </c>
      <c r="U193" s="311">
        <v>9.474089608601477E-2</v>
      </c>
      <c r="V193" s="311">
        <v>0.3080491605969734</v>
      </c>
      <c r="W193" s="311">
        <v>0.11414513707542537</v>
      </c>
      <c r="X193" s="311">
        <v>0.11006893754007238</v>
      </c>
      <c r="Y193" s="311">
        <v>0.32493549936827415</v>
      </c>
      <c r="Z193" s="311">
        <v>0.17248906367654415</v>
      </c>
      <c r="AA193" s="311">
        <v>0.15217913227011357</v>
      </c>
      <c r="AB193" s="311">
        <v>0.20398483563679581</v>
      </c>
      <c r="AC193" s="311">
        <v>0.12851413406537859</v>
      </c>
      <c r="AD193" s="311">
        <v>0.14984588824317419</v>
      </c>
      <c r="AE193" s="38">
        <f>'User Add-in Location'!B197</f>
        <v>0</v>
      </c>
      <c r="AF193" s="38">
        <f>'User Add-in Location'!C197</f>
        <v>0</v>
      </c>
      <c r="AG193" s="311">
        <v>0.13896092088194723</v>
      </c>
      <c r="AH193" s="311">
        <v>0.16199959378745049</v>
      </c>
      <c r="AI193" s="311">
        <v>0.16202672006923183</v>
      </c>
      <c r="AJ193" s="311">
        <v>0.15890462846380327</v>
      </c>
      <c r="AK193" s="311">
        <v>0.11940700219938813</v>
      </c>
      <c r="AL193" s="311">
        <v>0.30700159085168982</v>
      </c>
      <c r="AM193" s="311">
        <v>0.11690381400096497</v>
      </c>
      <c r="AN193" s="311">
        <v>0.14538305853092309</v>
      </c>
      <c r="AO193" s="311">
        <v>0.14916586405992516</v>
      </c>
      <c r="AP193" s="311">
        <v>0.23458833248041211</v>
      </c>
      <c r="AQ193" s="311">
        <v>0.13028825420207465</v>
      </c>
      <c r="AR193" s="311">
        <v>0.1632243402245675</v>
      </c>
      <c r="AS193" s="311">
        <v>0.11934892134024144</v>
      </c>
      <c r="AT193" s="311">
        <v>8.9917229607130153E-2</v>
      </c>
      <c r="AU193" s="311">
        <v>0.10825025082070003</v>
      </c>
      <c r="AV193" s="311">
        <v>0.13729249283378658</v>
      </c>
      <c r="AW193" s="311">
        <v>0.30268556351024295</v>
      </c>
      <c r="AX193" s="311">
        <v>0.43279242373856813</v>
      </c>
      <c r="AY193" s="311">
        <v>0.15091743136805341</v>
      </c>
      <c r="AZ193" s="311">
        <v>7.7505435008310378E-2</v>
      </c>
      <c r="BA193" s="311">
        <v>7.6670992094433205E-2</v>
      </c>
      <c r="BB193" s="311">
        <v>0.22506055282586473</v>
      </c>
      <c r="BC193" s="311">
        <v>8.8808306815355689E-2</v>
      </c>
      <c r="BD193" s="311">
        <v>0.11514440360162667</v>
      </c>
      <c r="BE193" s="311">
        <v>8.4141605145205578E-2</v>
      </c>
      <c r="BF193" s="38"/>
      <c r="BG193" s="38"/>
    </row>
    <row r="194" spans="3:59" s="248" customFormat="1" ht="17" x14ac:dyDescent="0.25">
      <c r="C194" s="249" t="s">
        <v>77</v>
      </c>
      <c r="D194" s="311">
        <v>0.17396436677003205</v>
      </c>
      <c r="E194" s="311">
        <v>0.20708929729053055</v>
      </c>
      <c r="F194" s="311">
        <v>0.24271195432270509</v>
      </c>
      <c r="G194" s="311">
        <v>0.16176837454249571</v>
      </c>
      <c r="H194" s="311">
        <v>0.27846253215747846</v>
      </c>
      <c r="I194" s="311">
        <v>0.26522661651350976</v>
      </c>
      <c r="J194" s="311">
        <v>0.25296023465117767</v>
      </c>
      <c r="K194" s="311">
        <v>0.20228784802425115</v>
      </c>
      <c r="L194" s="311">
        <v>6.9480354785934909E-2</v>
      </c>
      <c r="M194" s="311">
        <v>0.24689201586029494</v>
      </c>
      <c r="N194" s="311">
        <v>0.23276140781192672</v>
      </c>
      <c r="O194" s="311">
        <v>0.19630757262408172</v>
      </c>
      <c r="P194" s="311">
        <v>0.16379875081464285</v>
      </c>
      <c r="Q194" s="311">
        <v>0.27859894693987775</v>
      </c>
      <c r="R194" s="311">
        <v>0.20616062689163028</v>
      </c>
      <c r="S194" s="311">
        <v>0.19080070759641765</v>
      </c>
      <c r="T194" s="311">
        <v>0.19387111910604132</v>
      </c>
      <c r="U194" s="311">
        <v>0.16443815447266119</v>
      </c>
      <c r="V194" s="311">
        <v>0.19734081347571047</v>
      </c>
      <c r="W194" s="311">
        <v>0.22297910708223054</v>
      </c>
      <c r="X194" s="311">
        <v>0.22623415276056327</v>
      </c>
      <c r="Y194" s="311">
        <v>0.28112262173311353</v>
      </c>
      <c r="Z194" s="311">
        <v>0.22567518305410078</v>
      </c>
      <c r="AA194" s="311">
        <v>0.27936013556404027</v>
      </c>
      <c r="AB194" s="311">
        <v>0.14180413308961254</v>
      </c>
      <c r="AC194" s="311">
        <v>0.23510449565061292</v>
      </c>
      <c r="AD194" s="311">
        <v>0.17030370611965251</v>
      </c>
      <c r="AE194" s="38">
        <f>'User Add-in Location'!B198</f>
        <v>0</v>
      </c>
      <c r="AF194" s="38">
        <f>'User Add-in Location'!C198</f>
        <v>0</v>
      </c>
      <c r="AG194" s="311">
        <v>0.22408427174544288</v>
      </c>
      <c r="AH194" s="311">
        <v>0.20705668919197015</v>
      </c>
      <c r="AI194" s="311">
        <v>0.29930776230560424</v>
      </c>
      <c r="AJ194" s="311">
        <v>0.26563725889321266</v>
      </c>
      <c r="AK194" s="311">
        <v>0.15495803683786968</v>
      </c>
      <c r="AL194" s="311">
        <v>0.22739412908347684</v>
      </c>
      <c r="AM194" s="311">
        <v>0.23335542539472204</v>
      </c>
      <c r="AN194" s="311">
        <v>0.17521776813919746</v>
      </c>
      <c r="AO194" s="311">
        <v>0.25693498258367897</v>
      </c>
      <c r="AP194" s="311">
        <v>0.19755834581993759</v>
      </c>
      <c r="AQ194" s="311">
        <v>0.23550770852378761</v>
      </c>
      <c r="AR194" s="311">
        <v>0.26427113667157143</v>
      </c>
      <c r="AS194" s="311">
        <v>0.23160277788588213</v>
      </c>
      <c r="AT194" s="311">
        <v>0.16465511327592997</v>
      </c>
      <c r="AU194" s="311">
        <v>0.1891263765967181</v>
      </c>
      <c r="AV194" s="311">
        <v>0.24987610858890832</v>
      </c>
      <c r="AW194" s="311">
        <v>0.27297653150146539</v>
      </c>
      <c r="AX194" s="311">
        <v>0.48083622042604385</v>
      </c>
      <c r="AY194" s="311">
        <v>0.23894888501639722</v>
      </c>
      <c r="AZ194" s="311">
        <v>0.21092049198995966</v>
      </c>
      <c r="BA194" s="311">
        <v>0.21376878395088078</v>
      </c>
      <c r="BB194" s="311">
        <v>0.2369249637532303</v>
      </c>
      <c r="BC194" s="311">
        <v>0.14112575008109682</v>
      </c>
      <c r="BD194" s="311">
        <v>0.23103368751849332</v>
      </c>
      <c r="BE194" s="311">
        <v>0.11468401051813272</v>
      </c>
      <c r="BF194" s="38"/>
      <c r="BG194" s="38"/>
    </row>
    <row r="195" spans="3:59" s="248" customFormat="1" ht="17" x14ac:dyDescent="0.25">
      <c r="C195" s="249" t="s">
        <v>149</v>
      </c>
      <c r="D195" s="311">
        <v>9.215638422090322E-2</v>
      </c>
      <c r="E195" s="311">
        <v>9.3798956748461837E-2</v>
      </c>
      <c r="F195" s="311">
        <v>0.1763119049738828</v>
      </c>
      <c r="G195" s="311">
        <v>9.8731415082912485E-2</v>
      </c>
      <c r="H195" s="311">
        <v>0.19020671877477019</v>
      </c>
      <c r="I195" s="311">
        <v>0.18613736392759153</v>
      </c>
      <c r="J195" s="311">
        <v>0.17551459728364771</v>
      </c>
      <c r="K195" s="311">
        <v>0.11309089024790944</v>
      </c>
      <c r="L195" s="311">
        <v>5.5503571695281979E-2</v>
      </c>
      <c r="M195" s="311">
        <v>0.17566749243273133</v>
      </c>
      <c r="N195" s="311">
        <v>0.14832604691603529</v>
      </c>
      <c r="O195" s="311">
        <v>9.7995082555185548E-2</v>
      </c>
      <c r="P195" s="311">
        <v>0.10444580709083784</v>
      </c>
      <c r="Q195" s="311">
        <v>0.17380624328075583</v>
      </c>
      <c r="R195" s="311">
        <v>0.10419617180268992</v>
      </c>
      <c r="S195" s="311">
        <v>0.10359920663890002</v>
      </c>
      <c r="T195" s="311">
        <v>0.11404161584465283</v>
      </c>
      <c r="U195" s="311">
        <v>8.4032593777516498E-2</v>
      </c>
      <c r="V195" s="311">
        <v>7.8701245482561966E-2</v>
      </c>
      <c r="W195" s="311">
        <v>0.13508790670228918</v>
      </c>
      <c r="X195" s="311">
        <v>0.1340386673429087</v>
      </c>
      <c r="Y195" s="311">
        <v>0.17895594974152204</v>
      </c>
      <c r="Z195" s="311">
        <v>0.1376717081734139</v>
      </c>
      <c r="AA195" s="311">
        <v>0.17799060579893461</v>
      </c>
      <c r="AB195" s="311">
        <v>7.7298448635802208E-2</v>
      </c>
      <c r="AC195" s="311">
        <v>0.12362682017896895</v>
      </c>
      <c r="AD195" s="311">
        <v>7.6946605475994773E-2</v>
      </c>
      <c r="AE195" s="38">
        <f>'User Add-in Location'!B199</f>
        <v>0</v>
      </c>
      <c r="AF195" s="38">
        <f>'User Add-in Location'!C199</f>
        <v>0</v>
      </c>
      <c r="AG195" s="311">
        <v>0.1111392070401756</v>
      </c>
      <c r="AH195" s="311">
        <v>0.12904791083026268</v>
      </c>
      <c r="AI195" s="311">
        <v>0.17269374391361814</v>
      </c>
      <c r="AJ195" s="311">
        <v>0.16909970246133049</v>
      </c>
      <c r="AK195" s="311">
        <v>6.771676275368857E-2</v>
      </c>
      <c r="AL195" s="311">
        <v>0.14091822049034428</v>
      </c>
      <c r="AM195" s="311">
        <v>0.12324022470442381</v>
      </c>
      <c r="AN195" s="311">
        <v>8.8127921782799906E-2</v>
      </c>
      <c r="AO195" s="311">
        <v>0.14864613035209057</v>
      </c>
      <c r="AP195" s="311">
        <v>0.11623636343174616</v>
      </c>
      <c r="AQ195" s="311">
        <v>0.14469340133776259</v>
      </c>
      <c r="AR195" s="311">
        <v>0.1626673764230801</v>
      </c>
      <c r="AS195" s="311">
        <v>0.14717045520129102</v>
      </c>
      <c r="AT195" s="311">
        <v>9.6065423322253429E-2</v>
      </c>
      <c r="AU195" s="311">
        <v>0.11217504826152147</v>
      </c>
      <c r="AV195" s="311">
        <v>0.12517766955429477</v>
      </c>
      <c r="AW195" s="311">
        <v>0.15643674951760864</v>
      </c>
      <c r="AX195" s="311">
        <v>0.36509050608521143</v>
      </c>
      <c r="AY195" s="311">
        <v>0.14817997961985735</v>
      </c>
      <c r="AZ195" s="311">
        <v>0.11554025778868833</v>
      </c>
      <c r="BA195" s="311">
        <v>0.11944645127144284</v>
      </c>
      <c r="BB195" s="311">
        <v>0.13914912291023296</v>
      </c>
      <c r="BC195" s="311">
        <v>6.9671609830517733E-2</v>
      </c>
      <c r="BD195" s="311">
        <v>0.14480335082993634</v>
      </c>
      <c r="BE195" s="311">
        <v>4.7737167988232229E-2</v>
      </c>
      <c r="BF195" s="38"/>
      <c r="BG195" s="38"/>
    </row>
    <row r="196" spans="3:59" s="248" customFormat="1" ht="17" x14ac:dyDescent="0.25">
      <c r="C196" s="249" t="s">
        <v>611</v>
      </c>
      <c r="D196" s="311">
        <v>0.12995948165309656</v>
      </c>
      <c r="E196" s="311">
        <v>0.13968776915067355</v>
      </c>
      <c r="F196" s="311">
        <v>0.2059812242825825</v>
      </c>
      <c r="G196" s="311">
        <v>0.1261200982627485</v>
      </c>
      <c r="H196" s="311">
        <v>0.24875293705399146</v>
      </c>
      <c r="I196" s="311">
        <v>0.21345989389783032</v>
      </c>
      <c r="J196" s="311">
        <v>0.2015898682384453</v>
      </c>
      <c r="K196" s="311">
        <v>0.16510286472794028</v>
      </c>
      <c r="L196" s="311">
        <v>0</v>
      </c>
      <c r="M196" s="311">
        <v>0.21768112663927972</v>
      </c>
      <c r="N196" s="311">
        <v>0.19349634412711988</v>
      </c>
      <c r="O196" s="311">
        <v>0.16846924199711258</v>
      </c>
      <c r="P196" s="311">
        <v>0.13188754236710223</v>
      </c>
      <c r="Q196" s="311">
        <v>0.240633096372556</v>
      </c>
      <c r="R196" s="311">
        <v>0.15607354997028366</v>
      </c>
      <c r="S196" s="311">
        <v>0.13425137930489481</v>
      </c>
      <c r="T196" s="311">
        <v>0.14444849715449276</v>
      </c>
      <c r="U196" s="311">
        <v>0.13999141396626352</v>
      </c>
      <c r="V196" s="311">
        <v>0.15176964782275476</v>
      </c>
      <c r="W196" s="311">
        <v>0.15269100552803083</v>
      </c>
      <c r="X196" s="311">
        <v>0.18559233657125429</v>
      </c>
      <c r="Y196" s="311">
        <v>0.22321980921363932</v>
      </c>
      <c r="Z196" s="311">
        <v>0.20535757244959624</v>
      </c>
      <c r="AA196" s="311">
        <v>0.24089369139279748</v>
      </c>
      <c r="AB196" s="311">
        <v>0.11388046384679157</v>
      </c>
      <c r="AC196" s="311">
        <v>0.19304164026535969</v>
      </c>
      <c r="AD196" s="311">
        <v>0.12351524348604279</v>
      </c>
      <c r="AE196" s="38">
        <f>'User Add-in Location'!B200</f>
        <v>0</v>
      </c>
      <c r="AF196" s="38">
        <f>'User Add-in Location'!C200</f>
        <v>0</v>
      </c>
      <c r="AG196" s="311">
        <v>0.15009247055255076</v>
      </c>
      <c r="AH196" s="311">
        <v>0.17050490331283319</v>
      </c>
      <c r="AI196" s="311">
        <v>0.20475094812703887</v>
      </c>
      <c r="AJ196" s="311">
        <v>0.23706433033845115</v>
      </c>
      <c r="AK196" s="311">
        <v>0.11026733938563837</v>
      </c>
      <c r="AL196" s="311">
        <v>0.18790339913041332</v>
      </c>
      <c r="AM196" s="311">
        <v>0.18197445893516939</v>
      </c>
      <c r="AN196" s="311">
        <v>0.12074141869137008</v>
      </c>
      <c r="AO196" s="311">
        <v>0.21084307407565536</v>
      </c>
      <c r="AP196" s="311">
        <v>0.15339183352705615</v>
      </c>
      <c r="AQ196" s="311">
        <v>0.18435143578009683</v>
      </c>
      <c r="AR196" s="311">
        <v>0.22377675719500956</v>
      </c>
      <c r="AS196" s="311">
        <v>0.19780643483215687</v>
      </c>
      <c r="AT196" s="311">
        <v>0.1528072498243313</v>
      </c>
      <c r="AU196" s="311">
        <v>0.13039108155720086</v>
      </c>
      <c r="AV196" s="311">
        <v>0.19457704018363153</v>
      </c>
      <c r="AW196" s="311">
        <v>0.22483626574423166</v>
      </c>
      <c r="AX196" s="311">
        <v>0.45009444287126521</v>
      </c>
      <c r="AY196" s="311">
        <v>0.19521649566252602</v>
      </c>
      <c r="AZ196" s="311">
        <v>0.14945601455536844</v>
      </c>
      <c r="BA196" s="311">
        <v>0.18538347948824999</v>
      </c>
      <c r="BB196" s="311">
        <v>0.18256346514254873</v>
      </c>
      <c r="BC196" s="311">
        <v>0.10210087968460502</v>
      </c>
      <c r="BD196" s="311">
        <v>0.1990399604893171</v>
      </c>
      <c r="BE196" s="311">
        <v>8.0009349111963557E-2</v>
      </c>
      <c r="BF196" s="38"/>
      <c r="BG196" s="38"/>
    </row>
    <row r="197" spans="3:59" s="248" customFormat="1" ht="17" x14ac:dyDescent="0.25">
      <c r="C197" s="249" t="s">
        <v>151</v>
      </c>
      <c r="D197" s="311">
        <v>9.5019234906717639E-2</v>
      </c>
      <c r="E197" s="311">
        <v>0.11121209602485307</v>
      </c>
      <c r="F197" s="311">
        <v>0.16259703905446193</v>
      </c>
      <c r="G197" s="311">
        <v>0.10042383458824766</v>
      </c>
      <c r="H197" s="311">
        <v>0.20488848141995308</v>
      </c>
      <c r="I197" s="311">
        <v>0.18659008669027261</v>
      </c>
      <c r="J197" s="311">
        <v>0.19434826855923487</v>
      </c>
      <c r="K197" s="311">
        <v>0.16003664567573322</v>
      </c>
      <c r="L197" s="311">
        <v>4.8406468206977818E-2</v>
      </c>
      <c r="M197" s="311">
        <v>0.17750816006989889</v>
      </c>
      <c r="N197" s="311">
        <v>0.13826060975684729</v>
      </c>
      <c r="O197" s="311">
        <v>5.7917698262915464E-2</v>
      </c>
      <c r="P197" s="311">
        <v>0.10062445013447849</v>
      </c>
      <c r="Q197" s="311">
        <v>0.17317776306770249</v>
      </c>
      <c r="R197" s="311">
        <v>0.10720385391079244</v>
      </c>
      <c r="S197" s="311">
        <v>9.8065685703079997E-2</v>
      </c>
      <c r="T197" s="311">
        <v>0.11615452317737512</v>
      </c>
      <c r="U197" s="311">
        <v>0.10148021463847497</v>
      </c>
      <c r="V197" s="311">
        <v>0.10581237784182751</v>
      </c>
      <c r="W197" s="311">
        <v>0.15325163945076231</v>
      </c>
      <c r="X197" s="311">
        <v>0.11747220926270796</v>
      </c>
      <c r="Y197" s="311">
        <v>0.21112060141694783</v>
      </c>
      <c r="Z197" s="311">
        <v>0.15586965826520577</v>
      </c>
      <c r="AA197" s="311">
        <v>0.18287551963189005</v>
      </c>
      <c r="AB197" s="311">
        <v>6.1636702072272564E-2</v>
      </c>
      <c r="AC197" s="311">
        <v>0.11668417098916585</v>
      </c>
      <c r="AD197" s="311">
        <v>8.3547501206419572E-2</v>
      </c>
      <c r="AE197" s="38">
        <f>'User Add-in Location'!B201</f>
        <v>0</v>
      </c>
      <c r="AF197" s="38">
        <f>'User Add-in Location'!C201</f>
        <v>0</v>
      </c>
      <c r="AG197" s="311">
        <v>0.10526366029216816</v>
      </c>
      <c r="AH197" s="311">
        <v>0.14119967894390975</v>
      </c>
      <c r="AI197" s="311">
        <v>0.19924943471884465</v>
      </c>
      <c r="AJ197" s="311">
        <v>0.2387863545785846</v>
      </c>
      <c r="AK197" s="311">
        <v>8.6965696388624267E-2</v>
      </c>
      <c r="AL197" s="311">
        <v>0.14532041523728884</v>
      </c>
      <c r="AM197" s="311">
        <v>0.14288605211515537</v>
      </c>
      <c r="AN197" s="311">
        <v>7.8178072352864961E-2</v>
      </c>
      <c r="AO197" s="311">
        <v>0.17896354797523117</v>
      </c>
      <c r="AP197" s="311">
        <v>0.12715552016495738</v>
      </c>
      <c r="AQ197" s="311">
        <v>0.14170336492332963</v>
      </c>
      <c r="AR197" s="311">
        <v>0.18353741969146675</v>
      </c>
      <c r="AS197" s="311">
        <v>0.17499169072092588</v>
      </c>
      <c r="AT197" s="311">
        <v>0.1213386275092317</v>
      </c>
      <c r="AU197" s="311">
        <v>9.6350046483505009E-2</v>
      </c>
      <c r="AV197" s="311">
        <v>0.12831982708977019</v>
      </c>
      <c r="AW197" s="311">
        <v>0.16910213681425165</v>
      </c>
      <c r="AX197" s="311">
        <v>0.37988327964321711</v>
      </c>
      <c r="AY197" s="311">
        <v>0.13925846050230273</v>
      </c>
      <c r="AZ197" s="311">
        <v>0.16328971399920311</v>
      </c>
      <c r="BA197" s="311">
        <v>0.14750942652725707</v>
      </c>
      <c r="BB197" s="311">
        <v>0.1642118515163194</v>
      </c>
      <c r="BC197" s="311">
        <v>0.11485968797102414</v>
      </c>
      <c r="BD197" s="311">
        <v>0.12935952525429451</v>
      </c>
      <c r="BE197" s="311">
        <v>5.3776968550154569E-2</v>
      </c>
      <c r="BF197" s="38"/>
      <c r="BG197" s="38"/>
    </row>
    <row r="198" spans="3:59" s="248" customFormat="1" ht="17" x14ac:dyDescent="0.25">
      <c r="C198" s="249" t="s">
        <v>612</v>
      </c>
      <c r="D198" s="311">
        <v>0.12566302211490088</v>
      </c>
      <c r="E198" s="311">
        <v>0</v>
      </c>
      <c r="F198" s="311">
        <v>0.22779419755438374</v>
      </c>
      <c r="G198" s="311">
        <v>0.11751402875077432</v>
      </c>
      <c r="H198" s="311">
        <v>0.26830569031558288</v>
      </c>
      <c r="I198" s="311">
        <v>0.19513114225178732</v>
      </c>
      <c r="J198" s="311">
        <v>0.16200842283169564</v>
      </c>
      <c r="K198" s="311">
        <v>0.1659311015408686</v>
      </c>
      <c r="L198" s="311">
        <v>5.1375222164938263E-2</v>
      </c>
      <c r="M198" s="311">
        <v>0.21017868128434891</v>
      </c>
      <c r="N198" s="311">
        <v>0.17044311733498202</v>
      </c>
      <c r="O198" s="311">
        <v>8.523230345404989E-2</v>
      </c>
      <c r="P198" s="311">
        <v>0.13724523281190779</v>
      </c>
      <c r="Q198" s="311">
        <v>0.21400421228716529</v>
      </c>
      <c r="R198" s="311">
        <v>0.14218226306034037</v>
      </c>
      <c r="S198" s="311">
        <v>0.13038121888219581</v>
      </c>
      <c r="T198" s="311">
        <v>0.13469367798363163</v>
      </c>
      <c r="U198" s="311">
        <v>0.13036497102984126</v>
      </c>
      <c r="V198" s="311">
        <v>0.15600799801887202</v>
      </c>
      <c r="W198" s="311">
        <v>0.13900706667841484</v>
      </c>
      <c r="X198" s="311">
        <v>0.15833421547476306</v>
      </c>
      <c r="Y198" s="311">
        <v>0.21059954865245512</v>
      </c>
      <c r="Z198" s="311">
        <v>0.13182608169401761</v>
      </c>
      <c r="AA198" s="311">
        <v>0.20449468261607634</v>
      </c>
      <c r="AB198" s="311">
        <v>8.4620721096354656E-2</v>
      </c>
      <c r="AC198" s="311">
        <v>0.16452169775262848</v>
      </c>
      <c r="AD198" s="311">
        <v>0.10601558881323964</v>
      </c>
      <c r="AE198" s="38">
        <f>'User Add-in Location'!B202</f>
        <v>0</v>
      </c>
      <c r="AF198" s="38">
        <f>'User Add-in Location'!C202</f>
        <v>0</v>
      </c>
      <c r="AG198" s="311">
        <v>0.16090602981381014</v>
      </c>
      <c r="AH198" s="311">
        <v>9.6078421414348011E-2</v>
      </c>
      <c r="AI198" s="311">
        <v>0.20323586437201072</v>
      </c>
      <c r="AJ198" s="311">
        <v>0.20971044569995312</v>
      </c>
      <c r="AK198" s="311">
        <v>0.13662591416154446</v>
      </c>
      <c r="AL198" s="311">
        <v>0.17796496653466515</v>
      </c>
      <c r="AM198" s="311">
        <v>0.15107416163519394</v>
      </c>
      <c r="AN198" s="311">
        <v>0.12385282472817703</v>
      </c>
      <c r="AO198" s="311">
        <v>0.19153213708495814</v>
      </c>
      <c r="AP198" s="311">
        <v>0.14541877340613857</v>
      </c>
      <c r="AQ198" s="311">
        <v>0.11077571277282157</v>
      </c>
      <c r="AR198" s="311">
        <v>0.1996699572532975</v>
      </c>
      <c r="AS198" s="311">
        <v>0.16174431614859097</v>
      </c>
      <c r="AT198" s="311">
        <v>0.12483120938475256</v>
      </c>
      <c r="AU198" s="311">
        <v>0.12052308617211538</v>
      </c>
      <c r="AV198" s="311">
        <v>0.1727399652074702</v>
      </c>
      <c r="AW198" s="311">
        <v>0.20897468043925266</v>
      </c>
      <c r="AX198" s="311">
        <v>0.38841139980538064</v>
      </c>
      <c r="AY198" s="311">
        <v>0.18200557312626237</v>
      </c>
      <c r="AZ198" s="311">
        <v>0.15359481621485629</v>
      </c>
      <c r="BA198" s="311">
        <v>0.16011958736835635</v>
      </c>
      <c r="BB198" s="311">
        <v>0.15880976821800349</v>
      </c>
      <c r="BC198" s="311">
        <v>8.7649918726338205E-2</v>
      </c>
      <c r="BD198" s="311">
        <v>0.16083480107915021</v>
      </c>
      <c r="BE198" s="311">
        <v>0</v>
      </c>
      <c r="BF198" s="38"/>
      <c r="BG198" s="38"/>
    </row>
    <row r="199" spans="3:59" s="248" customFormat="1" ht="17" x14ac:dyDescent="0.25">
      <c r="C199" s="249" t="s">
        <v>153</v>
      </c>
      <c r="D199" s="311">
        <v>0.13399957396738643</v>
      </c>
      <c r="E199" s="311">
        <v>9.4984861817639391E-2</v>
      </c>
      <c r="F199" s="311">
        <v>0.20856225823219421</v>
      </c>
      <c r="G199" s="311">
        <v>0.15163896976229388</v>
      </c>
      <c r="H199" s="311">
        <v>0.25391374771882053</v>
      </c>
      <c r="I199" s="311">
        <v>0.2986437650719842</v>
      </c>
      <c r="J199" s="311">
        <v>0.24964617309159265</v>
      </c>
      <c r="K199" s="311">
        <v>0.16973789854886367</v>
      </c>
      <c r="L199" s="311">
        <v>7.3270738550257342E-2</v>
      </c>
      <c r="M199" s="311">
        <v>0.20949446988409395</v>
      </c>
      <c r="N199" s="311">
        <v>0.21956474312834501</v>
      </c>
      <c r="O199" s="311">
        <v>0.13833353037813106</v>
      </c>
      <c r="P199" s="311">
        <v>0.14902229156965954</v>
      </c>
      <c r="Q199" s="311">
        <v>0.25693812428414231</v>
      </c>
      <c r="R199" s="311">
        <v>0.16985314473354191</v>
      </c>
      <c r="S199" s="311">
        <v>0.15122250767517609</v>
      </c>
      <c r="T199" s="311">
        <v>0.16243045940893874</v>
      </c>
      <c r="U199" s="311">
        <v>0.14400634730544012</v>
      </c>
      <c r="V199" s="311">
        <v>0.15103855862401802</v>
      </c>
      <c r="W199" s="311">
        <v>0.15945852269069669</v>
      </c>
      <c r="X199" s="311">
        <v>0.17806818510187178</v>
      </c>
      <c r="Y199" s="311">
        <v>0.22157732491632509</v>
      </c>
      <c r="Z199" s="311">
        <v>0.19408810815347308</v>
      </c>
      <c r="AA199" s="311">
        <v>0.23518161563054335</v>
      </c>
      <c r="AB199" s="311">
        <v>0.10923821543815265</v>
      </c>
      <c r="AC199" s="311">
        <v>0.19222996190985436</v>
      </c>
      <c r="AD199" s="311">
        <v>0.14363422010113655</v>
      </c>
      <c r="AE199" s="38">
        <f>'User Add-in Location'!B203</f>
        <v>0</v>
      </c>
      <c r="AF199" s="38">
        <f>'User Add-in Location'!C203</f>
        <v>0</v>
      </c>
      <c r="AG199" s="311">
        <v>0.20134538888701103</v>
      </c>
      <c r="AH199" s="311">
        <v>0.15938297263024695</v>
      </c>
      <c r="AI199" s="311">
        <v>0.18203918951995859</v>
      </c>
      <c r="AJ199" s="311">
        <v>0.23188572023863871</v>
      </c>
      <c r="AK199" s="311">
        <v>0.13020068449794989</v>
      </c>
      <c r="AL199" s="311">
        <v>0.22127573440182102</v>
      </c>
      <c r="AM199" s="311">
        <v>0.18613036316228021</v>
      </c>
      <c r="AN199" s="311">
        <v>0.15433612909353978</v>
      </c>
      <c r="AO199" s="311">
        <v>0.2200833996450047</v>
      </c>
      <c r="AP199" s="311">
        <v>0.32087036734433733</v>
      </c>
      <c r="AQ199" s="311">
        <v>0.1815131723909289</v>
      </c>
      <c r="AR199" s="311">
        <v>0.25796922558756308</v>
      </c>
      <c r="AS199" s="311">
        <v>0.18271332304493482</v>
      </c>
      <c r="AT199" s="311">
        <v>0.13375564889340685</v>
      </c>
      <c r="AU199" s="311">
        <v>0.14802872012196588</v>
      </c>
      <c r="AV199" s="311">
        <v>0.20496820937944571</v>
      </c>
      <c r="AW199" s="311">
        <v>0.25236469150757979</v>
      </c>
      <c r="AX199" s="311">
        <v>0.43262611343403179</v>
      </c>
      <c r="AY199" s="311">
        <v>0.22842848840676283</v>
      </c>
      <c r="AZ199" s="311">
        <v>0.16203544670736642</v>
      </c>
      <c r="BA199" s="311">
        <v>0.19782387782006142</v>
      </c>
      <c r="BB199" s="311">
        <v>0.19698380014500855</v>
      </c>
      <c r="BC199" s="311">
        <v>0.11737739155163085</v>
      </c>
      <c r="BD199" s="311">
        <v>0.19565973261069397</v>
      </c>
      <c r="BE199" s="311">
        <v>0.10534756157394373</v>
      </c>
      <c r="BF199" s="38"/>
      <c r="BG199" s="38"/>
    </row>
    <row r="200" spans="3:59" s="248" customFormat="1" ht="17" x14ac:dyDescent="0.25">
      <c r="C200" s="249" t="s">
        <v>613</v>
      </c>
      <c r="D200" s="311">
        <v>0.17993618635847755</v>
      </c>
      <c r="E200" s="311">
        <v>0.14071042160138503</v>
      </c>
      <c r="F200" s="311">
        <v>0.28151299797760831</v>
      </c>
      <c r="G200" s="311">
        <v>0.16420738347161579</v>
      </c>
      <c r="H200" s="311">
        <v>0.27161399134191389</v>
      </c>
      <c r="I200" s="311">
        <v>0.29775071212896109</v>
      </c>
      <c r="J200" s="311">
        <v>0.22164080739954972</v>
      </c>
      <c r="K200" s="311">
        <v>0.22228930365634428</v>
      </c>
      <c r="L200" s="311">
        <v>8.3397228056588821E-2</v>
      </c>
      <c r="M200" s="311">
        <v>0.28276924204447662</v>
      </c>
      <c r="N200" s="311">
        <v>0.26453890558925225</v>
      </c>
      <c r="O200" s="311">
        <v>0.19515941286415539</v>
      </c>
      <c r="P200" s="311">
        <v>0.1762740828681984</v>
      </c>
      <c r="Q200" s="311">
        <v>0.29352578151589703</v>
      </c>
      <c r="R200" s="311">
        <v>0.20891470453485814</v>
      </c>
      <c r="S200" s="311">
        <v>0.18881331030577581</v>
      </c>
      <c r="T200" s="311">
        <v>0.19768955535875887</v>
      </c>
      <c r="U200" s="311">
        <v>0.16387065001341994</v>
      </c>
      <c r="V200" s="311">
        <v>0.17900675395821058</v>
      </c>
      <c r="W200" s="311">
        <v>0.21277372511236323</v>
      </c>
      <c r="X200" s="311">
        <v>0.23810259110481569</v>
      </c>
      <c r="Y200" s="311">
        <v>0.28958496273934148</v>
      </c>
      <c r="Z200" s="311">
        <v>0.24474567822875135</v>
      </c>
      <c r="AA200" s="311">
        <v>0.29535536538719737</v>
      </c>
      <c r="AB200" s="311">
        <v>0.13898406773714853</v>
      </c>
      <c r="AC200" s="311">
        <v>0.25247482252590991</v>
      </c>
      <c r="AD200" s="311">
        <v>0.16839642062206792</v>
      </c>
      <c r="AE200" s="38">
        <f>'User Add-in Location'!B204</f>
        <v>0</v>
      </c>
      <c r="AF200" s="38">
        <f>'User Add-in Location'!C204</f>
        <v>0</v>
      </c>
      <c r="AG200" s="311">
        <v>0.21546807293790737</v>
      </c>
      <c r="AH200" s="311">
        <v>0.21751072978169986</v>
      </c>
      <c r="AI200" s="311">
        <v>0.2896901245527137</v>
      </c>
      <c r="AJ200" s="311">
        <v>0.27942979582914074</v>
      </c>
      <c r="AK200" s="311">
        <v>0.14950384379901349</v>
      </c>
      <c r="AL200" s="311">
        <v>0.24216946835308689</v>
      </c>
      <c r="AM200" s="311">
        <v>0.25238047160524735</v>
      </c>
      <c r="AN200" s="311">
        <v>0.15743248978649432</v>
      </c>
      <c r="AO200" s="311">
        <v>0.2705580720259787</v>
      </c>
      <c r="AP200" s="311">
        <v>0.17211171926594868</v>
      </c>
      <c r="AQ200" s="311">
        <v>0.24561024048176941</v>
      </c>
      <c r="AR200" s="311">
        <v>0.27643399077852587</v>
      </c>
      <c r="AS200" s="311">
        <v>0.24433833700657392</v>
      </c>
      <c r="AT200" s="311">
        <v>0.18101378227424528</v>
      </c>
      <c r="AU200" s="311">
        <v>0.17788613416501697</v>
      </c>
      <c r="AV200" s="311">
        <v>0.23189694886180073</v>
      </c>
      <c r="AW200" s="311">
        <v>0.24506156821457625</v>
      </c>
      <c r="AX200" s="311">
        <v>0.43952694408325155</v>
      </c>
      <c r="AY200" s="311">
        <v>0.26838711608551102</v>
      </c>
      <c r="AZ200" s="311">
        <v>0.18905274697106933</v>
      </c>
      <c r="BA200" s="311">
        <v>0.23873441018302199</v>
      </c>
      <c r="BB200" s="311">
        <v>0.22787824214880176</v>
      </c>
      <c r="BC200" s="311">
        <v>0.14137358165863201</v>
      </c>
      <c r="BD200" s="311">
        <v>0.24296924249768659</v>
      </c>
      <c r="BE200" s="311">
        <v>0.12617121899718242</v>
      </c>
      <c r="BF200" s="38"/>
      <c r="BG200" s="38"/>
    </row>
    <row r="201" spans="3:59" s="248" customFormat="1" ht="17" x14ac:dyDescent="0.25">
      <c r="C201" s="249" t="s">
        <v>614</v>
      </c>
      <c r="D201" s="311">
        <v>0.18896288503038466</v>
      </c>
      <c r="E201" s="311">
        <v>0.21657806194688006</v>
      </c>
      <c r="F201" s="311">
        <v>0.30024236254582926</v>
      </c>
      <c r="G201" s="311">
        <v>0.19604588663855377</v>
      </c>
      <c r="H201" s="311">
        <v>0.30418450106581685</v>
      </c>
      <c r="I201" s="311">
        <v>0.30453297719110134</v>
      </c>
      <c r="J201" s="311">
        <v>0.28039862856066766</v>
      </c>
      <c r="K201" s="311">
        <v>0.25616941970914686</v>
      </c>
      <c r="L201" s="311">
        <v>7.8044211360942417E-2</v>
      </c>
      <c r="M201" s="311">
        <v>0.3209818064429093</v>
      </c>
      <c r="N201" s="311">
        <v>0.29344292343178074</v>
      </c>
      <c r="O201" s="311">
        <v>0.20854686513635629</v>
      </c>
      <c r="P201" s="311">
        <v>0.21254649840157316</v>
      </c>
      <c r="Q201" s="311">
        <v>0.32824207580833731</v>
      </c>
      <c r="R201" s="311">
        <v>0.22898640764160411</v>
      </c>
      <c r="S201" s="311">
        <v>0.20725045590677479</v>
      </c>
      <c r="T201" s="311">
        <v>0.20672890771677854</v>
      </c>
      <c r="U201" s="311">
        <v>0.20185632916508131</v>
      </c>
      <c r="V201" s="311">
        <v>0.20020683712452736</v>
      </c>
      <c r="W201" s="311">
        <v>0.24156707681951856</v>
      </c>
      <c r="X201" s="311">
        <v>0.25943133739258423</v>
      </c>
      <c r="Y201" s="311">
        <v>0.33077662348900339</v>
      </c>
      <c r="Z201" s="311">
        <v>0.25352861180343234</v>
      </c>
      <c r="AA201" s="311">
        <v>0.30326745693370438</v>
      </c>
      <c r="AB201" s="311">
        <v>0.16456289803082061</v>
      </c>
      <c r="AC201" s="311">
        <v>0.26360380650833004</v>
      </c>
      <c r="AD201" s="311">
        <v>0.2248235570319761</v>
      </c>
      <c r="AE201" s="38">
        <f>'User Add-in Location'!B205</f>
        <v>0</v>
      </c>
      <c r="AF201" s="38">
        <f>'User Add-in Location'!C205</f>
        <v>0</v>
      </c>
      <c r="AG201" s="311">
        <v>0.22662094493505958</v>
      </c>
      <c r="AH201" s="311">
        <v>0.2218557824427343</v>
      </c>
      <c r="AI201" s="311">
        <v>0.31757898771654003</v>
      </c>
      <c r="AJ201" s="311">
        <v>0.30631457536500167</v>
      </c>
      <c r="AK201" s="311">
        <v>0.1857896851300897</v>
      </c>
      <c r="AL201" s="311">
        <v>0.26576357670104483</v>
      </c>
      <c r="AM201" s="311">
        <v>0.28416241950072468</v>
      </c>
      <c r="AN201" s="311">
        <v>0.19473085188081432</v>
      </c>
      <c r="AO201" s="311">
        <v>0.27264202063928122</v>
      </c>
      <c r="AP201" s="311">
        <v>0.21435374802110443</v>
      </c>
      <c r="AQ201" s="311">
        <v>0.2933963368144486</v>
      </c>
      <c r="AR201" s="311">
        <v>0.31773171959005875</v>
      </c>
      <c r="AS201" s="311">
        <v>0.29858187160157257</v>
      </c>
      <c r="AT201" s="311">
        <v>0.20601097114336242</v>
      </c>
      <c r="AU201" s="311">
        <v>0.21346539339511844</v>
      </c>
      <c r="AV201" s="311">
        <v>0.27727850392300857</v>
      </c>
      <c r="AW201" s="311">
        <v>0.29256119533652414</v>
      </c>
      <c r="AX201" s="311">
        <v>0.48592981840838889</v>
      </c>
      <c r="AY201" s="311">
        <v>0.29422246968810595</v>
      </c>
      <c r="AZ201" s="311">
        <v>0.23174136353417835</v>
      </c>
      <c r="BA201" s="311">
        <v>0.25241289280631546</v>
      </c>
      <c r="BB201" s="311">
        <v>0.23592310195107136</v>
      </c>
      <c r="BC201" s="311">
        <v>0.16816593310864753</v>
      </c>
      <c r="BD201" s="311">
        <v>0.25627889960731465</v>
      </c>
      <c r="BE201" s="311">
        <v>0.12160787983196852</v>
      </c>
      <c r="BF201" s="38"/>
      <c r="BG201" s="38"/>
    </row>
    <row r="202" spans="3:59" s="248" customFormat="1" ht="17" x14ac:dyDescent="0.25">
      <c r="C202" s="249" t="s">
        <v>154</v>
      </c>
      <c r="D202" s="311">
        <v>0.13175297672590308</v>
      </c>
      <c r="E202" s="311">
        <v>0.1074528955727103</v>
      </c>
      <c r="F202" s="311">
        <v>0.22235195328841881</v>
      </c>
      <c r="G202" s="311">
        <v>0.12343950489951952</v>
      </c>
      <c r="H202" s="311">
        <v>0.20476174861071783</v>
      </c>
      <c r="I202" s="311">
        <v>0.2201826116046518</v>
      </c>
      <c r="J202" s="311">
        <v>0.23550484522233067</v>
      </c>
      <c r="K202" s="311">
        <v>0.1108302557094703</v>
      </c>
      <c r="L202" s="311">
        <v>5.2673071803182613E-2</v>
      </c>
      <c r="M202" s="311">
        <v>0.22509596663251988</v>
      </c>
      <c r="N202" s="311">
        <v>0.17736235888563817</v>
      </c>
      <c r="O202" s="311">
        <v>0.11681630071088361</v>
      </c>
      <c r="P202" s="311">
        <v>0.12161087789318911</v>
      </c>
      <c r="Q202" s="311">
        <v>0.23734296786647383</v>
      </c>
      <c r="R202" s="311">
        <v>0.17671934088513488</v>
      </c>
      <c r="S202" s="311">
        <v>0.12760610786757656</v>
      </c>
      <c r="T202" s="311">
        <v>0.13694235284657114</v>
      </c>
      <c r="U202" s="311">
        <v>0.13613450360060883</v>
      </c>
      <c r="V202" s="311">
        <v>0.12714426324184358</v>
      </c>
      <c r="W202" s="311">
        <v>0.14870004885759663</v>
      </c>
      <c r="X202" s="311">
        <v>0.17866434272634191</v>
      </c>
      <c r="Y202" s="311">
        <v>0.23381051185098947</v>
      </c>
      <c r="Z202" s="311">
        <v>0.18150114778425019</v>
      </c>
      <c r="AA202" s="311">
        <v>0.25756506677598501</v>
      </c>
      <c r="AB202" s="311">
        <v>9.7730722289920691E-2</v>
      </c>
      <c r="AC202" s="311">
        <v>0.18411352407422876</v>
      </c>
      <c r="AD202" s="311">
        <v>0.12064737332872275</v>
      </c>
      <c r="AE202" s="38">
        <f>'User Add-in Location'!B206</f>
        <v>0</v>
      </c>
      <c r="AF202" s="38">
        <f>'User Add-in Location'!C206</f>
        <v>0</v>
      </c>
      <c r="AG202" s="311">
        <v>0.14762657108244875</v>
      </c>
      <c r="AH202" s="311">
        <v>0.11830621592890991</v>
      </c>
      <c r="AI202" s="311">
        <v>0.1906274630524325</v>
      </c>
      <c r="AJ202" s="311">
        <v>0.22486627097623191</v>
      </c>
      <c r="AK202" s="311">
        <v>9.3524199882566966E-2</v>
      </c>
      <c r="AL202" s="311">
        <v>0.19662425455371854</v>
      </c>
      <c r="AM202" s="311">
        <v>0.17372662500788477</v>
      </c>
      <c r="AN202" s="311">
        <v>0.1241824274603459</v>
      </c>
      <c r="AO202" s="311">
        <v>0.16954490962028196</v>
      </c>
      <c r="AP202" s="311">
        <v>0.1375692672158525</v>
      </c>
      <c r="AQ202" s="311">
        <v>0.1537039763272133</v>
      </c>
      <c r="AR202" s="311">
        <v>0.20569636804823421</v>
      </c>
      <c r="AS202" s="311">
        <v>0.18963136130592917</v>
      </c>
      <c r="AT202" s="311">
        <v>0.14388047264457088</v>
      </c>
      <c r="AU202" s="311">
        <v>0.12338687716356869</v>
      </c>
      <c r="AV202" s="311">
        <v>0.19117523903491807</v>
      </c>
      <c r="AW202" s="311">
        <v>0.24046273250986255</v>
      </c>
      <c r="AX202" s="311">
        <v>0.34876650340037585</v>
      </c>
      <c r="AY202" s="311">
        <v>0.17653186636221607</v>
      </c>
      <c r="AZ202" s="311">
        <v>0.12081785824267596</v>
      </c>
      <c r="BA202" s="311">
        <v>0.16321276440086741</v>
      </c>
      <c r="BB202" s="311">
        <v>0.15722644538265626</v>
      </c>
      <c r="BC202" s="311">
        <v>9.0771553816427472E-2</v>
      </c>
      <c r="BD202" s="311">
        <v>0.16314207054332047</v>
      </c>
      <c r="BE202" s="311">
        <v>6.6137676129623457E-2</v>
      </c>
      <c r="BF202" s="38"/>
      <c r="BG202" s="38"/>
    </row>
    <row r="203" spans="3:59" s="248" customFormat="1" ht="17" x14ac:dyDescent="0.25">
      <c r="C203" s="249" t="s">
        <v>615</v>
      </c>
      <c r="D203" s="311">
        <v>0.22422557041239499</v>
      </c>
      <c r="E203" s="311">
        <v>0.21448087812701189</v>
      </c>
      <c r="F203" s="311">
        <v>0.33678557431391865</v>
      </c>
      <c r="G203" s="311">
        <v>0.21748352556286307</v>
      </c>
      <c r="H203" s="311">
        <v>0.34147347113656451</v>
      </c>
      <c r="I203" s="311">
        <v>0.33175288536782471</v>
      </c>
      <c r="J203" s="311">
        <v>0.29603538376571625</v>
      </c>
      <c r="K203" s="311">
        <v>0.26183799474366509</v>
      </c>
      <c r="L203" s="311">
        <v>9.8714319874501091E-2</v>
      </c>
      <c r="M203" s="311">
        <v>0.34517249799654526</v>
      </c>
      <c r="N203" s="311">
        <v>0.30963975977884539</v>
      </c>
      <c r="O203" s="311">
        <v>0.23525999215906546</v>
      </c>
      <c r="P203" s="311">
        <v>0.22122427090921964</v>
      </c>
      <c r="Q203" s="311">
        <v>0.3613047444297649</v>
      </c>
      <c r="R203" s="311">
        <v>0.2653561223025856</v>
      </c>
      <c r="S203" s="311">
        <v>0.22587785059673765</v>
      </c>
      <c r="T203" s="311">
        <v>0.24310646003654945</v>
      </c>
      <c r="U203" s="311">
        <v>0.22531547791738107</v>
      </c>
      <c r="V203" s="311">
        <v>0.22102937744920051</v>
      </c>
      <c r="W203" s="311">
        <v>0.27963865618528749</v>
      </c>
      <c r="X203" s="311">
        <v>0.29372262108751002</v>
      </c>
      <c r="Y203" s="311">
        <v>0.34673859125683781</v>
      </c>
      <c r="Z203" s="311">
        <v>0.30300095428021956</v>
      </c>
      <c r="AA203" s="311">
        <v>0.34388596817763728</v>
      </c>
      <c r="AB203" s="311">
        <v>0.17704674615775653</v>
      </c>
      <c r="AC203" s="311">
        <v>0.29027994287335934</v>
      </c>
      <c r="AD203" s="311">
        <v>0.21698520904412616</v>
      </c>
      <c r="AE203" s="38">
        <f>'User Add-in Location'!B207</f>
        <v>0</v>
      </c>
      <c r="AF203" s="38">
        <f>'User Add-in Location'!C207</f>
        <v>0</v>
      </c>
      <c r="AG203" s="311">
        <v>0.25405723419271331</v>
      </c>
      <c r="AH203" s="311">
        <v>0.24542438092179383</v>
      </c>
      <c r="AI203" s="311">
        <v>0.31867476975764564</v>
      </c>
      <c r="AJ203" s="311">
        <v>0.33957141373655475</v>
      </c>
      <c r="AK203" s="311">
        <v>0.18079476715383719</v>
      </c>
      <c r="AL203" s="311">
        <v>0.28437803198573636</v>
      </c>
      <c r="AM203" s="311">
        <v>0.30120311965220847</v>
      </c>
      <c r="AN203" s="311">
        <v>0.20698840764007165</v>
      </c>
      <c r="AO203" s="311">
        <v>0.32903117833781548</v>
      </c>
      <c r="AP203" s="311">
        <v>0.22671516406405112</v>
      </c>
      <c r="AQ203" s="311">
        <v>0.29537955985124831</v>
      </c>
      <c r="AR203" s="311">
        <v>0.34557664332064031</v>
      </c>
      <c r="AS203" s="311">
        <v>0.3081767956370583</v>
      </c>
      <c r="AT203" s="311">
        <v>0.22501089142988492</v>
      </c>
      <c r="AU203" s="311">
        <v>0.23262476358994649</v>
      </c>
      <c r="AV203" s="311">
        <v>0.31427226170048783</v>
      </c>
      <c r="AW203" s="311">
        <v>0.32066451510611493</v>
      </c>
      <c r="AX203" s="311">
        <v>0.54560128837417854</v>
      </c>
      <c r="AY203" s="311">
        <v>0.30084574195882985</v>
      </c>
      <c r="AZ203" s="311">
        <v>0.25091694098005324</v>
      </c>
      <c r="BA203" s="311">
        <v>0.29831838684363887</v>
      </c>
      <c r="BB203" s="311">
        <v>0.27658633155755824</v>
      </c>
      <c r="BC203" s="311">
        <v>0.20009693236850723</v>
      </c>
      <c r="BD203" s="311">
        <v>0.28988727893334609</v>
      </c>
      <c r="BE203" s="311">
        <v>0.13251905434075378</v>
      </c>
      <c r="BF203" s="38"/>
      <c r="BG203" s="38"/>
    </row>
    <row r="204" spans="3:59" s="248" customFormat="1" ht="17" x14ac:dyDescent="0.25">
      <c r="C204" s="249" t="s">
        <v>616</v>
      </c>
      <c r="D204" s="311">
        <v>0.24847564932501698</v>
      </c>
      <c r="E204" s="311">
        <v>0.24812366945667608</v>
      </c>
      <c r="F204" s="311">
        <v>0.37677048613939845</v>
      </c>
      <c r="G204" s="311">
        <v>0.23404551923298023</v>
      </c>
      <c r="H204" s="311">
        <v>0.39130601862734965</v>
      </c>
      <c r="I204" s="311">
        <v>0.39646028277310796</v>
      </c>
      <c r="J204" s="311">
        <v>0.34001062265395315</v>
      </c>
      <c r="K204" s="311">
        <v>0.28938052562594035</v>
      </c>
      <c r="L204" s="311">
        <v>0.10799494582512037</v>
      </c>
      <c r="M204" s="311">
        <v>0.39466547325023627</v>
      </c>
      <c r="N204" s="311">
        <v>0.36699767842916531</v>
      </c>
      <c r="O204" s="311">
        <v>0.2552196125074831</v>
      </c>
      <c r="P204" s="311">
        <v>0.22877557763957121</v>
      </c>
      <c r="Q204" s="311">
        <v>0.41338878240734861</v>
      </c>
      <c r="R204" s="311">
        <v>0.23676525145626715</v>
      </c>
      <c r="S204" s="311">
        <v>0.23792630395429037</v>
      </c>
      <c r="T204" s="311">
        <v>0.27418655622341015</v>
      </c>
      <c r="U204" s="311">
        <v>0.23912287629184961</v>
      </c>
      <c r="V204" s="311">
        <v>0.25789093113219885</v>
      </c>
      <c r="W204" s="311">
        <v>0.29672435559711108</v>
      </c>
      <c r="X204" s="311">
        <v>0.32412988451723457</v>
      </c>
      <c r="Y204" s="311">
        <v>0.37760930622943012</v>
      </c>
      <c r="Z204" s="311">
        <v>0.34160580796370937</v>
      </c>
      <c r="AA204" s="311">
        <v>0.37990931043815257</v>
      </c>
      <c r="AB204" s="311">
        <v>0.19637042129441556</v>
      </c>
      <c r="AC204" s="311">
        <v>0.32128339214952745</v>
      </c>
      <c r="AD204" s="311">
        <v>0.23657813506090508</v>
      </c>
      <c r="AE204" s="38">
        <f>'User Add-in Location'!B208</f>
        <v>0</v>
      </c>
      <c r="AF204" s="38">
        <f>'User Add-in Location'!C208</f>
        <v>0</v>
      </c>
      <c r="AG204" s="311">
        <v>0.26362297957727454</v>
      </c>
      <c r="AH204" s="311">
        <v>0.30343034278442171</v>
      </c>
      <c r="AI204" s="311">
        <v>0.34268235421743037</v>
      </c>
      <c r="AJ204" s="311">
        <v>0.37990525315270918</v>
      </c>
      <c r="AK204" s="311">
        <v>0.21620531759654271</v>
      </c>
      <c r="AL204" s="311">
        <v>0.3202231499928857</v>
      </c>
      <c r="AM204" s="311">
        <v>0.3140800263516611</v>
      </c>
      <c r="AN204" s="311">
        <v>0.22607305019637897</v>
      </c>
      <c r="AO204" s="311">
        <v>0.35458840688812121</v>
      </c>
      <c r="AP204" s="311">
        <v>0.2537754880114137</v>
      </c>
      <c r="AQ204" s="311">
        <v>0.28538651133916315</v>
      </c>
      <c r="AR204" s="311">
        <v>0.36710656247217616</v>
      </c>
      <c r="AS204" s="311">
        <v>0.31599556859474043</v>
      </c>
      <c r="AT204" s="311">
        <v>0.25765864903647895</v>
      </c>
      <c r="AU204" s="311">
        <v>0.23541785001701759</v>
      </c>
      <c r="AV204" s="311">
        <v>0.33280739652559299</v>
      </c>
      <c r="AW204" s="311">
        <v>0.37112565838475742</v>
      </c>
      <c r="AX204" s="311">
        <v>0.59776468346222744</v>
      </c>
      <c r="AY204" s="311">
        <v>0.34019672274978346</v>
      </c>
      <c r="AZ204" s="311">
        <v>0.27496962838435912</v>
      </c>
      <c r="BA204" s="311">
        <v>0.34000272039776103</v>
      </c>
      <c r="BB204" s="311">
        <v>0.30780698650080229</v>
      </c>
      <c r="BC204" s="311">
        <v>0.19953996523634965</v>
      </c>
      <c r="BD204" s="311">
        <v>0.30650894857016087</v>
      </c>
      <c r="BE204" s="311">
        <v>0.15742989224420156</v>
      </c>
      <c r="BF204" s="38"/>
      <c r="BG204" s="38"/>
    </row>
    <row r="205" spans="3:59" s="248" customFormat="1" ht="17" x14ac:dyDescent="0.25">
      <c r="C205" s="249" t="s">
        <v>80</v>
      </c>
      <c r="D205" s="311">
        <v>0.26825795189319951</v>
      </c>
      <c r="E205" s="311">
        <v>0.33382137737079964</v>
      </c>
      <c r="F205" s="311">
        <v>0.40441420912789705</v>
      </c>
      <c r="G205" s="311">
        <v>0.31482586575786509</v>
      </c>
      <c r="H205" s="311">
        <v>0.42675139246373878</v>
      </c>
      <c r="I205" s="311">
        <v>0.44619379943448784</v>
      </c>
      <c r="J205" s="311">
        <v>0.33298168510426707</v>
      </c>
      <c r="K205" s="311">
        <v>0.35656816439257683</v>
      </c>
      <c r="L205" s="311">
        <v>9.9178966310361077E-2</v>
      </c>
      <c r="M205" s="311">
        <v>0.44213487918560013</v>
      </c>
      <c r="N205" s="311">
        <v>0.45983615015743162</v>
      </c>
      <c r="O205" s="311">
        <v>0.34135427181637912</v>
      </c>
      <c r="P205" s="311">
        <v>0.31466641225243264</v>
      </c>
      <c r="Q205" s="311">
        <v>0.4984089315809197</v>
      </c>
      <c r="R205" s="311">
        <v>0.3475971523676738</v>
      </c>
      <c r="S205" s="311">
        <v>0.32123217460286313</v>
      </c>
      <c r="T205" s="311">
        <v>0.34488738112637618</v>
      </c>
      <c r="U205" s="311">
        <v>0.31586947606278665</v>
      </c>
      <c r="V205" s="311">
        <v>0.33563261766297159</v>
      </c>
      <c r="W205" s="311">
        <v>0.37501466162479585</v>
      </c>
      <c r="X205" s="311">
        <v>0.32140656814224366</v>
      </c>
      <c r="Y205" s="311">
        <v>0.34099851794913438</v>
      </c>
      <c r="Z205" s="311">
        <v>0.40624278463211516</v>
      </c>
      <c r="AA205" s="311">
        <v>0.41730354498827693</v>
      </c>
      <c r="AB205" s="311">
        <v>0.27511039430532841</v>
      </c>
      <c r="AC205" s="311">
        <v>0.39895142838836983</v>
      </c>
      <c r="AD205" s="311">
        <v>0.30946453563064036</v>
      </c>
      <c r="AE205" s="38">
        <f>'User Add-in Location'!B209</f>
        <v>0</v>
      </c>
      <c r="AF205" s="38">
        <f>'User Add-in Location'!C209</f>
        <v>0</v>
      </c>
      <c r="AG205" s="311">
        <v>0.36223879552010874</v>
      </c>
      <c r="AH205" s="311">
        <v>0.35418648810942033</v>
      </c>
      <c r="AI205" s="311">
        <v>0.33242843047434267</v>
      </c>
      <c r="AJ205" s="311">
        <v>0.42667857212523064</v>
      </c>
      <c r="AK205" s="311">
        <v>0.20811612414831113</v>
      </c>
      <c r="AL205" s="311">
        <v>0.36720401264525326</v>
      </c>
      <c r="AM205" s="311">
        <v>0.42545202646520086</v>
      </c>
      <c r="AN205" s="311">
        <v>0.28574715692330283</v>
      </c>
      <c r="AO205" s="311">
        <v>0.42484165819068254</v>
      </c>
      <c r="AP205" s="311">
        <v>0.27922937291713801</v>
      </c>
      <c r="AQ205" s="311">
        <v>0.38681752843164208</v>
      </c>
      <c r="AR205" s="311">
        <v>0.42824526185360823</v>
      </c>
      <c r="AS205" s="311">
        <v>0.35133704114721448</v>
      </c>
      <c r="AT205" s="311">
        <v>0.32151126298077609</v>
      </c>
      <c r="AU205" s="311">
        <v>0.30565432196424558</v>
      </c>
      <c r="AV205" s="311">
        <v>0.3854273728911356</v>
      </c>
      <c r="AW205" s="311">
        <v>0.40922517055800411</v>
      </c>
      <c r="AX205" s="311">
        <v>0.64043350765675133</v>
      </c>
      <c r="AY205" s="311">
        <v>0.39480933090982639</v>
      </c>
      <c r="AZ205" s="311">
        <v>0.36789748273063638</v>
      </c>
      <c r="BA205" s="311">
        <v>0.34113110671735603</v>
      </c>
      <c r="BB205" s="311">
        <v>0.35461076274701414</v>
      </c>
      <c r="BC205" s="311">
        <v>0.26282681966379018</v>
      </c>
      <c r="BD205" s="311">
        <v>0.39233776354379618</v>
      </c>
      <c r="BE205" s="311">
        <v>0.22019429290527989</v>
      </c>
      <c r="BF205" s="38"/>
      <c r="BG205" s="38"/>
    </row>
    <row r="206" spans="3:59" s="248" customFormat="1" x14ac:dyDescent="0.15">
      <c r="D206" s="25"/>
      <c r="AG206" s="151"/>
      <c r="AH206" s="151"/>
      <c r="AI206" s="151"/>
      <c r="AJ206" s="151"/>
      <c r="AK206" s="151"/>
      <c r="AL206" s="151"/>
      <c r="AM206" s="151"/>
      <c r="AN206" s="151"/>
      <c r="AO206" s="151"/>
      <c r="AP206" s="151"/>
      <c r="AQ206" s="151"/>
      <c r="AR206" s="151"/>
      <c r="AS206" s="151"/>
      <c r="AT206" s="151"/>
      <c r="AU206" s="151"/>
      <c r="AV206" s="151"/>
      <c r="AW206" s="151"/>
      <c r="AX206" s="151"/>
      <c r="AY206" s="151"/>
      <c r="AZ206" s="151"/>
      <c r="BA206" s="151"/>
      <c r="BB206" s="151"/>
      <c r="BC206" s="151"/>
      <c r="BD206" s="151"/>
      <c r="BE206" s="151"/>
    </row>
    <row r="207" spans="3:59" x14ac:dyDescent="0.15">
      <c r="C207" s="726" t="str">
        <f>CONCATENATE("Source:  IMPLAN™, using ",D2," state data.")</f>
        <v>Source:  IMPLAN™, using 2016 state data.</v>
      </c>
      <c r="D207" s="727"/>
      <c r="E207" s="727"/>
      <c r="F207" s="727"/>
      <c r="G207" s="727"/>
      <c r="H207" s="727"/>
    </row>
    <row r="210" spans="2:21" x14ac:dyDescent="0.15">
      <c r="C210" s="1" t="s">
        <v>132</v>
      </c>
    </row>
    <row r="211" spans="2:21" x14ac:dyDescent="0.15">
      <c r="D211" s="307" t="s">
        <v>281</v>
      </c>
      <c r="E211" s="11"/>
      <c r="F211" s="11"/>
      <c r="G211" s="11"/>
      <c r="H211" s="17" t="s">
        <v>282</v>
      </c>
      <c r="I211" s="11"/>
      <c r="J211" s="11"/>
      <c r="K211" s="11"/>
      <c r="L211" s="76" t="s">
        <v>283</v>
      </c>
      <c r="M211" s="11"/>
      <c r="N211" s="11"/>
      <c r="O211" s="11"/>
      <c r="P211" s="76" t="s">
        <v>609</v>
      </c>
      <c r="Q211" s="11"/>
      <c r="R211" s="11"/>
      <c r="S211" s="11"/>
    </row>
    <row r="212" spans="2:21" x14ac:dyDescent="0.15">
      <c r="D212" s="89" t="s">
        <v>145</v>
      </c>
      <c r="E212" s="11" t="s">
        <v>146</v>
      </c>
      <c r="F212" s="11" t="s">
        <v>147</v>
      </c>
      <c r="G212" s="11" t="s">
        <v>16</v>
      </c>
      <c r="H212" s="11" t="s">
        <v>145</v>
      </c>
      <c r="I212" s="11" t="s">
        <v>146</v>
      </c>
      <c r="J212" s="11" t="s">
        <v>147</v>
      </c>
      <c r="K212" s="11" t="s">
        <v>16</v>
      </c>
      <c r="L212" s="11" t="s">
        <v>145</v>
      </c>
      <c r="M212" s="11" t="s">
        <v>146</v>
      </c>
      <c r="N212" s="11" t="s">
        <v>147</v>
      </c>
      <c r="O212" s="11" t="s">
        <v>16</v>
      </c>
      <c r="P212" s="11" t="s">
        <v>145</v>
      </c>
      <c r="Q212" s="11" t="s">
        <v>146</v>
      </c>
      <c r="R212" s="11" t="s">
        <v>147</v>
      </c>
      <c r="S212" s="11" t="s">
        <v>16</v>
      </c>
      <c r="U212" s="11" t="s">
        <v>157</v>
      </c>
    </row>
    <row r="213" spans="2:21" ht="14.25" customHeight="1" x14ac:dyDescent="0.15">
      <c r="B213">
        <v>2</v>
      </c>
      <c r="C213" s="6" t="s">
        <v>76</v>
      </c>
      <c r="D213" s="306">
        <f>HLOOKUP(Calculations!$E$1,Multipliers!$D$4:$BE$18,$B213)</f>
        <v>7.299426501510923</v>
      </c>
      <c r="E213" s="38">
        <f>HLOOKUP(Calculations!$E$1,Multipliers!$D$21:$BE$35,B213)</f>
        <v>3.4222097350180718</v>
      </c>
      <c r="F213" s="38">
        <f>HLOOKUP(Calculations!$E$1,Multipliers!$D$38:$BE$52,$B213)</f>
        <v>2.4739774924684532</v>
      </c>
      <c r="G213" s="38">
        <f t="shared" ref="G213:G226" si="0">SUM(D213:F213)</f>
        <v>13.195613728997447</v>
      </c>
      <c r="H213" s="38">
        <f>HLOOKUP(Calculations!E$1,Multipliers!$D$55:$BE$69,B213)</f>
        <v>0.25769924714524906</v>
      </c>
      <c r="I213" s="38">
        <f>HLOOKUP(Calculations!$E$1,Multipliers!$D$72:$BE$86,$B213)</f>
        <v>0.19369360291136922</v>
      </c>
      <c r="J213" s="38">
        <f>HLOOKUP(Calculations!$E$1,Multipliers!$D$89:$BE$103,$B213)</f>
        <v>0.1431159346219803</v>
      </c>
      <c r="K213" s="38">
        <f t="shared" ref="K213:K226" si="1">SUM(H213:J213)</f>
        <v>0.59450878467859858</v>
      </c>
      <c r="L213" s="38">
        <f>HLOOKUP(Calculations!$E$1,Multipliers!$D$106:$BE$120,$B213)</f>
        <v>1</v>
      </c>
      <c r="M213" s="38">
        <f>HLOOKUP(Calculations!$E$1,Multipliers!$D$123:$BE$137,$B213)</f>
        <v>0.64281528977153357</v>
      </c>
      <c r="N213" s="38">
        <f>HLOOKUP(Calculations!$E$1,Multipliers!$D$140:$BE$154,$B213)</f>
        <v>0.42465367987460922</v>
      </c>
      <c r="O213" s="38">
        <f t="shared" ref="O213:O226" si="2">SUM(L213:N213)</f>
        <v>2.0674689696461428</v>
      </c>
      <c r="P213" s="38">
        <f>HLOOKUP(Calculations!$E$1,Multipliers!$D$157:$BE$171,$B213)</f>
        <v>0.30484222030906005</v>
      </c>
      <c r="Q213" s="38">
        <f>HLOOKUP(Calculations!$E$1,Multipliers!$D$174:$BE$188,$B213)</f>
        <v>0.29727699977447669</v>
      </c>
      <c r="R213" s="38">
        <f>HLOOKUP(Calculations!$E$1,Multipliers!$D$191:$BE$205,$B213)</f>
        <v>0.24722625941377122</v>
      </c>
      <c r="S213" s="38">
        <f t="shared" ref="S213" si="3">SUM(P213:R213)</f>
        <v>0.84934547949730799</v>
      </c>
      <c r="U213" s="38">
        <f>HLOOKUP(Calculations!$E$1,'Household Exp'!$C$3:$BD$17,$B213)</f>
        <v>6.2705551244774376E-3</v>
      </c>
    </row>
    <row r="214" spans="2:21" ht="17" x14ac:dyDescent="0.15">
      <c r="B214">
        <v>3</v>
      </c>
      <c r="C214" s="6" t="s">
        <v>148</v>
      </c>
      <c r="D214" s="306">
        <f>HLOOKUP(Calculations!$E$1,Multipliers!$D$4:$BE$18,$B214)</f>
        <v>3.5863594243095163</v>
      </c>
      <c r="E214" s="38">
        <f>HLOOKUP(Calculations!$E$1,Multipliers!$D$21:$BE$35,B214)</f>
        <v>1.2758277841380581</v>
      </c>
      <c r="F214" s="38">
        <f>HLOOKUP(Calculations!$E$1,Multipliers!$D$38:$BE$52,$B214)</f>
        <v>4.4920535342852013</v>
      </c>
      <c r="G214" s="38">
        <f t="shared" si="0"/>
        <v>9.3542407427327756</v>
      </c>
      <c r="H214" s="38">
        <f>HLOOKUP(Calculations!E$1,Multipliers!$D$55:$BE$69,B214)</f>
        <v>0.61571740827932264</v>
      </c>
      <c r="I214" s="38">
        <f>HLOOKUP(Calculations!$E$1,Multipliers!$D$72:$BE$86,$B214)</f>
        <v>0.10594371750827583</v>
      </c>
      <c r="J214" s="38">
        <f>HLOOKUP(Calculations!$E$1,Multipliers!$D$89:$BE$103,$B214)</f>
        <v>0.22619397952112191</v>
      </c>
      <c r="K214" s="38">
        <f t="shared" si="1"/>
        <v>0.9478551053087203</v>
      </c>
      <c r="L214" s="38">
        <f>HLOOKUP(Calculations!E$1,Multipliers!$D$106:$BE$120,B214)</f>
        <v>1</v>
      </c>
      <c r="M214" s="38">
        <f>HLOOKUP(Calculations!$E$1,Multipliers!$D$123:$BE$137,$B214)</f>
        <v>0.24685980691720033</v>
      </c>
      <c r="N214" s="38">
        <f>HLOOKUP(Calculations!$E$1,Multipliers!$D$140:$BE$154,$B214)</f>
        <v>0.67125121387653053</v>
      </c>
      <c r="O214" s="38">
        <f t="shared" si="2"/>
        <v>1.9181110207937309</v>
      </c>
      <c r="P214" s="38">
        <f>HLOOKUP(Calculations!$E$1,Multipliers!$D$157:$BE$171,$B214)</f>
        <v>0.68987783327744601</v>
      </c>
      <c r="Q214" s="38">
        <f>HLOOKUP(Calculations!$E$1,Multipliers!$D$174:$BE$188,$B214)</f>
        <v>0.14377734681290488</v>
      </c>
      <c r="R214" s="38">
        <f>HLOOKUP(Calculations!$E$1,Multipliers!$D$191:$BE$205,$B214)</f>
        <v>0.39085381309293521</v>
      </c>
      <c r="S214" s="38">
        <f t="shared" ref="S214:S226" si="4">SUM(P214:R214)</f>
        <v>1.224508993183286</v>
      </c>
      <c r="U214" s="38">
        <f>HLOOKUP(Calculations!$E$1,'Household Exp'!$C$3:$BD$17,$B214)</f>
        <v>1.3723398224191555E-5</v>
      </c>
    </row>
    <row r="215" spans="2:21" ht="17.25" customHeight="1" x14ac:dyDescent="0.15">
      <c r="B215">
        <v>4</v>
      </c>
      <c r="C215" s="6" t="s">
        <v>77</v>
      </c>
      <c r="D215" s="306">
        <f>HLOOKUP(Calculations!$E$1,Multipliers!$D$4:$BE$18,$B215)</f>
        <v>6.0107670588372395</v>
      </c>
      <c r="E215" s="38">
        <f>HLOOKUP(Calculations!$E$1,Multipliers!$D$21:$BE$35,B215)</f>
        <v>2.3499423855971999</v>
      </c>
      <c r="F215" s="38">
        <f>HLOOKUP(Calculations!$E$1,Multipliers!$D$38:$BE$52,$B215)</f>
        <v>3.0540872078369889</v>
      </c>
      <c r="G215" s="38">
        <f t="shared" si="0"/>
        <v>11.414796652271429</v>
      </c>
      <c r="H215" s="38">
        <f>HLOOKUP(Calculations!E$1,Multipliers!$D$55:$BE$69,B215)</f>
        <v>0.34877858694309871</v>
      </c>
      <c r="I215" s="38">
        <f>HLOOKUP(Calculations!$E$1,Multipliers!$D$72:$BE$86,$B215)</f>
        <v>0.13184975909280278</v>
      </c>
      <c r="J215" s="38">
        <f>HLOOKUP(Calculations!$E$1,Multipliers!$D$89:$BE$103,$B215)</f>
        <v>0.1535699809790004</v>
      </c>
      <c r="K215" s="38">
        <f t="shared" si="1"/>
        <v>0.63419832701490186</v>
      </c>
      <c r="L215" s="38">
        <f>HLOOKUP(Calculations!E$1,Multipliers!$D$106:$BE$120,B215)</f>
        <v>1</v>
      </c>
      <c r="M215" s="38">
        <f>HLOOKUP(Calculations!$E$1,Multipliers!$D$123:$BE$137,$B215)</f>
        <v>0.36684350116411224</v>
      </c>
      <c r="N215" s="38">
        <f>HLOOKUP(Calculations!$E$1,Multipliers!$D$140:$BE$154,$B215)</f>
        <v>0.45562784530920908</v>
      </c>
      <c r="O215" s="38">
        <f t="shared" si="2"/>
        <v>1.8224713464733213</v>
      </c>
      <c r="P215" s="38">
        <f>HLOOKUP(Calculations!$E$1,Multipliers!$D$157:$BE$171,$B215)</f>
        <v>0.49288209855532605</v>
      </c>
      <c r="Q215" s="38">
        <f>HLOOKUP(Calculations!$E$1,Multipliers!$D$174:$BE$188,$B215)</f>
        <v>0.20350203280231488</v>
      </c>
      <c r="R215" s="38">
        <f>HLOOKUP(Calculations!$E$1,Multipliers!$D$191:$BE$205,$B215)</f>
        <v>0.26522661651350976</v>
      </c>
      <c r="S215" s="38">
        <f t="shared" si="4"/>
        <v>0.96161074787115064</v>
      </c>
      <c r="U215" s="38">
        <f>HLOOKUP(Calculations!$E$1,'Household Exp'!$C$3:$BD$17,$B215)</f>
        <v>0</v>
      </c>
    </row>
    <row r="216" spans="2:21" ht="15" customHeight="1" x14ac:dyDescent="0.15">
      <c r="B216">
        <v>5</v>
      </c>
      <c r="C216" s="6" t="s">
        <v>149</v>
      </c>
      <c r="D216" s="306">
        <f>HLOOKUP(Calculations!$E$1,Multipliers!$D$4:$BE$18,$B216)</f>
        <v>2.2030461960473509</v>
      </c>
      <c r="E216" s="38">
        <f>HLOOKUP(Calculations!$E$1,Multipliers!$D$21:$BE$35,B216)</f>
        <v>2.3902173315100641</v>
      </c>
      <c r="F216" s="38">
        <f>HLOOKUP(Calculations!$E$1,Multipliers!$D$38:$BE$52,$B216)</f>
        <v>2.0903161020694134</v>
      </c>
      <c r="G216" s="38">
        <f t="shared" si="0"/>
        <v>6.6835796296268288</v>
      </c>
      <c r="H216" s="38">
        <f>HLOOKUP(Calculations!E$1,Multipliers!$D$55:$BE$69,B216)</f>
        <v>0.17730790879552924</v>
      </c>
      <c r="I216" s="38">
        <f>HLOOKUP(Calculations!$E$1,Multipliers!$D$72:$BE$86,$B216)</f>
        <v>0.15702158928969054</v>
      </c>
      <c r="J216" s="38">
        <f>HLOOKUP(Calculations!$E$1,Multipliers!$D$89:$BE$103,$B216)</f>
        <v>0.10779629911319996</v>
      </c>
      <c r="K216" s="38">
        <f t="shared" si="1"/>
        <v>0.44212579719841971</v>
      </c>
      <c r="L216" s="38">
        <f>HLOOKUP(Calculations!E$1,Multipliers!$D$106:$BE$120,B216)</f>
        <v>1</v>
      </c>
      <c r="M216" s="38">
        <f>HLOOKUP(Calculations!$E$1,Multipliers!$D$123:$BE$137,$B216)</f>
        <v>0.44992832303978503</v>
      </c>
      <c r="N216" s="38">
        <f>HLOOKUP(Calculations!$E$1,Multipliers!$D$140:$BE$154,$B216)</f>
        <v>0.31979425263125449</v>
      </c>
      <c r="O216" s="38">
        <f t="shared" si="2"/>
        <v>1.7697225756710395</v>
      </c>
      <c r="P216" s="38">
        <f>HLOOKUP(Calculations!$E$1,Multipliers!$D$157:$BE$171,$B216)</f>
        <v>0.31446103516766999</v>
      </c>
      <c r="Q216" s="38">
        <f>HLOOKUP(Calculations!$E$1,Multipliers!$D$174:$BE$188,$B216)</f>
        <v>0.23414331924994311</v>
      </c>
      <c r="R216" s="38">
        <f>HLOOKUP(Calculations!$E$1,Multipliers!$D$191:$BE$205,$B216)</f>
        <v>0.18613736392759153</v>
      </c>
      <c r="S216" s="38">
        <f t="shared" si="4"/>
        <v>0.73474171834520463</v>
      </c>
      <c r="U216" s="38">
        <f>HLOOKUP(Calculations!$E$1,'Household Exp'!$C$3:$BD$17,$B216)</f>
        <v>4.3033820025522022E-2</v>
      </c>
    </row>
    <row r="217" spans="2:21" ht="18" customHeight="1" x14ac:dyDescent="0.15">
      <c r="B217">
        <v>6</v>
      </c>
      <c r="C217" s="6" t="s">
        <v>150</v>
      </c>
      <c r="D217" s="306">
        <f>HLOOKUP(Calculations!$E$1,Multipliers!$D$4:$BE$18,$B217)</f>
        <v>3.7442168683716233</v>
      </c>
      <c r="E217" s="38">
        <f>HLOOKUP(Calculations!$E$1,Multipliers!$D$21:$BE$35,B217)</f>
        <v>2.2003717665343698</v>
      </c>
      <c r="F217" s="38">
        <f>HLOOKUP(Calculations!$E$1,Multipliers!$D$38:$BE$52,$B217)</f>
        <v>2.4487343026871238</v>
      </c>
      <c r="G217" s="38">
        <f t="shared" si="0"/>
        <v>8.3933229375931173</v>
      </c>
      <c r="H217" s="38">
        <f>HLOOKUP(Calculations!E$1,Multipliers!$D$55:$BE$69,B217)</f>
        <v>0.24527599671184247</v>
      </c>
      <c r="I217" s="38">
        <f>HLOOKUP(Calculations!$E$1,Multipliers!$D$72:$BE$86,$B217)</f>
        <v>0.13748254058504561</v>
      </c>
      <c r="J217" s="38">
        <f>HLOOKUP(Calculations!$E$1,Multipliers!$D$89:$BE$103,$B217)</f>
        <v>0.1236301127875019</v>
      </c>
      <c r="K217" s="38">
        <f t="shared" si="1"/>
        <v>0.50638865008438994</v>
      </c>
      <c r="L217" s="38">
        <f>HLOOKUP(Calculations!E$1,Multipliers!$D$106:$BE$120,B217)</f>
        <v>1</v>
      </c>
      <c r="M217" s="38">
        <f>HLOOKUP(Calculations!$E$1,Multipliers!$D$123:$BE$137,$B217)</f>
        <v>0.40430854276928585</v>
      </c>
      <c r="N217" s="38">
        <f>HLOOKUP(Calculations!$E$1,Multipliers!$D$140:$BE$154,$B217)</f>
        <v>0.36675383879628498</v>
      </c>
      <c r="O217" s="38">
        <f t="shared" si="2"/>
        <v>1.7710623815655708</v>
      </c>
      <c r="P217" s="38">
        <f>HLOOKUP(Calculations!$E$1,Multipliers!$D$157:$BE$171,$B217)</f>
        <v>0.32888045092581397</v>
      </c>
      <c r="Q217" s="38">
        <f>HLOOKUP(Calculations!$E$1,Multipliers!$D$174:$BE$188,$B217)</f>
        <v>0.21203155388074846</v>
      </c>
      <c r="R217" s="38">
        <f>HLOOKUP(Calculations!$E$1,Multipliers!$D$191:$BE$205,$B217)</f>
        <v>0.21345989389783032</v>
      </c>
      <c r="S217" s="38">
        <f t="shared" si="4"/>
        <v>0.75437189870439281</v>
      </c>
      <c r="U217" s="38">
        <f>HLOOKUP(Calculations!$E$1,'Household Exp'!$C$3:$BD$17,$B217)</f>
        <v>1.8511521017709522E-6</v>
      </c>
    </row>
    <row r="218" spans="2:21" ht="16.5" customHeight="1" x14ac:dyDescent="0.15">
      <c r="B218">
        <v>7</v>
      </c>
      <c r="C218" s="6" t="s">
        <v>151</v>
      </c>
      <c r="D218" s="306">
        <f>HLOOKUP(Calculations!$E$1,Multipliers!$D$4:$BE$18,$B218)</f>
        <v>2.4398776541474567</v>
      </c>
      <c r="E218" s="38">
        <f>HLOOKUP(Calculations!$E$1,Multipliers!$D$21:$BE$35,B218)</f>
        <v>2.1890435746776715</v>
      </c>
      <c r="F218" s="38">
        <f>HLOOKUP(Calculations!$E$1,Multipliers!$D$38:$BE$52,$B218)</f>
        <v>2.1458333867239863</v>
      </c>
      <c r="G218" s="38">
        <f t="shared" si="0"/>
        <v>6.7747546155491136</v>
      </c>
      <c r="H218" s="38">
        <f>HLOOKUP(Calculations!E$1,Multipliers!$D$55:$BE$69,B218)</f>
        <v>0.19325181402071573</v>
      </c>
      <c r="I218" s="38">
        <f>HLOOKUP(Calculations!$E$1,Multipliers!$D$72:$BE$86,$B218)</f>
        <v>0.14100818570419835</v>
      </c>
      <c r="J218" s="38">
        <f>HLOOKUP(Calculations!$E$1,Multipliers!$D$89:$BE$103,$B218)</f>
        <v>0.10806915338163869</v>
      </c>
      <c r="K218" s="38">
        <f t="shared" si="1"/>
        <v>0.44232915310655274</v>
      </c>
      <c r="L218" s="38">
        <f>HLOOKUP(Calculations!E$1,Multipliers!$D$106:$BE$120,B218)</f>
        <v>1</v>
      </c>
      <c r="M218" s="38">
        <f>HLOOKUP(Calculations!$E$1,Multipliers!$D$123:$BE$137,$B218)</f>
        <v>0.41708984994329512</v>
      </c>
      <c r="N218" s="38">
        <f>HLOOKUP(Calculations!$E$1,Multipliers!$D$140:$BE$154,$B218)</f>
        <v>0.32058972120285034</v>
      </c>
      <c r="O218" s="38">
        <f t="shared" si="2"/>
        <v>1.7376795711461455</v>
      </c>
      <c r="P218" s="38">
        <f>HLOOKUP(Calculations!$E$1,Multipliers!$D$157:$BE$171,$B218)</f>
        <v>0.24490602150372759</v>
      </c>
      <c r="Q218" s="38">
        <f>HLOOKUP(Calculations!$E$1,Multipliers!$D$174:$BE$188,$B218)</f>
        <v>0.22050285544309828</v>
      </c>
      <c r="R218" s="38">
        <f>HLOOKUP(Calculations!$E$1,Multipliers!$D$191:$BE$205,$B218)</f>
        <v>0.18659008669027261</v>
      </c>
      <c r="S218" s="38">
        <f t="shared" si="4"/>
        <v>0.65199896363709842</v>
      </c>
      <c r="U218" s="38">
        <f>HLOOKUP(Calculations!$E$1,'Household Exp'!$C$3:$BD$17,$B218)</f>
        <v>9.4556540375222356E-6</v>
      </c>
    </row>
    <row r="219" spans="2:21" ht="15.75" customHeight="1" x14ac:dyDescent="0.15">
      <c r="B219">
        <v>8</v>
      </c>
      <c r="C219" s="6" t="s">
        <v>152</v>
      </c>
      <c r="D219" s="306">
        <f>HLOOKUP(Calculations!$E$1,Multipliers!$D$4:$BE$18,$B219)</f>
        <v>2.2378105753744864</v>
      </c>
      <c r="E219" s="38">
        <f>HLOOKUP(Calculations!$E$1,Multipliers!$D$21:$BE$35,B219)</f>
        <v>2.3996755133980385</v>
      </c>
      <c r="F219" s="38">
        <f>HLOOKUP(Calculations!$E$1,Multipliers!$D$38:$BE$52,$B219)</f>
        <v>2.2548710349471421</v>
      </c>
      <c r="G219" s="38">
        <f t="shared" si="0"/>
        <v>6.8923571237196661</v>
      </c>
      <c r="H219" s="38">
        <f>HLOOKUP(Calculations!E$1,Multipliers!$D$55:$BE$69,B219)</f>
        <v>0.19622940879045439</v>
      </c>
      <c r="I219" s="38">
        <f>HLOOKUP(Calculations!$E$1,Multipliers!$D$72:$BE$86,$B219)</f>
        <v>0.15283339677828886</v>
      </c>
      <c r="J219" s="38">
        <f>HLOOKUP(Calculations!$E$1,Multipliers!$D$89:$BE$103,$B219)</f>
        <v>0.11301720746177328</v>
      </c>
      <c r="K219" s="38">
        <f t="shared" si="1"/>
        <v>0.46208001303051655</v>
      </c>
      <c r="L219" s="38">
        <f>HLOOKUP(Calculations!E$1,Multipliers!$D$106:$BE$120,B219)</f>
        <v>1</v>
      </c>
      <c r="M219" s="38">
        <f>HLOOKUP(Calculations!$E$1,Multipliers!$D$123:$BE$137,$B219)</f>
        <v>0.42864376283250749</v>
      </c>
      <c r="N219" s="38">
        <f>HLOOKUP(Calculations!$E$1,Multipliers!$D$140:$BE$154,$B219)</f>
        <v>0.33526644505036529</v>
      </c>
      <c r="O219" s="38">
        <f t="shared" si="2"/>
        <v>1.7639102078828728</v>
      </c>
      <c r="P219" s="38">
        <f>HLOOKUP(Calculations!$E$1,Multipliers!$D$157:$BE$171,$B219)</f>
        <v>0.3279175501318381</v>
      </c>
      <c r="Q219" s="38">
        <f>HLOOKUP(Calculations!$E$1,Multipliers!$D$174:$BE$188,$B219)</f>
        <v>0.23250889416789036</v>
      </c>
      <c r="R219" s="38">
        <f>HLOOKUP(Calculations!$E$1,Multipliers!$D$191:$BE$205,$B219)</f>
        <v>0.19513114225178732</v>
      </c>
      <c r="S219" s="38">
        <f t="shared" si="4"/>
        <v>0.75555758655151573</v>
      </c>
      <c r="U219" s="38">
        <f>HLOOKUP(Calculations!$E$1,'Household Exp'!$C$3:$BD$17,$B219)</f>
        <v>6.3554464515252885E-6</v>
      </c>
    </row>
    <row r="220" spans="2:21" ht="17" x14ac:dyDescent="0.15">
      <c r="B220">
        <v>9</v>
      </c>
      <c r="C220" s="6" t="s">
        <v>153</v>
      </c>
      <c r="D220" s="306">
        <f>HLOOKUP(Calculations!$E$1,Multipliers!$D$4:$BE$18,$B220)</f>
        <v>2.8352967425591227</v>
      </c>
      <c r="E220" s="38">
        <f>HLOOKUP(Calculations!$E$1,Multipliers!$D$21:$BE$35,B220)</f>
        <v>2.6031377184373459</v>
      </c>
      <c r="F220" s="38">
        <f>HLOOKUP(Calculations!$E$1,Multipliers!$D$38:$BE$52,$B220)</f>
        <v>3.4378294130401117</v>
      </c>
      <c r="G220" s="38">
        <f t="shared" si="0"/>
        <v>8.8762638740365798</v>
      </c>
      <c r="H220" s="38">
        <f>HLOOKUP(Calculations!E$1,Multipliers!$D$55:$BE$69,B220)</f>
        <v>0.35621944682127155</v>
      </c>
      <c r="I220" s="38">
        <f>HLOOKUP(Calculations!$E$1,Multipliers!$D$72:$BE$86,$B220)</f>
        <v>0.18757413029296255</v>
      </c>
      <c r="J220" s="38">
        <f>HLOOKUP(Calculations!$E$1,Multipliers!$D$89:$BE$103,$B220)</f>
        <v>0.17288407886234117</v>
      </c>
      <c r="K220" s="38">
        <f t="shared" si="1"/>
        <v>0.71667765597657529</v>
      </c>
      <c r="L220" s="38">
        <f>HLOOKUP(Calculations!E$1,Multipliers!$D$106:$BE$120,B220)</f>
        <v>1</v>
      </c>
      <c r="M220" s="38">
        <f>HLOOKUP(Calculations!$E$1,Multipliers!$D$123:$BE$137,$B220)</f>
        <v>0.48995105172798503</v>
      </c>
      <c r="N220" s="38">
        <f>HLOOKUP(Calculations!$E$1,Multipliers!$D$140:$BE$154,$B220)</f>
        <v>0.51297670586791355</v>
      </c>
      <c r="O220" s="38">
        <f t="shared" si="2"/>
        <v>2.0029277575958986</v>
      </c>
      <c r="P220" s="38">
        <f>HLOOKUP(Calculations!$E$1,Multipliers!$D$157:$BE$171,$B220)</f>
        <v>0.49273603867645066</v>
      </c>
      <c r="Q220" s="38">
        <f>HLOOKUP(Calculations!$E$1,Multipliers!$D$174:$BE$188,$B220)</f>
        <v>0.27677999638786815</v>
      </c>
      <c r="R220" s="38">
        <f>HLOOKUP(Calculations!$E$1,Multipliers!$D$191:$BE$205,$B220)</f>
        <v>0.2986437650719842</v>
      </c>
      <c r="S220" s="38">
        <f t="shared" si="4"/>
        <v>1.0681598001363031</v>
      </c>
      <c r="U220" s="38">
        <f>HLOOKUP(Calculations!$E$1,'Household Exp'!$C$3:$BD$17,$B220)</f>
        <v>4.2829140868816735E-2</v>
      </c>
    </row>
    <row r="221" spans="2:21" ht="15" customHeight="1" x14ac:dyDescent="0.15">
      <c r="B221">
        <v>10</v>
      </c>
      <c r="C221" s="6" t="s">
        <v>78</v>
      </c>
      <c r="D221" s="306">
        <f>HLOOKUP(Calculations!$E$1,Multipliers!$D$4:$BE$18,$B221)</f>
        <v>4.2220987704839548</v>
      </c>
      <c r="E221" s="38">
        <f>HLOOKUP(Calculations!$E$1,Multipliers!$D$21:$BE$35,B221)</f>
        <v>2.7814663649314912</v>
      </c>
      <c r="F221" s="38">
        <f>HLOOKUP(Calculations!$E$1,Multipliers!$D$38:$BE$52,$B221)</f>
        <v>3.352552700237748</v>
      </c>
      <c r="G221" s="38">
        <f t="shared" si="0"/>
        <v>10.356117835653194</v>
      </c>
      <c r="H221" s="38">
        <f>HLOOKUP(Calculations!E$1,Multipliers!$D$55:$BE$69,B221)</f>
        <v>0.37609494668544829</v>
      </c>
      <c r="I221" s="38">
        <f>HLOOKUP(Calculations!$E$1,Multipliers!$D$72:$BE$86,$B221)</f>
        <v>0.15804172516303044</v>
      </c>
      <c r="J221" s="38">
        <f>HLOOKUP(Calculations!$E$1,Multipliers!$D$89:$BE$103,$B221)</f>
        <v>0.17244914581934642</v>
      </c>
      <c r="K221" s="38">
        <f t="shared" si="1"/>
        <v>0.70658581766782524</v>
      </c>
      <c r="L221" s="38">
        <f>HLOOKUP(Calculations!E$1,Multipliers!$D$106:$BE$120,B221)</f>
        <v>1</v>
      </c>
      <c r="M221" s="38">
        <f>HLOOKUP(Calculations!$E$1,Multipliers!$D$123:$BE$137,$B221)</f>
        <v>0.4192591186183563</v>
      </c>
      <c r="N221" s="38">
        <f>HLOOKUP(Calculations!$E$1,Multipliers!$D$140:$BE$154,$B221)</f>
        <v>0.51157753728330135</v>
      </c>
      <c r="O221" s="38">
        <f t="shared" si="2"/>
        <v>1.9308366559016577</v>
      </c>
      <c r="P221" s="38">
        <f>HLOOKUP(Calculations!$E$1,Multipliers!$D$157:$BE$171,$B221)</f>
        <v>0.64655128460304589</v>
      </c>
      <c r="Q221" s="38">
        <f>HLOOKUP(Calculations!$E$1,Multipliers!$D$174:$BE$188,$B221)</f>
        <v>0.24415224053257775</v>
      </c>
      <c r="R221" s="38">
        <f>HLOOKUP(Calculations!$E$1,Multipliers!$D$191:$BE$205,$B221)</f>
        <v>0.29775071212896109</v>
      </c>
      <c r="S221" s="38">
        <f t="shared" si="4"/>
        <v>1.1884542372645848</v>
      </c>
      <c r="U221" s="38">
        <f>HLOOKUP(Calculations!$E$1,'Household Exp'!$C$3:$BD$17,$B221)</f>
        <v>5.3485788307939035E-2</v>
      </c>
    </row>
    <row r="222" spans="2:21" ht="14.25" customHeight="1" x14ac:dyDescent="0.15">
      <c r="B222">
        <v>11</v>
      </c>
      <c r="C222" s="6" t="s">
        <v>79</v>
      </c>
      <c r="D222" s="306">
        <f>HLOOKUP(Calculations!$E$1,Multipliers!$D$4:$BE$18,$B222)</f>
        <v>10.560694391438412</v>
      </c>
      <c r="E222" s="38">
        <f>HLOOKUP(Calculations!$E$1,Multipliers!$D$21:$BE$35,B222)</f>
        <v>2.5449275134092932</v>
      </c>
      <c r="F222" s="38">
        <f>HLOOKUP(Calculations!$E$1,Multipliers!$D$38:$BE$52,$B222)</f>
        <v>3.0668960681295827</v>
      </c>
      <c r="G222" s="38">
        <f t="shared" si="0"/>
        <v>16.172517972977289</v>
      </c>
      <c r="H222" s="38">
        <f>HLOOKUP(Calculations!E$1,Multipliers!$D$55:$BE$69,B222)</f>
        <v>0.39063709060699764</v>
      </c>
      <c r="I222" s="38">
        <f>HLOOKUP(Calculations!$E$1,Multipliers!$D$72:$BE$86,$B222)</f>
        <v>0.15672706919065577</v>
      </c>
      <c r="J222" s="38">
        <f>HLOOKUP(Calculations!$E$1,Multipliers!$D$89:$BE$103,$B222)</f>
        <v>0.17636888332519304</v>
      </c>
      <c r="K222" s="38">
        <f t="shared" si="1"/>
        <v>0.72373304312284648</v>
      </c>
      <c r="L222" s="38">
        <f>HLOOKUP(Calculations!E$1,Multipliers!$D$106:$BE$120,B222)</f>
        <v>1</v>
      </c>
      <c r="M222" s="38">
        <f>HLOOKUP(Calculations!$E$1,Multipliers!$D$123:$BE$137,$B222)</f>
        <v>0.44523976631171536</v>
      </c>
      <c r="N222" s="38">
        <f>HLOOKUP(Calculations!$E$1,Multipliers!$D$140:$BE$154,$B222)</f>
        <v>0.52321680478780763</v>
      </c>
      <c r="O222" s="38">
        <f t="shared" si="2"/>
        <v>1.968456571099523</v>
      </c>
      <c r="P222" s="38">
        <f>HLOOKUP(Calculations!$E$1,Multipliers!$D$157:$BE$171,$B222)</f>
        <v>0.63304370739480798</v>
      </c>
      <c r="Q222" s="38">
        <f>HLOOKUP(Calculations!$E$1,Multipliers!$D$174:$BE$188,$B222)</f>
        <v>0.25462079176323749</v>
      </c>
      <c r="R222" s="38">
        <f>HLOOKUP(Calculations!$E$1,Multipliers!$D$191:$BE$205,$B222)</f>
        <v>0.30453297719110134</v>
      </c>
      <c r="S222" s="38">
        <f t="shared" si="4"/>
        <v>1.1921974763491467</v>
      </c>
      <c r="U222" s="38">
        <f>HLOOKUP(Calculations!$E$1,'Household Exp'!$C$3:$BD$17,$B222)</f>
        <v>0.13681284679760974</v>
      </c>
    </row>
    <row r="223" spans="2:21" ht="17" x14ac:dyDescent="0.15">
      <c r="B223">
        <v>12</v>
      </c>
      <c r="C223" s="6" t="s">
        <v>154</v>
      </c>
      <c r="D223" s="306">
        <f>HLOOKUP(Calculations!$E$1,Multipliers!$D$4:$BE$18,$B223)</f>
        <v>4.9748424998403111</v>
      </c>
      <c r="E223" s="38">
        <f>HLOOKUP(Calculations!$E$1,Multipliers!$D$21:$BE$35,B223)</f>
        <v>3.5568491396471429</v>
      </c>
      <c r="F223" s="38">
        <f>HLOOKUP(Calculations!$E$1,Multipliers!$D$38:$BE$52,$B223)</f>
        <v>2.5057632621485886</v>
      </c>
      <c r="G223" s="38">
        <f t="shared" si="0"/>
        <v>11.037454901636043</v>
      </c>
      <c r="H223" s="38">
        <f>HLOOKUP(Calculations!E$1,Multipliers!$D$55:$BE$69,B223)</f>
        <v>0.20948087620928291</v>
      </c>
      <c r="I223" s="38">
        <f>HLOOKUP(Calculations!$E$1,Multipliers!$D$72:$BE$86,$B223)</f>
        <v>0.18585683576158246</v>
      </c>
      <c r="J223" s="38">
        <f>HLOOKUP(Calculations!$E$1,Multipliers!$D$89:$BE$103,$B223)</f>
        <v>0.12751827563964768</v>
      </c>
      <c r="K223" s="38">
        <f t="shared" si="1"/>
        <v>0.522855987610513</v>
      </c>
      <c r="L223" s="38">
        <f>HLOOKUP(Calculations!E$1,Multipliers!$D$106:$BE$120,B223)</f>
        <v>1</v>
      </c>
      <c r="M223" s="38">
        <f>HLOOKUP(Calculations!$E$1,Multipliers!$D$123:$BE$137,$B223)</f>
        <v>0.59689504976267926</v>
      </c>
      <c r="N223" s="38">
        <f>HLOOKUP(Calculations!$E$1,Multipliers!$D$140:$BE$154,$B223)</f>
        <v>0.37829543669067789</v>
      </c>
      <c r="O223" s="38">
        <f t="shared" si="2"/>
        <v>1.9751904864533572</v>
      </c>
      <c r="P223" s="38">
        <f>HLOOKUP(Calculations!$E$1,Multipliers!$D$157:$BE$171,$B223)</f>
        <v>0.54777729579468437</v>
      </c>
      <c r="Q223" s="38">
        <f>HLOOKUP(Calculations!$E$1,Multipliers!$D$174:$BE$188,$B223)</f>
        <v>0.33571826592041548</v>
      </c>
      <c r="R223" s="38">
        <f>HLOOKUP(Calculations!$E$1,Multipliers!$D$191:$BE$205,$B223)</f>
        <v>0.2201826116046518</v>
      </c>
      <c r="S223" s="38">
        <f t="shared" si="4"/>
        <v>1.1036781733197518</v>
      </c>
      <c r="U223" s="38">
        <f>HLOOKUP(Calculations!$E$1,'Household Exp'!$C$3:$BD$17,$B223)</f>
        <v>0.17668427934924502</v>
      </c>
    </row>
    <row r="224" spans="2:21" ht="15.75" customHeight="1" x14ac:dyDescent="0.15">
      <c r="B224">
        <v>13</v>
      </c>
      <c r="C224" s="6" t="s">
        <v>155</v>
      </c>
      <c r="D224" s="306">
        <f>HLOOKUP(Calculations!$E$1,Multipliers!$D$4:$BE$18,$B224)</f>
        <v>8.2365364732908901</v>
      </c>
      <c r="E224" s="38">
        <f>HLOOKUP(Calculations!$E$1,Multipliers!$D$21:$BE$35,B224)</f>
        <v>2.8658524325631434</v>
      </c>
      <c r="F224" s="38">
        <f>HLOOKUP(Calculations!$E$1,Multipliers!$D$38:$BE$52,$B224)</f>
        <v>3.6739180812598691</v>
      </c>
      <c r="G224" s="38">
        <f t="shared" si="0"/>
        <v>14.776306987113902</v>
      </c>
      <c r="H224" s="38">
        <f>HLOOKUP(Calculations!E$1,Multipliers!$D$55:$BE$69,B224)</f>
        <v>0.43190386540208431</v>
      </c>
      <c r="I224" s="38">
        <f>HLOOKUP(Calculations!$E$1,Multipliers!$D$72:$BE$86,$B224)</f>
        <v>0.1638748580233429</v>
      </c>
      <c r="J224" s="38">
        <f>HLOOKUP(Calculations!$E$1,Multipliers!$D$89:$BE$103,$B224)</f>
        <v>0.19213410705586215</v>
      </c>
      <c r="K224" s="38">
        <f t="shared" si="1"/>
        <v>0.78791283048128946</v>
      </c>
      <c r="L224" s="38">
        <f>HLOOKUP(Calculations!E$1,Multipliers!$D$106:$BE$120,B224)</f>
        <v>1</v>
      </c>
      <c r="M224" s="38">
        <f>HLOOKUP(Calculations!$E$1,Multipliers!$D$123:$BE$137,$B224)</f>
        <v>0.44982510675617959</v>
      </c>
      <c r="N224" s="38">
        <f>HLOOKUP(Calculations!$E$1,Multipliers!$D$140:$BE$154,$B224)</f>
        <v>0.569984522080631</v>
      </c>
      <c r="O224" s="38">
        <f t="shared" si="2"/>
        <v>2.0198096288368106</v>
      </c>
      <c r="P224" s="38">
        <f>HLOOKUP(Calculations!$E$1,Multipliers!$D$157:$BE$171,$B224)</f>
        <v>0.587592071243078</v>
      </c>
      <c r="Q224" s="38">
        <f>HLOOKUP(Calculations!$E$1,Multipliers!$D$174:$BE$188,$B224)</f>
        <v>0.25690342753198125</v>
      </c>
      <c r="R224" s="38">
        <f>HLOOKUP(Calculations!$E$1,Multipliers!$D$191:$BE$205,$B224)</f>
        <v>0.33175288536782471</v>
      </c>
      <c r="S224" s="38">
        <f t="shared" si="4"/>
        <v>1.1762483841428839</v>
      </c>
      <c r="U224" s="38">
        <f>HLOOKUP(Calculations!$E$1,'Household Exp'!$C$3:$BD$17,$B224)</f>
        <v>0.52087969269565426</v>
      </c>
    </row>
    <row r="225" spans="1:58" ht="15.75" customHeight="1" x14ac:dyDescent="0.15">
      <c r="B225">
        <v>14</v>
      </c>
      <c r="C225" s="6" t="s">
        <v>156</v>
      </c>
      <c r="D225" s="306">
        <f>HLOOKUP(Calculations!$E$1,Multipliers!$D$4:$BE$18,$B225)</f>
        <v>6.0948779552463721</v>
      </c>
      <c r="E225" s="38">
        <f>HLOOKUP(Calculations!$E$1,Multipliers!$D$21:$BE$35,B225)</f>
        <v>3.0178531461383962</v>
      </c>
      <c r="F225" s="38">
        <f>HLOOKUP(Calculations!$E$1,Multipliers!$D$38:$BE$52,$B225)</f>
        <v>4.3961718332394044</v>
      </c>
      <c r="G225" s="38">
        <f t="shared" si="0"/>
        <v>13.508902934624171</v>
      </c>
      <c r="H225" s="38">
        <f>HLOOKUP(Calculations!E$1,Multipliers!$D$55:$BE$69,B225)</f>
        <v>0.52963739845017588</v>
      </c>
      <c r="I225" s="38">
        <f>HLOOKUP(Calculations!$E$1,Multipliers!$D$72:$BE$86,$B225)</f>
        <v>0.18401131245444227</v>
      </c>
      <c r="J225" s="38">
        <f>HLOOKUP(Calculations!$E$1,Multipliers!$D$89:$BE$103,$B225)</f>
        <v>0.2296003788284523</v>
      </c>
      <c r="K225" s="38">
        <f t="shared" si="1"/>
        <v>0.94324908973307042</v>
      </c>
      <c r="L225" s="38">
        <f>HLOOKUP(Calculations!E$1,Multipliers!$D$106:$BE$120,B225)</f>
        <v>1</v>
      </c>
      <c r="M225" s="38">
        <f>HLOOKUP(Calculations!$E$1,Multipliers!$D$123:$BE$137,$B225)</f>
        <v>0.47710332319547888</v>
      </c>
      <c r="N225" s="38">
        <f>HLOOKUP(Calculations!$E$1,Multipliers!$D$140:$BE$154,$B225)</f>
        <v>0.68114412642898969</v>
      </c>
      <c r="O225" s="38">
        <f t="shared" si="2"/>
        <v>2.1582474496244686</v>
      </c>
      <c r="P225" s="38">
        <f>HLOOKUP(Calculations!$E$1,Multipliers!$D$157:$BE$171,$B225)</f>
        <v>0.60687601350044473</v>
      </c>
      <c r="Q225" s="38">
        <f>HLOOKUP(Calculations!$E$1,Multipliers!$D$174:$BE$188,$B225)</f>
        <v>0.27574028324460903</v>
      </c>
      <c r="R225" s="38">
        <f>HLOOKUP(Calculations!$E$1,Multipliers!$D$191:$BE$205,$B225)</f>
        <v>0.39646028277310796</v>
      </c>
      <c r="S225" s="38">
        <f t="shared" si="4"/>
        <v>1.2790765795181618</v>
      </c>
      <c r="U225" s="38">
        <f>HLOOKUP(Calculations!$E$1,'Household Exp'!$C$3:$BD$17,$B225)</f>
        <v>9.7878028785462479E-3</v>
      </c>
    </row>
    <row r="226" spans="1:58" ht="15" customHeight="1" x14ac:dyDescent="0.15">
      <c r="B226">
        <v>15</v>
      </c>
      <c r="C226" s="6" t="s">
        <v>80</v>
      </c>
      <c r="D226" s="306">
        <f>HLOOKUP(Calculations!$E$1,Multipliers!$D$4:$BE$18,$B226)</f>
        <v>9.0924842509111166</v>
      </c>
      <c r="E226" s="38">
        <f>HLOOKUP(Calculations!$E$1,Multipliers!$D$21:$BE$35,B226)</f>
        <v>0.28090436849465011</v>
      </c>
      <c r="F226" s="38">
        <f>HLOOKUP(Calculations!$E$1,Multipliers!$D$38:$BE$52,$B226)</f>
        <v>4.2427386593336269</v>
      </c>
      <c r="G226" s="38">
        <f t="shared" si="0"/>
        <v>13.616127278739393</v>
      </c>
      <c r="H226" s="38">
        <f>HLOOKUP(Calculations!E$1,Multipliers!$D$55:$BE$69,B226)</f>
        <v>0.77829668689273146</v>
      </c>
      <c r="I226" s="38">
        <f>HLOOKUP(Calculations!$E$1,Multipliers!$D$72:$BE$86,$B226)</f>
        <v>2.0073748618677778E-2</v>
      </c>
      <c r="J226" s="38">
        <f>HLOOKUP(Calculations!$E$1,Multipliers!$D$89:$BE$103,$B226)</f>
        <v>0.25844815376709479</v>
      </c>
      <c r="K226" s="38">
        <f t="shared" si="1"/>
        <v>1.056818589278504</v>
      </c>
      <c r="L226" s="38">
        <f>HLOOKUP(Calculations!E$1,Multipliers!$D$106:$BE$120,B226)</f>
        <v>1</v>
      </c>
      <c r="M226" s="38">
        <f>HLOOKUP(Calculations!$E$1,Multipliers!$D$123:$BE$137,$B226)</f>
        <v>5.5789224168620422E-2</v>
      </c>
      <c r="N226" s="38">
        <f>HLOOKUP(Calculations!$E$1,Multipliers!$D$140:$BE$154,$B226)</f>
        <v>0.76666435784864007</v>
      </c>
      <c r="O226" s="38">
        <f t="shared" si="2"/>
        <v>1.8224535820172605</v>
      </c>
      <c r="P226" s="38">
        <f>HLOOKUP(Calculations!$E$1,Multipliers!$D$157:$BE$171,$B226)</f>
        <v>0.95201820993561503</v>
      </c>
      <c r="Q226" s="38">
        <f>HLOOKUP(Calculations!$E$1,Multipliers!$D$174:$BE$188,$B226)</f>
        <v>3.0938931473397061E-2</v>
      </c>
      <c r="R226" s="38">
        <f>HLOOKUP(Calculations!$E$1,Multipliers!$D$191:$BE$205,$B226)</f>
        <v>0.44619379943448784</v>
      </c>
      <c r="S226" s="38">
        <f t="shared" si="4"/>
        <v>1.4291509408434999</v>
      </c>
      <c r="U226" s="38">
        <f>HLOOKUP(Calculations!$E$1,'Household Exp'!$C$3:$BD$17,$B226)</f>
        <v>1.018468830137452E-2</v>
      </c>
    </row>
    <row r="229" spans="1:58" ht="28" x14ac:dyDescent="0.15">
      <c r="D229" s="162" t="s">
        <v>82</v>
      </c>
      <c r="E229" s="162" t="s">
        <v>83</v>
      </c>
      <c r="F229" s="162" t="s">
        <v>84</v>
      </c>
      <c r="G229" s="162" t="s">
        <v>85</v>
      </c>
      <c r="H229" s="162" t="s">
        <v>86</v>
      </c>
      <c r="I229" s="162" t="s">
        <v>87</v>
      </c>
      <c r="J229" s="162" t="s">
        <v>88</v>
      </c>
      <c r="K229" s="162" t="s">
        <v>89</v>
      </c>
      <c r="L229" s="162" t="s">
        <v>90</v>
      </c>
      <c r="M229" s="162" t="s">
        <v>91</v>
      </c>
      <c r="N229" s="162" t="s">
        <v>92</v>
      </c>
      <c r="O229" s="162" t="s">
        <v>93</v>
      </c>
      <c r="P229" s="162" t="s">
        <v>94</v>
      </c>
      <c r="Q229" s="162" t="s">
        <v>95</v>
      </c>
      <c r="R229" s="162" t="s">
        <v>96</v>
      </c>
      <c r="S229" s="162" t="s">
        <v>97</v>
      </c>
      <c r="T229" s="162" t="s">
        <v>98</v>
      </c>
      <c r="U229" s="162" t="s">
        <v>99</v>
      </c>
      <c r="V229" s="162" t="s">
        <v>100</v>
      </c>
      <c r="W229" s="162" t="s">
        <v>101</v>
      </c>
      <c r="X229" s="162" t="s">
        <v>102</v>
      </c>
      <c r="Y229" s="162" t="s">
        <v>103</v>
      </c>
      <c r="Z229" s="162" t="s">
        <v>104</v>
      </c>
      <c r="AA229" s="162" t="s">
        <v>105</v>
      </c>
      <c r="AB229" s="162" t="s">
        <v>106</v>
      </c>
      <c r="AC229" s="162" t="s">
        <v>107</v>
      </c>
      <c r="AD229" s="162" t="s">
        <v>108</v>
      </c>
      <c r="AE229" s="38" t="s">
        <v>322</v>
      </c>
      <c r="AF229" s="38" t="s">
        <v>321</v>
      </c>
      <c r="AG229" s="151" t="s">
        <v>109</v>
      </c>
      <c r="AH229" s="151" t="s">
        <v>110</v>
      </c>
      <c r="AI229" s="151" t="s">
        <v>111</v>
      </c>
      <c r="AJ229" s="151" t="s">
        <v>112</v>
      </c>
      <c r="AK229" s="151" t="s">
        <v>113</v>
      </c>
      <c r="AL229" s="151" t="s">
        <v>114</v>
      </c>
      <c r="AM229" s="151" t="s">
        <v>115</v>
      </c>
      <c r="AN229" s="151" t="s">
        <v>116</v>
      </c>
      <c r="AO229" s="151" t="s">
        <v>117</v>
      </c>
      <c r="AP229" s="151" t="s">
        <v>118</v>
      </c>
      <c r="AQ229" s="151" t="s">
        <v>119</v>
      </c>
      <c r="AR229" s="151" t="s">
        <v>120</v>
      </c>
      <c r="AS229" s="151" t="s">
        <v>121</v>
      </c>
      <c r="AT229" s="151" t="s">
        <v>122</v>
      </c>
      <c r="AU229" s="151" t="s">
        <v>123</v>
      </c>
      <c r="AV229" s="151" t="s">
        <v>124</v>
      </c>
      <c r="AW229" s="151" t="s">
        <v>125</v>
      </c>
      <c r="AX229" s="227" t="s">
        <v>585</v>
      </c>
      <c r="AY229" s="151" t="s">
        <v>126</v>
      </c>
      <c r="AZ229" s="151" t="s">
        <v>127</v>
      </c>
      <c r="BA229" s="151" t="s">
        <v>128</v>
      </c>
      <c r="BB229" s="151" t="s">
        <v>129</v>
      </c>
      <c r="BC229" s="151" t="s">
        <v>130</v>
      </c>
      <c r="BD229" s="151" t="s">
        <v>131</v>
      </c>
      <c r="BE229" s="151" t="s">
        <v>81</v>
      </c>
    </row>
    <row r="230" spans="1:58" ht="17" x14ac:dyDescent="0.15">
      <c r="C230" s="6" t="s">
        <v>519</v>
      </c>
      <c r="D230" s="25">
        <f t="shared" ref="D230:AF230" si="5">D58*10^6/D7</f>
        <v>47313.571048682912</v>
      </c>
      <c r="E230">
        <f t="shared" si="5"/>
        <v>77318.86118999256</v>
      </c>
      <c r="F230">
        <f t="shared" si="5"/>
        <v>47559.057617239334</v>
      </c>
      <c r="G230">
        <f t="shared" si="5"/>
        <v>42106.845984063555</v>
      </c>
      <c r="H230">
        <f t="shared" si="5"/>
        <v>65763.696392656711</v>
      </c>
      <c r="I230">
        <f t="shared" si="5"/>
        <v>58025.6369160592</v>
      </c>
      <c r="J230">
        <f t="shared" si="5"/>
        <v>70764.004261822804</v>
      </c>
      <c r="K230">
        <f t="shared" si="5"/>
        <v>58763.752382197432</v>
      </c>
      <c r="L230">
        <f t="shared" si="5"/>
        <v>67244.368983361477</v>
      </c>
      <c r="M230">
        <f t="shared" si="5"/>
        <v>45639.158990542674</v>
      </c>
      <c r="N230">
        <f t="shared" si="5"/>
        <v>48275.633079579675</v>
      </c>
      <c r="O230">
        <f t="shared" si="5"/>
        <v>72862.124210864145</v>
      </c>
      <c r="P230">
        <f t="shared" si="5"/>
        <v>46181.387949966833</v>
      </c>
      <c r="Q230">
        <f t="shared" si="5"/>
        <v>62262.987393965144</v>
      </c>
      <c r="R230">
        <f t="shared" si="5"/>
        <v>54018.310294024217</v>
      </c>
      <c r="S230">
        <f t="shared" si="5"/>
        <v>57559.875735050737</v>
      </c>
      <c r="T230">
        <f t="shared" si="5"/>
        <v>51952.951840046131</v>
      </c>
      <c r="U230">
        <f t="shared" si="5"/>
        <v>48635.653954349596</v>
      </c>
      <c r="V230">
        <f t="shared" si="5"/>
        <v>57642.345326277558</v>
      </c>
      <c r="W230">
        <f t="shared" si="5"/>
        <v>45786.978560558149</v>
      </c>
      <c r="X230">
        <f t="shared" si="5"/>
        <v>60386.657341352147</v>
      </c>
      <c r="Y230">
        <f t="shared" si="5"/>
        <v>70882.809077802842</v>
      </c>
      <c r="Z230">
        <f t="shared" si="5"/>
        <v>54657.118624599178</v>
      </c>
      <c r="AA230">
        <f t="shared" si="5"/>
        <v>63089.594146486488</v>
      </c>
      <c r="AB230">
        <f t="shared" si="5"/>
        <v>43543.576325582704</v>
      </c>
      <c r="AC230">
        <f t="shared" si="5"/>
        <v>50023.599078003688</v>
      </c>
      <c r="AD230">
        <f t="shared" si="5"/>
        <v>50219.97295841977</v>
      </c>
      <c r="AE230" s="278" t="e">
        <f t="shared" si="5"/>
        <v>#DIV/0!</v>
      </c>
      <c r="AF230" s="278" t="e">
        <f t="shared" si="5"/>
        <v>#DIV/0!</v>
      </c>
      <c r="AG230">
        <f t="shared" ref="AG230:BE230" si="6">AG58*10^6/AG7</f>
        <v>55121.889909536112</v>
      </c>
      <c r="AH230">
        <f t="shared" si="6"/>
        <v>54956.712828878401</v>
      </c>
      <c r="AI230">
        <f t="shared" si="6"/>
        <v>64219.833737611771</v>
      </c>
      <c r="AJ230">
        <f t="shared" si="6"/>
        <v>73468.815869156737</v>
      </c>
      <c r="AK230">
        <f t="shared" si="6"/>
        <v>45595.546616926382</v>
      </c>
      <c r="AL230">
        <f t="shared" si="6"/>
        <v>67950.482548784697</v>
      </c>
      <c r="AM230">
        <f t="shared" si="6"/>
        <v>48710.434807648053</v>
      </c>
      <c r="AN230">
        <f t="shared" si="6"/>
        <v>69911.895094387713</v>
      </c>
      <c r="AO230">
        <f t="shared" si="6"/>
        <v>54636.265542566223</v>
      </c>
      <c r="AP230">
        <f t="shared" si="6"/>
        <v>55786.052172932912</v>
      </c>
      <c r="AQ230">
        <f t="shared" si="6"/>
        <v>58200.29268956434</v>
      </c>
      <c r="AR230">
        <f t="shared" si="6"/>
        <v>61170.773292672115</v>
      </c>
      <c r="AS230">
        <f t="shared" si="6"/>
        <v>59832.51146451613</v>
      </c>
      <c r="AT230">
        <f t="shared" si="6"/>
        <v>48016.824837309148</v>
      </c>
      <c r="AU230">
        <f t="shared" si="6"/>
        <v>53475.711053798907</v>
      </c>
      <c r="AV230">
        <f t="shared" si="6"/>
        <v>56947.093526248966</v>
      </c>
      <c r="AW230">
        <f t="shared" si="6"/>
        <v>64699.164258080091</v>
      </c>
      <c r="AX230">
        <f t="shared" si="6"/>
        <v>58458.149817235797</v>
      </c>
      <c r="AY230">
        <f t="shared" si="6"/>
        <v>55062.384454971274</v>
      </c>
      <c r="AZ230">
        <f t="shared" si="6"/>
        <v>48056.585365810242</v>
      </c>
      <c r="BA230">
        <f t="shared" si="6"/>
        <v>54775.109592331821</v>
      </c>
      <c r="BB230">
        <f t="shared" si="6"/>
        <v>66285.2200899897</v>
      </c>
      <c r="BC230">
        <f t="shared" si="6"/>
        <v>55975.043297851269</v>
      </c>
      <c r="BD230">
        <f t="shared" si="6"/>
        <v>57562.232069209633</v>
      </c>
      <c r="BE230">
        <f t="shared" si="6"/>
        <v>57354.798893839827</v>
      </c>
    </row>
    <row r="231" spans="1:58" ht="16" x14ac:dyDescent="0.15">
      <c r="C231" s="6"/>
      <c r="D231" s="308">
        <f>D230/$AX230</f>
        <v>0.80935799707319822</v>
      </c>
      <c r="E231" s="14">
        <f t="shared" ref="E231:BE231" si="7">E230/$AX230</f>
        <v>1.322636132544788</v>
      </c>
      <c r="F231" s="14">
        <f t="shared" si="7"/>
        <v>0.8135573528400829</v>
      </c>
      <c r="G231" s="14">
        <f t="shared" si="7"/>
        <v>0.72029043197068099</v>
      </c>
      <c r="H231" s="14">
        <f t="shared" si="7"/>
        <v>1.1249705404338155</v>
      </c>
      <c r="I231" s="14">
        <f t="shared" si="7"/>
        <v>0.9926013241519136</v>
      </c>
      <c r="J231" s="14">
        <f t="shared" si="7"/>
        <v>1.2105070804166769</v>
      </c>
      <c r="K231" s="14">
        <f t="shared" si="7"/>
        <v>1.0052277153128704</v>
      </c>
      <c r="L231" s="14">
        <f t="shared" si="7"/>
        <v>1.1502993028960891</v>
      </c>
      <c r="M231" s="14">
        <f t="shared" si="7"/>
        <v>0.78071507793574446</v>
      </c>
      <c r="N231" s="14">
        <f t="shared" si="7"/>
        <v>0.82581527520985776</v>
      </c>
      <c r="O231" s="14">
        <f t="shared" si="7"/>
        <v>1.246398054653818</v>
      </c>
      <c r="P231" s="14">
        <f t="shared" si="7"/>
        <v>0.78999058462077287</v>
      </c>
      <c r="Q231" s="14">
        <f t="shared" si="7"/>
        <v>1.0650865206754718</v>
      </c>
      <c r="R231" s="14">
        <f t="shared" si="7"/>
        <v>0.92405097429370686</v>
      </c>
      <c r="S231" s="14">
        <f t="shared" si="7"/>
        <v>0.98463389476072316</v>
      </c>
      <c r="T231" s="14">
        <f t="shared" si="7"/>
        <v>0.88872042653543448</v>
      </c>
      <c r="U231" s="14">
        <f t="shared" si="7"/>
        <v>0.83197388399059224</v>
      </c>
      <c r="V231" s="14">
        <f t="shared" si="7"/>
        <v>0.98604464059316321</v>
      </c>
      <c r="W231" s="14">
        <f t="shared" si="7"/>
        <v>0.78324371714991092</v>
      </c>
      <c r="X231" s="14">
        <f t="shared" si="7"/>
        <v>1.0329895408962764</v>
      </c>
      <c r="Y231" s="14">
        <f t="shared" si="7"/>
        <v>1.2125393858582874</v>
      </c>
      <c r="Z231" s="14">
        <f t="shared" si="7"/>
        <v>0.93497859230030023</v>
      </c>
      <c r="AA231" s="14">
        <f t="shared" si="7"/>
        <v>1.0792266663199312</v>
      </c>
      <c r="AB231" s="14">
        <f t="shared" si="7"/>
        <v>0.74486750712634286</v>
      </c>
      <c r="AC231" s="14">
        <f t="shared" si="7"/>
        <v>0.85571642678391324</v>
      </c>
      <c r="AD231" s="14">
        <f t="shared" si="7"/>
        <v>0.8590756483985218</v>
      </c>
      <c r="AE231" s="14" t="e">
        <f t="shared" si="7"/>
        <v>#DIV/0!</v>
      </c>
      <c r="AF231" s="14" t="e">
        <f t="shared" si="7"/>
        <v>#DIV/0!</v>
      </c>
      <c r="AG231" s="14">
        <f t="shared" si="7"/>
        <v>0.94292908827716571</v>
      </c>
      <c r="AH231" s="14">
        <f t="shared" si="7"/>
        <v>0.94010352706501443</v>
      </c>
      <c r="AI231" s="14">
        <f t="shared" si="7"/>
        <v>1.0985608326364993</v>
      </c>
      <c r="AJ231" s="14">
        <f t="shared" si="7"/>
        <v>1.2567762766842683</v>
      </c>
      <c r="AK231" s="14">
        <f t="shared" si="7"/>
        <v>0.77996903356464065</v>
      </c>
      <c r="AL231" s="14">
        <f t="shared" si="7"/>
        <v>1.1623782613925659</v>
      </c>
      <c r="AM231" s="14">
        <f t="shared" si="7"/>
        <v>0.83325310431371657</v>
      </c>
      <c r="AN231" s="14">
        <f t="shared" si="7"/>
        <v>1.1959306839672661</v>
      </c>
      <c r="AO231" s="14">
        <f t="shared" si="7"/>
        <v>0.93462187416778753</v>
      </c>
      <c r="AP231" s="14">
        <f t="shared" si="7"/>
        <v>0.95429041711622831</v>
      </c>
      <c r="AQ231" s="14">
        <f t="shared" si="7"/>
        <v>0.99558903029812562</v>
      </c>
      <c r="AR231" s="14">
        <f t="shared" si="7"/>
        <v>1.0464028280730249</v>
      </c>
      <c r="AS231" s="14">
        <f t="shared" si="7"/>
        <v>1.023510180386775</v>
      </c>
      <c r="AT231" s="14">
        <f t="shared" si="7"/>
        <v>0.82138803549940387</v>
      </c>
      <c r="AU231" s="14">
        <f t="shared" si="7"/>
        <v>0.91476913349098388</v>
      </c>
      <c r="AV231" s="14">
        <f t="shared" si="7"/>
        <v>0.97415148622200642</v>
      </c>
      <c r="AW231" s="14">
        <f t="shared" si="7"/>
        <v>1.1067603826045858</v>
      </c>
      <c r="AX231" s="14">
        <f t="shared" si="7"/>
        <v>1</v>
      </c>
      <c r="AY231" s="14">
        <f t="shared" si="7"/>
        <v>0.94191117281540582</v>
      </c>
      <c r="AZ231" s="14">
        <f t="shared" si="7"/>
        <v>0.82206818922690639</v>
      </c>
      <c r="BA231" s="14">
        <f t="shared" si="7"/>
        <v>0.93699697584650432</v>
      </c>
      <c r="BB231" s="14">
        <f t="shared" si="7"/>
        <v>1.1338918576319048</v>
      </c>
      <c r="BC231" s="14">
        <f t="shared" si="7"/>
        <v>0.95752334743491307</v>
      </c>
      <c r="BD231" s="14">
        <f t="shared" si="7"/>
        <v>0.98467420281300089</v>
      </c>
      <c r="BE231" s="14">
        <f t="shared" si="7"/>
        <v>0.98112579808212375</v>
      </c>
    </row>
    <row r="233" spans="1:58" x14ac:dyDescent="0.15">
      <c r="A233" s="192"/>
      <c r="B233" s="192"/>
      <c r="C233" s="192"/>
      <c r="D233" s="309"/>
      <c r="E233" s="192"/>
      <c r="F233" s="192"/>
      <c r="G233" s="192"/>
      <c r="I233" s="192"/>
      <c r="J233" s="192"/>
      <c r="K233" s="192"/>
      <c r="L233" s="192"/>
      <c r="M233" s="192"/>
      <c r="N233" s="192"/>
      <c r="O233" s="192"/>
      <c r="P233" s="192"/>
      <c r="Q233" s="192"/>
      <c r="R233" s="192"/>
      <c r="S233" s="192"/>
      <c r="T233" s="192"/>
      <c r="U233" s="192"/>
      <c r="V233" s="192"/>
      <c r="W233" s="192"/>
      <c r="X233" s="192"/>
      <c r="Y233" s="192"/>
      <c r="Z233" s="192"/>
      <c r="AA233" s="192"/>
      <c r="AB233" s="192"/>
      <c r="AC233" s="192"/>
      <c r="AD233" s="192"/>
      <c r="AE233" s="192"/>
      <c r="AF233" s="192"/>
      <c r="AG233" s="192"/>
      <c r="AH233" s="192"/>
      <c r="AI233" s="192"/>
      <c r="AJ233" s="192"/>
      <c r="AK233" s="192"/>
      <c r="AL233" s="192"/>
      <c r="AM233" s="192"/>
      <c r="AN233" s="192"/>
      <c r="AO233" s="192"/>
      <c r="AP233" s="192"/>
      <c r="AQ233" s="192"/>
      <c r="AR233" s="192"/>
      <c r="AS233" s="192"/>
      <c r="AT233" s="192"/>
      <c r="AU233" s="192"/>
      <c r="AV233" s="192"/>
      <c r="AW233" s="192"/>
      <c r="AX233" s="192"/>
      <c r="AY233" s="192"/>
      <c r="AZ233" s="192"/>
      <c r="BA233" s="192"/>
      <c r="BB233" s="192"/>
      <c r="BC233" s="192"/>
      <c r="BD233" s="192"/>
      <c r="BE233" s="192"/>
      <c r="BF233" s="192"/>
    </row>
    <row r="234" spans="1:58" x14ac:dyDescent="0.15">
      <c r="D234" s="308"/>
      <c r="E234" s="14"/>
      <c r="F234" s="14"/>
      <c r="G234" s="14"/>
      <c r="I234" s="14"/>
      <c r="J234" s="14"/>
      <c r="K234" s="14"/>
      <c r="L234" s="14"/>
      <c r="M234" s="14"/>
      <c r="N234" s="14"/>
      <c r="O234" s="14"/>
      <c r="P234" s="14"/>
      <c r="Q234" s="14"/>
      <c r="R234" s="14"/>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14"/>
      <c r="AR234" s="14"/>
      <c r="AS234" s="14"/>
      <c r="AT234" s="14"/>
      <c r="AU234" s="14"/>
      <c r="AV234" s="14"/>
      <c r="AW234" s="14"/>
      <c r="AX234" s="14"/>
      <c r="AY234" s="14"/>
      <c r="AZ234" s="14"/>
      <c r="BA234" s="14"/>
      <c r="BB234" s="14"/>
      <c r="BC234" s="14"/>
      <c r="BD234" s="14"/>
      <c r="BE234" s="14"/>
      <c r="BF234" s="14"/>
    </row>
    <row r="235" spans="1:58" ht="16" x14ac:dyDescent="0.15">
      <c r="C235" s="6"/>
    </row>
    <row r="236" spans="1:58" ht="16" x14ac:dyDescent="0.15">
      <c r="C236" s="6"/>
    </row>
    <row r="239" spans="1:58" ht="16" x14ac:dyDescent="0.15">
      <c r="C239" s="6"/>
    </row>
    <row r="240" spans="1:58" ht="16" x14ac:dyDescent="0.15">
      <c r="C240" s="6"/>
    </row>
    <row r="241" spans="3:3" ht="16" x14ac:dyDescent="0.15">
      <c r="C241" s="6"/>
    </row>
    <row r="242" spans="3:3" ht="16" x14ac:dyDescent="0.15">
      <c r="C242" s="6"/>
    </row>
    <row r="243" spans="3:3" ht="16" x14ac:dyDescent="0.15">
      <c r="C243" s="6"/>
    </row>
    <row r="244" spans="3:3" ht="16" x14ac:dyDescent="0.15">
      <c r="C244" s="6"/>
    </row>
    <row r="245" spans="3:3" ht="16" x14ac:dyDescent="0.15">
      <c r="C245" s="6"/>
    </row>
    <row r="246" spans="3:3" ht="16" x14ac:dyDescent="0.15">
      <c r="C246" s="6"/>
    </row>
    <row r="247" spans="3:3" ht="16" x14ac:dyDescent="0.15">
      <c r="C247" s="6"/>
    </row>
    <row r="248" spans="3:3" ht="16" x14ac:dyDescent="0.15">
      <c r="C248" s="6"/>
    </row>
  </sheetData>
  <sheetProtection password="DFD3" sheet="1" objects="1" scenarios="1"/>
  <customSheetViews>
    <customSheetView guid="{55B80D82-F000-11D6-8735-C8E5A357943D}" showRuler="0" topLeftCell="A13">
      <selection activeCell="A19" sqref="A19"/>
      <pageMargins left="0.75" right="0.75" top="1" bottom="1" header="0.5" footer="0.5"/>
      <pageSetup orientation="portrait" horizontalDpi="0" verticalDpi="0" copies="0" r:id="rId1"/>
      <headerFooter alignWithMargins="0"/>
    </customSheetView>
  </customSheetViews>
  <mergeCells count="1">
    <mergeCell ref="C207:H207"/>
  </mergeCells>
  <phoneticPr fontId="0" type="noConversion"/>
  <pageMargins left="0.75" right="0.75" top="1" bottom="1" header="0.5" footer="0.5"/>
  <pageSetup orientation="portrait" horizontalDpi="4294967293" verticalDpi="96" r:id="rId2"/>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DA51CF17DEA5448AC6EEC5BA058686F" ma:contentTypeVersion="12" ma:contentTypeDescription="Create a new document." ma:contentTypeScope="" ma:versionID="ca46bbf0c7804fbe3c7351c18306d33c">
  <xsd:schema xmlns:xsd="http://www.w3.org/2001/XMLSchema" xmlns:xs="http://www.w3.org/2001/XMLSchema" xmlns:p="http://schemas.microsoft.com/office/2006/metadata/properties" xmlns:ns2="65e324b5-9875-4698-94d8-d91a84f0af63" xmlns:ns3="7f5e9b6a-b04b-406e-8847-569c031fde4b" targetNamespace="http://schemas.microsoft.com/office/2006/metadata/properties" ma:root="true" ma:fieldsID="5c52857242052a7382f4f322650da028" ns2:_="" ns3:_="">
    <xsd:import namespace="65e324b5-9875-4698-94d8-d91a84f0af63"/>
    <xsd:import namespace="7f5e9b6a-b04b-406e-8847-569c031fde4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5e324b5-9875-4698-94d8-d91a84f0af6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f5e9b6a-b04b-406e-8847-569c031fde4b"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FCA0549-017D-46DD-87BF-2AF625324CA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5e324b5-9875-4698-94d8-d91a84f0af63"/>
    <ds:schemaRef ds:uri="7f5e9b6a-b04b-406e-8847-569c031fde4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5B0F8FC-D3D7-4EA0-A842-6F03D7EE76E2}">
  <ds:schemaRefs>
    <ds:schemaRef ds:uri="7f5e9b6a-b04b-406e-8847-569c031fde4b"/>
    <ds:schemaRef ds:uri="65e324b5-9875-4698-94d8-d91a84f0af63"/>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s>
</ds:datastoreItem>
</file>

<file path=customXml/itemProps3.xml><?xml version="1.0" encoding="utf-8"?>
<ds:datastoreItem xmlns:ds="http://schemas.openxmlformats.org/officeDocument/2006/customXml" ds:itemID="{C668DD77-5BAB-4807-914C-B11A9B54072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18</vt:i4>
      </vt:variant>
    </vt:vector>
  </HeadingPairs>
  <TitlesOfParts>
    <vt:vector size="32" baseType="lpstr">
      <vt:lpstr>About JEDI</vt:lpstr>
      <vt:lpstr>FAQ</vt:lpstr>
      <vt:lpstr>START</vt:lpstr>
      <vt:lpstr>STEP 1 - Project Information</vt:lpstr>
      <vt:lpstr>STEP 2 - Cost Information</vt:lpstr>
      <vt:lpstr>STEP 3 - Edit Project Data</vt:lpstr>
      <vt:lpstr>SummaryResults</vt:lpstr>
      <vt:lpstr>User Add-in Location</vt:lpstr>
      <vt:lpstr>DefaultData</vt:lpstr>
      <vt:lpstr>Deflators</vt:lpstr>
      <vt:lpstr>Household Exp</vt:lpstr>
      <vt:lpstr>Calculations</vt:lpstr>
      <vt:lpstr>xlwings.conf</vt:lpstr>
      <vt:lpstr>Multipliers</vt:lpstr>
      <vt:lpstr>constyears</vt:lpstr>
      <vt:lpstr>Detailed_Project_Data_Costs</vt:lpstr>
      <vt:lpstr>Detailed_Wind_Plant_Project_Data_Costs</vt:lpstr>
      <vt:lpstr>Other_Parameters</vt:lpstr>
      <vt:lpstr>Calculations!Print_Area</vt:lpstr>
      <vt:lpstr>'STEP 3 - Edit Project Data'!Print_Area</vt:lpstr>
      <vt:lpstr>SummaryResults!Print_Area</vt:lpstr>
      <vt:lpstr>Print_Results</vt:lpstr>
      <vt:lpstr>Project_Cost_Data</vt:lpstr>
      <vt:lpstr>Project_Data</vt:lpstr>
      <vt:lpstr>ProjectConstCostData</vt:lpstr>
      <vt:lpstr>ProjectData</vt:lpstr>
      <vt:lpstr>ProjectOandMData</vt:lpstr>
      <vt:lpstr>Summary_Impacts</vt:lpstr>
      <vt:lpstr>Summary_Results</vt:lpstr>
      <vt:lpstr>Wind_Plant_Annual_OandM_Costs</vt:lpstr>
      <vt:lpstr>Wind_Plant_Annual_Operating_and_Maintenance_Costs</vt:lpstr>
      <vt:lpstr>Year</vt:lpstr>
    </vt:vector>
  </TitlesOfParts>
  <Company>MRG &amp; Associates, Nevada City,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Jobs and Economic Development Impacts (JEDI) Model</dc:title>
  <dc:subject>Economic Impacts of Developing Wind Power Plants</dc:subject>
  <dc:creator>Marshall Goldberg, MRG &amp; Associates</dc:creator>
  <cp:keywords>Economic Impacts, Electricity, Wind, Power Generation, Renewables, Energy</cp:keywords>
  <dc:description>This model was developed for the National Renewable Energy Laboratory.</dc:description>
  <cp:lastModifiedBy>Microsoft Office User</cp:lastModifiedBy>
  <cp:lastPrinted>2014-10-14T23:43:56Z</cp:lastPrinted>
  <dcterms:created xsi:type="dcterms:W3CDTF">2002-09-23T21:39:43Z</dcterms:created>
  <dcterms:modified xsi:type="dcterms:W3CDTF">2020-10-30T01:46:26Z</dcterms:modified>
  <cp:category>Models</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0x0101006DA51CF17DEA5448AC6EEC5BA058686F</vt:lpwstr>
  </property>
</Properties>
</file>